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dc0b9b93e25625/Desktop/"/>
    </mc:Choice>
  </mc:AlternateContent>
  <xr:revisionPtr revIDLastSave="314" documentId="8_{E499A599-FDA4-4323-A7E2-14201C67931A}" xr6:coauthVersionLast="47" xr6:coauthVersionMax="47" xr10:uidLastSave="{F46D8825-88EF-4321-89DB-5544D96F786E}"/>
  <bookViews>
    <workbookView xWindow="-336" yWindow="2064" windowWidth="7680" windowHeight="8880" xr2:uid="{A6A27CCB-AE3B-4A7A-83B5-522847A289E7}"/>
  </bookViews>
  <sheets>
    <sheet name="University_Enrollment.dataset" sheetId="1" r:id="rId1"/>
    <sheet name="Faculty head" sheetId="2" r:id="rId2"/>
    <sheet name="GPA report" sheetId="3" r:id="rId3"/>
    <sheet name="Faculty and Status" sheetId="5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7" i="1" l="1"/>
  <c r="AA5" i="1"/>
  <c r="U7" i="1"/>
  <c r="U6" i="1"/>
  <c r="U5" i="1"/>
  <c r="U4" i="1"/>
  <c r="R2" i="1"/>
  <c r="AJ3" i="1"/>
  <c r="AK3" i="1" s="1"/>
  <c r="AG3" i="1"/>
  <c r="AD3" i="1"/>
  <c r="AA2" i="1"/>
  <c r="AA3" i="1"/>
  <c r="AA4" i="1"/>
  <c r="Y6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R5" i="1"/>
  <c r="S4" i="1"/>
  <c r="S3" i="1"/>
  <c r="S8" i="1"/>
  <c r="R7" i="1"/>
  <c r="S2" i="1"/>
  <c r="Q3" i="1" a="1"/>
  <c r="Q3" i="1" s="1"/>
  <c r="Q4" i="1" a="1"/>
  <c r="Q4" i="1" s="1"/>
  <c r="Q5" i="1" a="1"/>
  <c r="Q5" i="1" s="1"/>
  <c r="S1190" i="1"/>
  <c r="S1191" i="1"/>
  <c r="S1192" i="1"/>
  <c r="S1193" i="1"/>
  <c r="S1194" i="1"/>
  <c r="S1195" i="1"/>
  <c r="S1196" i="1"/>
  <c r="S1197" i="1"/>
  <c r="S1198" i="1"/>
  <c r="S1199" i="1"/>
  <c r="S1200" i="1"/>
  <c r="U1200" i="1"/>
  <c r="P3" i="1"/>
  <c r="P4" i="1"/>
  <c r="P5" i="1"/>
  <c r="Q7" i="1" a="1"/>
  <c r="Q7" i="1" s="1"/>
  <c r="X2" i="1"/>
  <c r="W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70" i="1"/>
  <c r="U71" i="1"/>
  <c r="U72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3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" i="1"/>
  <c r="T2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Q6" i="1" a="1"/>
  <c r="Q6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Q374" i="1" a="1"/>
  <c r="Q374" i="1" s="1"/>
  <c r="Q375" i="1" a="1"/>
  <c r="Q375" i="1" s="1"/>
  <c r="Q376" i="1" a="1"/>
  <c r="Q376" i="1" s="1"/>
  <c r="Q377" i="1" a="1"/>
  <c r="Q377" i="1" s="1"/>
  <c r="Q378" i="1" a="1"/>
  <c r="Q378" i="1" s="1"/>
  <c r="Q379" i="1" a="1"/>
  <c r="Q379" i="1" s="1"/>
  <c r="Q380" i="1" a="1"/>
  <c r="Q380" i="1" s="1"/>
  <c r="Q381" i="1" a="1"/>
  <c r="Q381" i="1" s="1"/>
  <c r="Q382" i="1" a="1"/>
  <c r="Q382" i="1" s="1"/>
  <c r="Q383" i="1" a="1"/>
  <c r="Q383" i="1" s="1"/>
  <c r="Q384" i="1" a="1"/>
  <c r="Q384" i="1" s="1"/>
  <c r="Q385" i="1" a="1"/>
  <c r="Q385" i="1" s="1"/>
  <c r="Q386" i="1" a="1"/>
  <c r="Q386" i="1" s="1"/>
  <c r="Q387" i="1" a="1"/>
  <c r="Q387" i="1" s="1"/>
  <c r="Q388" i="1" a="1"/>
  <c r="Q388" i="1" s="1"/>
  <c r="Q389" i="1" a="1"/>
  <c r="Q389" i="1" s="1"/>
  <c r="Q390" i="1" a="1"/>
  <c r="Q390" i="1" s="1"/>
  <c r="Q391" i="1" a="1"/>
  <c r="Q391" i="1" s="1"/>
  <c r="Q392" i="1" a="1"/>
  <c r="Q392" i="1" s="1"/>
  <c r="Q393" i="1" a="1"/>
  <c r="Q393" i="1" s="1"/>
  <c r="Q394" i="1" a="1"/>
  <c r="Q394" i="1" s="1"/>
  <c r="Q395" i="1" a="1"/>
  <c r="Q395" i="1" s="1"/>
  <c r="Q396" i="1" a="1"/>
  <c r="Q396" i="1" s="1"/>
  <c r="Q397" i="1" a="1"/>
  <c r="Q397" i="1" s="1"/>
  <c r="Q398" i="1" a="1"/>
  <c r="Q398" i="1" s="1"/>
  <c r="Q399" i="1" a="1"/>
  <c r="Q399" i="1" s="1"/>
  <c r="Q400" i="1" a="1"/>
  <c r="Q400" i="1" s="1"/>
  <c r="Q401" i="1" a="1"/>
  <c r="Q401" i="1" s="1"/>
  <c r="Q402" i="1" a="1"/>
  <c r="Q402" i="1" s="1"/>
  <c r="Q403" i="1" a="1"/>
  <c r="Q403" i="1" s="1"/>
  <c r="Q404" i="1" a="1"/>
  <c r="Q404" i="1" s="1"/>
  <c r="Q405" i="1" a="1"/>
  <c r="Q405" i="1" s="1"/>
  <c r="Q406" i="1" a="1"/>
  <c r="Q406" i="1" s="1"/>
  <c r="Q407" i="1" a="1"/>
  <c r="Q407" i="1" s="1"/>
  <c r="Q408" i="1" a="1"/>
  <c r="Q408" i="1" s="1"/>
  <c r="Q409" i="1" a="1"/>
  <c r="Q409" i="1" s="1"/>
  <c r="Q410" i="1" a="1"/>
  <c r="Q410" i="1" s="1"/>
  <c r="Q411" i="1" a="1"/>
  <c r="Q411" i="1" s="1"/>
  <c r="Q412" i="1" a="1"/>
  <c r="Q412" i="1" s="1"/>
  <c r="Q413" i="1" a="1"/>
  <c r="Q413" i="1" s="1"/>
  <c r="Q414" i="1" a="1"/>
  <c r="Q414" i="1" s="1"/>
  <c r="Q415" i="1" a="1"/>
  <c r="Q415" i="1" s="1"/>
  <c r="Q416" i="1" a="1"/>
  <c r="Q416" i="1" s="1"/>
  <c r="Q417" i="1" a="1"/>
  <c r="Q417" i="1" s="1"/>
  <c r="Q418" i="1" a="1"/>
  <c r="Q418" i="1" s="1"/>
  <c r="Q419" i="1" a="1"/>
  <c r="Q419" i="1" s="1"/>
  <c r="Q420" i="1" a="1"/>
  <c r="Q420" i="1" s="1"/>
  <c r="Q421" i="1" a="1"/>
  <c r="Q421" i="1" s="1"/>
  <c r="Q422" i="1" a="1"/>
  <c r="Q422" i="1" s="1"/>
  <c r="Q423" i="1" a="1"/>
  <c r="Q423" i="1" s="1"/>
  <c r="Q424" i="1" a="1"/>
  <c r="Q424" i="1" s="1"/>
  <c r="Q425" i="1" a="1"/>
  <c r="Q425" i="1" s="1"/>
  <c r="Q426" i="1" a="1"/>
  <c r="Q426" i="1" s="1"/>
  <c r="Q427" i="1" a="1"/>
  <c r="Q427" i="1" s="1"/>
  <c r="Q428" i="1" a="1"/>
  <c r="Q428" i="1" s="1"/>
  <c r="Q429" i="1" a="1"/>
  <c r="Q429" i="1" s="1"/>
  <c r="Q430" i="1" a="1"/>
  <c r="Q430" i="1" s="1"/>
  <c r="Q431" i="1" a="1"/>
  <c r="Q431" i="1" s="1"/>
  <c r="Q432" i="1" a="1"/>
  <c r="Q432" i="1" s="1"/>
  <c r="Q433" i="1" a="1"/>
  <c r="Q433" i="1" s="1"/>
  <c r="Q434" i="1" a="1"/>
  <c r="Q434" i="1" s="1"/>
  <c r="Q435" i="1" a="1"/>
  <c r="Q435" i="1" s="1"/>
  <c r="Q436" i="1" a="1"/>
  <c r="Q436" i="1" s="1"/>
  <c r="Q437" i="1" a="1"/>
  <c r="Q437" i="1" s="1"/>
  <c r="Q438" i="1" a="1"/>
  <c r="Q438" i="1" s="1"/>
  <c r="Q439" i="1" a="1"/>
  <c r="Q439" i="1" s="1"/>
  <c r="Q440" i="1" a="1"/>
  <c r="Q440" i="1" s="1"/>
  <c r="Q441" i="1" a="1"/>
  <c r="Q441" i="1" s="1"/>
  <c r="Q442" i="1" a="1"/>
  <c r="Q442" i="1" s="1"/>
  <c r="Q443" i="1" a="1"/>
  <c r="Q443" i="1" s="1"/>
  <c r="Q444" i="1" a="1"/>
  <c r="Q444" i="1" s="1"/>
  <c r="Q445" i="1" a="1"/>
  <c r="Q445" i="1" s="1"/>
  <c r="Q446" i="1" a="1"/>
  <c r="Q446" i="1" s="1"/>
  <c r="Q447" i="1" a="1"/>
  <c r="Q447" i="1" s="1"/>
  <c r="Q448" i="1" a="1"/>
  <c r="Q448" i="1" s="1"/>
  <c r="Q449" i="1" a="1"/>
  <c r="Q449" i="1" s="1"/>
  <c r="Q450" i="1" a="1"/>
  <c r="Q450" i="1" s="1"/>
  <c r="Q451" i="1" a="1"/>
  <c r="Q451" i="1" s="1"/>
  <c r="Q452" i="1" a="1"/>
  <c r="Q452" i="1" s="1"/>
  <c r="Q453" i="1" a="1"/>
  <c r="Q453" i="1" s="1"/>
  <c r="Q454" i="1" a="1"/>
  <c r="Q454" i="1" s="1"/>
  <c r="Q455" i="1" a="1"/>
  <c r="Q455" i="1" s="1"/>
  <c r="Q456" i="1" a="1"/>
  <c r="Q456" i="1" s="1"/>
  <c r="Q457" i="1" a="1"/>
  <c r="Q457" i="1" s="1"/>
  <c r="Q458" i="1" a="1"/>
  <c r="Q458" i="1" s="1"/>
  <c r="Q459" i="1" a="1"/>
  <c r="Q459" i="1" s="1"/>
  <c r="Q460" i="1" a="1"/>
  <c r="Q460" i="1" s="1"/>
  <c r="Q461" i="1" a="1"/>
  <c r="Q461" i="1" s="1"/>
  <c r="Q462" i="1" a="1"/>
  <c r="Q462" i="1" s="1"/>
  <c r="Q463" i="1" a="1"/>
  <c r="Q463" i="1" s="1"/>
  <c r="Q464" i="1" a="1"/>
  <c r="Q464" i="1" s="1"/>
  <c r="Q465" i="1" a="1"/>
  <c r="Q465" i="1" s="1"/>
  <c r="Q466" i="1" a="1"/>
  <c r="Q466" i="1" s="1"/>
  <c r="Q467" i="1" a="1"/>
  <c r="Q467" i="1" s="1"/>
  <c r="Q468" i="1" a="1"/>
  <c r="Q468" i="1" s="1"/>
  <c r="Q469" i="1" a="1"/>
  <c r="Q469" i="1" s="1"/>
  <c r="Q470" i="1" a="1"/>
  <c r="Q470" i="1" s="1"/>
  <c r="Q471" i="1" a="1"/>
  <c r="Q471" i="1" s="1"/>
  <c r="Q472" i="1" a="1"/>
  <c r="Q472" i="1" s="1"/>
  <c r="Q473" i="1" a="1"/>
  <c r="Q473" i="1" s="1"/>
  <c r="Q474" i="1" a="1"/>
  <c r="Q474" i="1" s="1"/>
  <c r="Q475" i="1" a="1"/>
  <c r="Q475" i="1" s="1"/>
  <c r="Q476" i="1" a="1"/>
  <c r="Q476" i="1" s="1"/>
  <c r="Q477" i="1" a="1"/>
  <c r="Q477" i="1" s="1"/>
  <c r="Q478" i="1" a="1"/>
  <c r="Q478" i="1" s="1"/>
  <c r="Q479" i="1" a="1"/>
  <c r="Q479" i="1" s="1"/>
  <c r="Q480" i="1" a="1"/>
  <c r="Q480" i="1" s="1"/>
  <c r="Q481" i="1" a="1"/>
  <c r="Q481" i="1" s="1"/>
  <c r="Q482" i="1" a="1"/>
  <c r="Q482" i="1" s="1"/>
  <c r="Q483" i="1" a="1"/>
  <c r="Q483" i="1" s="1"/>
  <c r="Q484" i="1" a="1"/>
  <c r="Q484" i="1" s="1"/>
  <c r="Q485" i="1" a="1"/>
  <c r="Q485" i="1" s="1"/>
  <c r="Q486" i="1" a="1"/>
  <c r="Q486" i="1" s="1"/>
  <c r="Q487" i="1" a="1"/>
  <c r="Q487" i="1" s="1"/>
  <c r="Q488" i="1" a="1"/>
  <c r="Q488" i="1" s="1"/>
  <c r="Q489" i="1" a="1"/>
  <c r="Q489" i="1" s="1"/>
  <c r="Q490" i="1" a="1"/>
  <c r="Q490" i="1" s="1"/>
  <c r="Q491" i="1" a="1"/>
  <c r="Q491" i="1" s="1"/>
  <c r="Q492" i="1" a="1"/>
  <c r="Q492" i="1" s="1"/>
  <c r="Q493" i="1" a="1"/>
  <c r="Q493" i="1" s="1"/>
  <c r="Q494" i="1" a="1"/>
  <c r="Q494" i="1" s="1"/>
  <c r="Q495" i="1" a="1"/>
  <c r="Q495" i="1" s="1"/>
  <c r="Q496" i="1" a="1"/>
  <c r="Q496" i="1" s="1"/>
  <c r="Q497" i="1" a="1"/>
  <c r="Q497" i="1" s="1"/>
  <c r="Q498" i="1" a="1"/>
  <c r="Q498" i="1" s="1"/>
  <c r="Q499" i="1" a="1"/>
  <c r="Q499" i="1" s="1"/>
  <c r="Q500" i="1" a="1"/>
  <c r="Q500" i="1" s="1"/>
  <c r="Q501" i="1" a="1"/>
  <c r="Q501" i="1" s="1"/>
  <c r="Q502" i="1" a="1"/>
  <c r="Q502" i="1" s="1"/>
  <c r="Q503" i="1" a="1"/>
  <c r="Q503" i="1" s="1"/>
  <c r="Q504" i="1" a="1"/>
  <c r="Q504" i="1" s="1"/>
  <c r="Q505" i="1" a="1"/>
  <c r="Q505" i="1" s="1"/>
  <c r="Q506" i="1" a="1"/>
  <c r="Q506" i="1" s="1"/>
  <c r="Q507" i="1" a="1"/>
  <c r="Q507" i="1" s="1"/>
  <c r="Q508" i="1" a="1"/>
  <c r="Q508" i="1" s="1"/>
  <c r="Q509" i="1" a="1"/>
  <c r="Q509" i="1" s="1"/>
  <c r="Q510" i="1" a="1"/>
  <c r="Q510" i="1" s="1"/>
  <c r="Q511" i="1" a="1"/>
  <c r="Q511" i="1" s="1"/>
  <c r="Q512" i="1" a="1"/>
  <c r="Q512" i="1" s="1"/>
  <c r="Q513" i="1" a="1"/>
  <c r="Q513" i="1" s="1"/>
  <c r="Q514" i="1" a="1"/>
  <c r="Q514" i="1" s="1"/>
  <c r="Q515" i="1" a="1"/>
  <c r="Q515" i="1" s="1"/>
  <c r="Q516" i="1" a="1"/>
  <c r="Q516" i="1" s="1"/>
  <c r="Q517" i="1" a="1"/>
  <c r="Q517" i="1" s="1"/>
  <c r="Q518" i="1" a="1"/>
  <c r="Q518" i="1" s="1"/>
  <c r="Q519" i="1" a="1"/>
  <c r="Q519" i="1" s="1"/>
  <c r="Q520" i="1" a="1"/>
  <c r="Q520" i="1" s="1"/>
  <c r="Q521" i="1" a="1"/>
  <c r="Q521" i="1" s="1"/>
  <c r="Q522" i="1" a="1"/>
  <c r="Q522" i="1" s="1"/>
  <c r="Q523" i="1" a="1"/>
  <c r="Q523" i="1" s="1"/>
  <c r="Q524" i="1" a="1"/>
  <c r="Q524" i="1" s="1"/>
  <c r="Q525" i="1" a="1"/>
  <c r="Q525" i="1" s="1"/>
  <c r="Q526" i="1" a="1"/>
  <c r="Q526" i="1" s="1"/>
  <c r="Q527" i="1" a="1"/>
  <c r="Q527" i="1" s="1"/>
  <c r="Q528" i="1" a="1"/>
  <c r="Q528" i="1" s="1"/>
  <c r="Q529" i="1" a="1"/>
  <c r="Q529" i="1" s="1"/>
  <c r="Q530" i="1" a="1"/>
  <c r="Q530" i="1" s="1"/>
  <c r="Q531" i="1" a="1"/>
  <c r="Q531" i="1" s="1"/>
  <c r="Q532" i="1" a="1"/>
  <c r="Q532" i="1" s="1"/>
  <c r="Q533" i="1" a="1"/>
  <c r="Q533" i="1" s="1"/>
  <c r="Q534" i="1" a="1"/>
  <c r="Q534" i="1" s="1"/>
  <c r="Q535" i="1" a="1"/>
  <c r="Q535" i="1" s="1"/>
  <c r="Q536" i="1" a="1"/>
  <c r="Q536" i="1" s="1"/>
  <c r="Q537" i="1" a="1"/>
  <c r="Q537" i="1" s="1"/>
  <c r="Q538" i="1" a="1"/>
  <c r="Q538" i="1" s="1"/>
  <c r="Q539" i="1" a="1"/>
  <c r="Q539" i="1" s="1"/>
  <c r="Q540" i="1" a="1"/>
  <c r="Q540" i="1" s="1"/>
  <c r="Q541" i="1" a="1"/>
  <c r="Q541" i="1" s="1"/>
  <c r="Q542" i="1" a="1"/>
  <c r="Q542" i="1" s="1"/>
  <c r="Q543" i="1" a="1"/>
  <c r="Q543" i="1" s="1"/>
  <c r="Q544" i="1" a="1"/>
  <c r="Q544" i="1" s="1"/>
  <c r="Q545" i="1" a="1"/>
  <c r="Q545" i="1" s="1"/>
  <c r="Q546" i="1" a="1"/>
  <c r="Q546" i="1" s="1"/>
  <c r="Q547" i="1" a="1"/>
  <c r="Q547" i="1" s="1"/>
  <c r="Q548" i="1" a="1"/>
  <c r="Q548" i="1" s="1"/>
  <c r="Q549" i="1" a="1"/>
  <c r="Q549" i="1" s="1"/>
  <c r="Q550" i="1" a="1"/>
  <c r="Q550" i="1" s="1"/>
  <c r="Q551" i="1" a="1"/>
  <c r="Q551" i="1" s="1"/>
  <c r="Q552" i="1" a="1"/>
  <c r="Q552" i="1" s="1"/>
  <c r="Q553" i="1" a="1"/>
  <c r="Q553" i="1" s="1"/>
  <c r="Q554" i="1" a="1"/>
  <c r="Q554" i="1" s="1"/>
  <c r="Q555" i="1" a="1"/>
  <c r="Q555" i="1" s="1"/>
  <c r="Q556" i="1" a="1"/>
  <c r="Q556" i="1" s="1"/>
  <c r="Q557" i="1" a="1"/>
  <c r="Q557" i="1" s="1"/>
  <c r="Q558" i="1" a="1"/>
  <c r="Q558" i="1" s="1"/>
  <c r="Q559" i="1" a="1"/>
  <c r="Q559" i="1" s="1"/>
  <c r="Q560" i="1" a="1"/>
  <c r="Q560" i="1" s="1"/>
  <c r="Q561" i="1" a="1"/>
  <c r="Q561" i="1" s="1"/>
  <c r="Q562" i="1" a="1"/>
  <c r="Q562" i="1" s="1"/>
  <c r="Q563" i="1" a="1"/>
  <c r="Q563" i="1" s="1"/>
  <c r="Q564" i="1" a="1"/>
  <c r="Q564" i="1" s="1"/>
  <c r="Q565" i="1" a="1"/>
  <c r="Q565" i="1" s="1"/>
  <c r="Q566" i="1" a="1"/>
  <c r="Q566" i="1" s="1"/>
  <c r="Q567" i="1" a="1"/>
  <c r="Q567" i="1" s="1"/>
  <c r="Q568" i="1" a="1"/>
  <c r="Q568" i="1" s="1"/>
  <c r="Q569" i="1" a="1"/>
  <c r="Q569" i="1" s="1"/>
  <c r="Q570" i="1" a="1"/>
  <c r="Q570" i="1" s="1"/>
  <c r="Q571" i="1" a="1"/>
  <c r="Q571" i="1" s="1"/>
  <c r="Q572" i="1" a="1"/>
  <c r="Q572" i="1" s="1"/>
  <c r="Q573" i="1" a="1"/>
  <c r="Q573" i="1" s="1"/>
  <c r="Q574" i="1" a="1"/>
  <c r="Q574" i="1" s="1"/>
  <c r="Q575" i="1" a="1"/>
  <c r="Q575" i="1" s="1"/>
  <c r="Q576" i="1" a="1"/>
  <c r="Q576" i="1"/>
  <c r="Q577" i="1" a="1"/>
  <c r="Q577" i="1" s="1"/>
  <c r="Q578" i="1" a="1"/>
  <c r="Q578" i="1" s="1"/>
  <c r="Q579" i="1" a="1"/>
  <c r="Q579" i="1" s="1"/>
  <c r="Q580" i="1" a="1"/>
  <c r="Q580" i="1" s="1"/>
  <c r="Q581" i="1" a="1"/>
  <c r="Q581" i="1" s="1"/>
  <c r="Q582" i="1" a="1"/>
  <c r="Q582" i="1" s="1"/>
  <c r="Q583" i="1" a="1"/>
  <c r="Q583" i="1" s="1"/>
  <c r="Q584" i="1" a="1"/>
  <c r="Q584" i="1" s="1"/>
  <c r="Q585" i="1" a="1"/>
  <c r="Q585" i="1" s="1"/>
  <c r="Q586" i="1" a="1"/>
  <c r="Q586" i="1" s="1"/>
  <c r="Q587" i="1" a="1"/>
  <c r="Q587" i="1" s="1"/>
  <c r="Q588" i="1" a="1"/>
  <c r="Q588" i="1" s="1"/>
  <c r="Q589" i="1" a="1"/>
  <c r="Q589" i="1" s="1"/>
  <c r="Q590" i="1" a="1"/>
  <c r="Q590" i="1" s="1"/>
  <c r="Q591" i="1" a="1"/>
  <c r="Q591" i="1" s="1"/>
  <c r="Q592" i="1" a="1"/>
  <c r="Q592" i="1" s="1"/>
  <c r="Q593" i="1" a="1"/>
  <c r="Q593" i="1" s="1"/>
  <c r="Q594" i="1" a="1"/>
  <c r="Q594" i="1" s="1"/>
  <c r="Q595" i="1" a="1"/>
  <c r="Q595" i="1" s="1"/>
  <c r="Q596" i="1" a="1"/>
  <c r="Q596" i="1" s="1"/>
  <c r="Q597" i="1" a="1"/>
  <c r="Q597" i="1" s="1"/>
  <c r="Q598" i="1" a="1"/>
  <c r="Q598" i="1" s="1"/>
  <c r="Q599" i="1" a="1"/>
  <c r="Q599" i="1" s="1"/>
  <c r="Q600" i="1" a="1"/>
  <c r="Q600" i="1" s="1"/>
  <c r="Q601" i="1" a="1"/>
  <c r="Q601" i="1" s="1"/>
  <c r="Q602" i="1" a="1"/>
  <c r="Q602" i="1" s="1"/>
  <c r="Q603" i="1" a="1"/>
  <c r="Q603" i="1" s="1"/>
  <c r="Q604" i="1" a="1"/>
  <c r="Q604" i="1" s="1"/>
  <c r="Q605" i="1" a="1"/>
  <c r="Q605" i="1" s="1"/>
  <c r="Q606" i="1" a="1"/>
  <c r="Q606" i="1" s="1"/>
  <c r="Q607" i="1" a="1"/>
  <c r="Q607" i="1" s="1"/>
  <c r="Q608" i="1" a="1"/>
  <c r="Q608" i="1" s="1"/>
  <c r="Q609" i="1" a="1"/>
  <c r="Q609" i="1" s="1"/>
  <c r="Q610" i="1" a="1"/>
  <c r="Q610" i="1" s="1"/>
  <c r="Q611" i="1" a="1"/>
  <c r="Q611" i="1" s="1"/>
  <c r="Q612" i="1" a="1"/>
  <c r="Q612" i="1" s="1"/>
  <c r="Q613" i="1" a="1"/>
  <c r="Q613" i="1" s="1"/>
  <c r="Q614" i="1" a="1"/>
  <c r="Q614" i="1" s="1"/>
  <c r="Q615" i="1" a="1"/>
  <c r="Q615" i="1" s="1"/>
  <c r="Q616" i="1" a="1"/>
  <c r="Q616" i="1" s="1"/>
  <c r="Q617" i="1" a="1"/>
  <c r="Q617" i="1" s="1"/>
  <c r="Q618" i="1" a="1"/>
  <c r="Q618" i="1" s="1"/>
  <c r="Q619" i="1" a="1"/>
  <c r="Q619" i="1" s="1"/>
  <c r="Q620" i="1" a="1"/>
  <c r="Q620" i="1" s="1"/>
  <c r="Q621" i="1" a="1"/>
  <c r="Q621" i="1" s="1"/>
  <c r="Q622" i="1" a="1"/>
  <c r="Q622" i="1" s="1"/>
  <c r="Q623" i="1" a="1"/>
  <c r="Q623" i="1" s="1"/>
  <c r="Q624" i="1" a="1"/>
  <c r="Q624" i="1" s="1"/>
  <c r="Q625" i="1" a="1"/>
  <c r="Q625" i="1" s="1"/>
  <c r="Q626" i="1" a="1"/>
  <c r="Q626" i="1" s="1"/>
  <c r="Q627" i="1" a="1"/>
  <c r="Q627" i="1" s="1"/>
  <c r="Q628" i="1" a="1"/>
  <c r="Q628" i="1" s="1"/>
  <c r="Q629" i="1" a="1"/>
  <c r="Q629" i="1" s="1"/>
  <c r="Q630" i="1" a="1"/>
  <c r="Q630" i="1" s="1"/>
  <c r="Q631" i="1" a="1"/>
  <c r="Q631" i="1" s="1"/>
  <c r="Q632" i="1" a="1"/>
  <c r="Q632" i="1" s="1"/>
  <c r="Q633" i="1" a="1"/>
  <c r="Q633" i="1" s="1"/>
  <c r="Q634" i="1" a="1"/>
  <c r="Q634" i="1" s="1"/>
  <c r="Q635" i="1" a="1"/>
  <c r="Q635" i="1" s="1"/>
  <c r="Q636" i="1" a="1"/>
  <c r="Q636" i="1" s="1"/>
  <c r="Q637" i="1" a="1"/>
  <c r="Q637" i="1" s="1"/>
  <c r="Q638" i="1" a="1"/>
  <c r="Q638" i="1" s="1"/>
  <c r="Q639" i="1" a="1"/>
  <c r="Q639" i="1" s="1"/>
  <c r="Q640" i="1" a="1"/>
  <c r="Q640" i="1" s="1"/>
  <c r="Q641" i="1" a="1"/>
  <c r="Q641" i="1" s="1"/>
  <c r="Q642" i="1" a="1"/>
  <c r="Q642" i="1" s="1"/>
  <c r="Q643" i="1" a="1"/>
  <c r="Q643" i="1" s="1"/>
  <c r="Q644" i="1" a="1"/>
  <c r="Q644" i="1" s="1"/>
  <c r="Q645" i="1" a="1"/>
  <c r="Q645" i="1" s="1"/>
  <c r="Q646" i="1" a="1"/>
  <c r="Q646" i="1" s="1"/>
  <c r="Q647" i="1" a="1"/>
  <c r="Q647" i="1" s="1"/>
  <c r="Q648" i="1" a="1"/>
  <c r="Q648" i="1" s="1"/>
  <c r="Q649" i="1" a="1"/>
  <c r="Q649" i="1" s="1"/>
  <c r="Q650" i="1" a="1"/>
  <c r="Q650" i="1" s="1"/>
  <c r="Q651" i="1" a="1"/>
  <c r="Q651" i="1" s="1"/>
  <c r="Q652" i="1" a="1"/>
  <c r="Q652" i="1" s="1"/>
  <c r="Q653" i="1" a="1"/>
  <c r="Q653" i="1" s="1"/>
  <c r="Q654" i="1" a="1"/>
  <c r="Q654" i="1" s="1"/>
  <c r="Q655" i="1" a="1"/>
  <c r="Q655" i="1" s="1"/>
  <c r="Q656" i="1" a="1"/>
  <c r="Q656" i="1" s="1"/>
  <c r="Q657" i="1" a="1"/>
  <c r="Q657" i="1" s="1"/>
  <c r="Q658" i="1" a="1"/>
  <c r="Q658" i="1" s="1"/>
  <c r="Q659" i="1" a="1"/>
  <c r="Q659" i="1" s="1"/>
  <c r="Q660" i="1" a="1"/>
  <c r="Q660" i="1" s="1"/>
  <c r="Q661" i="1" a="1"/>
  <c r="Q661" i="1" s="1"/>
  <c r="Q662" i="1" a="1"/>
  <c r="Q662" i="1" s="1"/>
  <c r="Q663" i="1" a="1"/>
  <c r="Q663" i="1" s="1"/>
  <c r="Q664" i="1" a="1"/>
  <c r="Q664" i="1" s="1"/>
  <c r="Q665" i="1" a="1"/>
  <c r="Q665" i="1" s="1"/>
  <c r="Q666" i="1" a="1"/>
  <c r="Q666" i="1" s="1"/>
  <c r="Q667" i="1" a="1"/>
  <c r="Q667" i="1" s="1"/>
  <c r="Q668" i="1" a="1"/>
  <c r="Q668" i="1" s="1"/>
  <c r="Q669" i="1" a="1"/>
  <c r="Q669" i="1" s="1"/>
  <c r="Q670" i="1" a="1"/>
  <c r="Q670" i="1" s="1"/>
  <c r="Q671" i="1" a="1"/>
  <c r="Q671" i="1" s="1"/>
  <c r="Q672" i="1" a="1"/>
  <c r="Q672" i="1" s="1"/>
  <c r="Q673" i="1" a="1"/>
  <c r="Q673" i="1" s="1"/>
  <c r="Q674" i="1" a="1"/>
  <c r="Q674" i="1" s="1"/>
  <c r="Q675" i="1" a="1"/>
  <c r="Q675" i="1" s="1"/>
  <c r="Q676" i="1" a="1"/>
  <c r="Q676" i="1" s="1"/>
  <c r="Q677" i="1" a="1"/>
  <c r="Q677" i="1" s="1"/>
  <c r="Q678" i="1" a="1"/>
  <c r="Q678" i="1" s="1"/>
  <c r="Q679" i="1" a="1"/>
  <c r="Q679" i="1" s="1"/>
  <c r="Q680" i="1" a="1"/>
  <c r="Q680" i="1" s="1"/>
  <c r="Q681" i="1" a="1"/>
  <c r="Q681" i="1" s="1"/>
  <c r="Q682" i="1" a="1"/>
  <c r="Q682" i="1" s="1"/>
  <c r="Q683" i="1" a="1"/>
  <c r="Q683" i="1" s="1"/>
  <c r="Q684" i="1" a="1"/>
  <c r="Q684" i="1" s="1"/>
  <c r="Q685" i="1" a="1"/>
  <c r="Q685" i="1" s="1"/>
  <c r="Q686" i="1" a="1"/>
  <c r="Q686" i="1" s="1"/>
  <c r="Q687" i="1" a="1"/>
  <c r="Q687" i="1" s="1"/>
  <c r="Q688" i="1" a="1"/>
  <c r="Q688" i="1" s="1"/>
  <c r="Q689" i="1" a="1"/>
  <c r="Q689" i="1" s="1"/>
  <c r="Q690" i="1" a="1"/>
  <c r="Q690" i="1" s="1"/>
  <c r="Q691" i="1" a="1"/>
  <c r="Q691" i="1" s="1"/>
  <c r="Q692" i="1" a="1"/>
  <c r="Q692" i="1" s="1"/>
  <c r="Q693" i="1" a="1"/>
  <c r="Q693" i="1" s="1"/>
  <c r="Q694" i="1" a="1"/>
  <c r="Q694" i="1" s="1"/>
  <c r="Q695" i="1" a="1"/>
  <c r="Q695" i="1" s="1"/>
  <c r="Q696" i="1" a="1"/>
  <c r="Q696" i="1" s="1"/>
  <c r="Q697" i="1" a="1"/>
  <c r="Q697" i="1" s="1"/>
  <c r="Q698" i="1" a="1"/>
  <c r="Q698" i="1" s="1"/>
  <c r="Q699" i="1" a="1"/>
  <c r="Q699" i="1" s="1"/>
  <c r="Q700" i="1" a="1"/>
  <c r="Q700" i="1" s="1"/>
  <c r="Q701" i="1" a="1"/>
  <c r="Q701" i="1" s="1"/>
  <c r="Q702" i="1" a="1"/>
  <c r="Q702" i="1" s="1"/>
  <c r="Q703" i="1" a="1"/>
  <c r="Q703" i="1" s="1"/>
  <c r="Q704" i="1" a="1"/>
  <c r="Q704" i="1" s="1"/>
  <c r="Q705" i="1" a="1"/>
  <c r="Q705" i="1" s="1"/>
  <c r="Q706" i="1" a="1"/>
  <c r="Q706" i="1" s="1"/>
  <c r="Q707" i="1" a="1"/>
  <c r="Q707" i="1" s="1"/>
  <c r="Q708" i="1" a="1"/>
  <c r="Q708" i="1" s="1"/>
  <c r="Q709" i="1" a="1"/>
  <c r="Q709" i="1" s="1"/>
  <c r="Q710" i="1" a="1"/>
  <c r="Q710" i="1" s="1"/>
  <c r="Q711" i="1" a="1"/>
  <c r="Q711" i="1" s="1"/>
  <c r="Q712" i="1" a="1"/>
  <c r="Q712" i="1" s="1"/>
  <c r="Q713" i="1" a="1"/>
  <c r="Q713" i="1" s="1"/>
  <c r="Q714" i="1" a="1"/>
  <c r="Q714" i="1" s="1"/>
  <c r="Q715" i="1" a="1"/>
  <c r="Q715" i="1" s="1"/>
  <c r="Q716" i="1" a="1"/>
  <c r="Q716" i="1" s="1"/>
  <c r="Q717" i="1" a="1"/>
  <c r="Q717" i="1" s="1"/>
  <c r="Q718" i="1" a="1"/>
  <c r="Q718" i="1" s="1"/>
  <c r="Q719" i="1" a="1"/>
  <c r="Q719" i="1" s="1"/>
  <c r="Q720" i="1" a="1"/>
  <c r="Q720" i="1" s="1"/>
  <c r="Q721" i="1" a="1"/>
  <c r="Q721" i="1" s="1"/>
  <c r="Q722" i="1" a="1"/>
  <c r="Q722" i="1" s="1"/>
  <c r="Q723" i="1" a="1"/>
  <c r="Q723" i="1" s="1"/>
  <c r="Q724" i="1" a="1"/>
  <c r="Q724" i="1" s="1"/>
  <c r="Q725" i="1" a="1"/>
  <c r="Q725" i="1" s="1"/>
  <c r="Q726" i="1" a="1"/>
  <c r="Q726" i="1" s="1"/>
  <c r="Q727" i="1" a="1"/>
  <c r="Q727" i="1" s="1"/>
  <c r="Q728" i="1" a="1"/>
  <c r="Q728" i="1" s="1"/>
  <c r="Q729" i="1" a="1"/>
  <c r="Q729" i="1" s="1"/>
  <c r="Q730" i="1" a="1"/>
  <c r="Q730" i="1" s="1"/>
  <c r="Q731" i="1" a="1"/>
  <c r="Q731" i="1" s="1"/>
  <c r="Q732" i="1" a="1"/>
  <c r="Q732" i="1" s="1"/>
  <c r="Q733" i="1" a="1"/>
  <c r="Q733" i="1" s="1"/>
  <c r="Q734" i="1" a="1"/>
  <c r="Q734" i="1" s="1"/>
  <c r="Q735" i="1" a="1"/>
  <c r="Q735" i="1" s="1"/>
  <c r="Q736" i="1" a="1"/>
  <c r="Q736" i="1" s="1"/>
  <c r="Q737" i="1" a="1"/>
  <c r="Q737" i="1" s="1"/>
  <c r="Q738" i="1" a="1"/>
  <c r="Q738" i="1" s="1"/>
  <c r="Q739" i="1" a="1"/>
  <c r="Q739" i="1" s="1"/>
  <c r="Q740" i="1" a="1"/>
  <c r="Q740" i="1" s="1"/>
  <c r="Q741" i="1" a="1"/>
  <c r="Q741" i="1" s="1"/>
  <c r="Q742" i="1" a="1"/>
  <c r="Q742" i="1" s="1"/>
  <c r="Q743" i="1" a="1"/>
  <c r="Q743" i="1" s="1"/>
  <c r="Q744" i="1" a="1"/>
  <c r="Q744" i="1" s="1"/>
  <c r="Q745" i="1" a="1"/>
  <c r="Q745" i="1" s="1"/>
  <c r="Q746" i="1" a="1"/>
  <c r="Q746" i="1" s="1"/>
  <c r="Q747" i="1" a="1"/>
  <c r="Q747" i="1" s="1"/>
  <c r="Q748" i="1" a="1"/>
  <c r="Q748" i="1" s="1"/>
  <c r="Q749" i="1" a="1"/>
  <c r="Q749" i="1" s="1"/>
  <c r="Q750" i="1" a="1"/>
  <c r="Q750" i="1" s="1"/>
  <c r="Q751" i="1" a="1"/>
  <c r="Q751" i="1"/>
  <c r="Q752" i="1" a="1"/>
  <c r="Q752" i="1" s="1"/>
  <c r="Q753" i="1" a="1"/>
  <c r="Q753" i="1" s="1"/>
  <c r="Q754" i="1" a="1"/>
  <c r="Q754" i="1" s="1"/>
  <c r="Q755" i="1" a="1"/>
  <c r="Q755" i="1" s="1"/>
  <c r="Q756" i="1" a="1"/>
  <c r="Q756" i="1" s="1"/>
  <c r="Q757" i="1" a="1"/>
  <c r="Q757" i="1" s="1"/>
  <c r="Q758" i="1" a="1"/>
  <c r="Q758" i="1" s="1"/>
  <c r="Q759" i="1" a="1"/>
  <c r="Q759" i="1" s="1"/>
  <c r="Q760" i="1" a="1"/>
  <c r="Q760" i="1" s="1"/>
  <c r="Q761" i="1" a="1"/>
  <c r="Q761" i="1" s="1"/>
  <c r="Q762" i="1" a="1"/>
  <c r="Q762" i="1" s="1"/>
  <c r="Q763" i="1" a="1"/>
  <c r="Q763" i="1" s="1"/>
  <c r="Q764" i="1" a="1"/>
  <c r="Q764" i="1" s="1"/>
  <c r="Q765" i="1" a="1"/>
  <c r="Q765" i="1" s="1"/>
  <c r="Q766" i="1" a="1"/>
  <c r="Q766" i="1" s="1"/>
  <c r="Q767" i="1" a="1"/>
  <c r="Q767" i="1" s="1"/>
  <c r="Q768" i="1" a="1"/>
  <c r="Q768" i="1" s="1"/>
  <c r="Q769" i="1" a="1"/>
  <c r="Q769" i="1" s="1"/>
  <c r="Q770" i="1" a="1"/>
  <c r="Q770" i="1" s="1"/>
  <c r="Q771" i="1" a="1"/>
  <c r="Q771" i="1" s="1"/>
  <c r="Q772" i="1" a="1"/>
  <c r="Q772" i="1" s="1"/>
  <c r="Q773" i="1" a="1"/>
  <c r="Q773" i="1" s="1"/>
  <c r="Q774" i="1" a="1"/>
  <c r="Q774" i="1" s="1"/>
  <c r="Q775" i="1" a="1"/>
  <c r="Q775" i="1" s="1"/>
  <c r="Q776" i="1" a="1"/>
  <c r="Q776" i="1" s="1"/>
  <c r="Q777" i="1" a="1"/>
  <c r="Q777" i="1" s="1"/>
  <c r="Q778" i="1" a="1"/>
  <c r="Q778" i="1" s="1"/>
  <c r="Q779" i="1" a="1"/>
  <c r="Q779" i="1" s="1"/>
  <c r="Q780" i="1" a="1"/>
  <c r="Q780" i="1" s="1"/>
  <c r="Q781" i="1" a="1"/>
  <c r="Q781" i="1" s="1"/>
  <c r="Q782" i="1" a="1"/>
  <c r="Q782" i="1" s="1"/>
  <c r="Q783" i="1" a="1"/>
  <c r="Q783" i="1" s="1"/>
  <c r="Q784" i="1" a="1"/>
  <c r="Q784" i="1" s="1"/>
  <c r="Q785" i="1" a="1"/>
  <c r="Q785" i="1" s="1"/>
  <c r="Q786" i="1" a="1"/>
  <c r="Q786" i="1" s="1"/>
  <c r="Q787" i="1" a="1"/>
  <c r="Q787" i="1" s="1"/>
  <c r="Q788" i="1" a="1"/>
  <c r="Q788" i="1" s="1"/>
  <c r="Q789" i="1" a="1"/>
  <c r="Q789" i="1" s="1"/>
  <c r="Q790" i="1" a="1"/>
  <c r="Q790" i="1" s="1"/>
  <c r="Q791" i="1" a="1"/>
  <c r="Q791" i="1" s="1"/>
  <c r="Q792" i="1" a="1"/>
  <c r="Q792" i="1" s="1"/>
  <c r="Q793" i="1" a="1"/>
  <c r="Q793" i="1" s="1"/>
  <c r="Q794" i="1" a="1"/>
  <c r="Q794" i="1" s="1"/>
  <c r="Q795" i="1" a="1"/>
  <c r="Q795" i="1" s="1"/>
  <c r="Q796" i="1" a="1"/>
  <c r="Q796" i="1" s="1"/>
  <c r="Q797" i="1" a="1"/>
  <c r="Q797" i="1" s="1"/>
  <c r="Q798" i="1" a="1"/>
  <c r="Q798" i="1" s="1"/>
  <c r="Q799" i="1" a="1"/>
  <c r="Q799" i="1" s="1"/>
  <c r="Q800" i="1" a="1"/>
  <c r="Q800" i="1" s="1"/>
  <c r="Q801" i="1" a="1"/>
  <c r="Q801" i="1" s="1"/>
  <c r="Q802" i="1" a="1"/>
  <c r="Q802" i="1" s="1"/>
  <c r="Q803" i="1" a="1"/>
  <c r="Q803" i="1" s="1"/>
  <c r="Q804" i="1" a="1"/>
  <c r="Q804" i="1" s="1"/>
  <c r="Q805" i="1" a="1"/>
  <c r="Q805" i="1" s="1"/>
  <c r="Q806" i="1" a="1"/>
  <c r="Q806" i="1" s="1"/>
  <c r="Q807" i="1" a="1"/>
  <c r="Q807" i="1" s="1"/>
  <c r="Q808" i="1" a="1"/>
  <c r="Q808" i="1" s="1"/>
  <c r="Q809" i="1" a="1"/>
  <c r="Q809" i="1" s="1"/>
  <c r="Q810" i="1" a="1"/>
  <c r="Q810" i="1" s="1"/>
  <c r="Q811" i="1" a="1"/>
  <c r="Q811" i="1"/>
  <c r="Q812" i="1" a="1"/>
  <c r="Q812" i="1" s="1"/>
  <c r="Q813" i="1" a="1"/>
  <c r="Q813" i="1" s="1"/>
  <c r="Q814" i="1" a="1"/>
  <c r="Q814" i="1" s="1"/>
  <c r="Q815" i="1" a="1"/>
  <c r="Q815" i="1" s="1"/>
  <c r="Q816" i="1" a="1"/>
  <c r="Q816" i="1" s="1"/>
  <c r="Q817" i="1" a="1"/>
  <c r="Q817" i="1" s="1"/>
  <c r="Q818" i="1" a="1"/>
  <c r="Q818" i="1" s="1"/>
  <c r="Q819" i="1" a="1"/>
  <c r="Q819" i="1" s="1"/>
  <c r="Q820" i="1" a="1"/>
  <c r="Q820" i="1" s="1"/>
  <c r="Q821" i="1" a="1"/>
  <c r="Q821" i="1" s="1"/>
  <c r="Q822" i="1" a="1"/>
  <c r="Q822" i="1" s="1"/>
  <c r="Q823" i="1" a="1"/>
  <c r="Q823" i="1" s="1"/>
  <c r="Q824" i="1" a="1"/>
  <c r="Q824" i="1" s="1"/>
  <c r="Q825" i="1" a="1"/>
  <c r="Q825" i="1" s="1"/>
  <c r="Q826" i="1" a="1"/>
  <c r="Q826" i="1" s="1"/>
  <c r="Q827" i="1" a="1"/>
  <c r="Q827" i="1" s="1"/>
  <c r="Q828" i="1" a="1"/>
  <c r="Q828" i="1" s="1"/>
  <c r="Q829" i="1" a="1"/>
  <c r="Q829" i="1" s="1"/>
  <c r="Q830" i="1" a="1"/>
  <c r="Q830" i="1" s="1"/>
  <c r="Q831" i="1" a="1"/>
  <c r="Q831" i="1" s="1"/>
  <c r="Q832" i="1" a="1"/>
  <c r="Q832" i="1" s="1"/>
  <c r="Q833" i="1" a="1"/>
  <c r="Q833" i="1" s="1"/>
  <c r="Q834" i="1" a="1"/>
  <c r="Q834" i="1" s="1"/>
  <c r="Q835" i="1" a="1"/>
  <c r="Q835" i="1" s="1"/>
  <c r="Q836" i="1" a="1"/>
  <c r="Q836" i="1" s="1"/>
  <c r="Q837" i="1" a="1"/>
  <c r="Q837" i="1" s="1"/>
  <c r="Q838" i="1" a="1"/>
  <c r="Q838" i="1" s="1"/>
  <c r="Q839" i="1" a="1"/>
  <c r="Q839" i="1" s="1"/>
  <c r="Q840" i="1" a="1"/>
  <c r="Q840" i="1" s="1"/>
  <c r="Q841" i="1" a="1"/>
  <c r="Q841" i="1" s="1"/>
  <c r="Q842" i="1" a="1"/>
  <c r="Q842" i="1" s="1"/>
  <c r="Q843" i="1" a="1"/>
  <c r="Q843" i="1" s="1"/>
  <c r="Q844" i="1" a="1"/>
  <c r="Q844" i="1" s="1"/>
  <c r="Q845" i="1" a="1"/>
  <c r="Q845" i="1" s="1"/>
  <c r="Q846" i="1" a="1"/>
  <c r="Q846" i="1"/>
  <c r="Q847" i="1" a="1"/>
  <c r="Q847" i="1" s="1"/>
  <c r="Q848" i="1" a="1"/>
  <c r="Q848" i="1" s="1"/>
  <c r="Q849" i="1" a="1"/>
  <c r="Q849" i="1" s="1"/>
  <c r="Q850" i="1" a="1"/>
  <c r="Q850" i="1" s="1"/>
  <c r="Q851" i="1" a="1"/>
  <c r="Q851" i="1" s="1"/>
  <c r="Q852" i="1" a="1"/>
  <c r="Q852" i="1" s="1"/>
  <c r="Q853" i="1" a="1"/>
  <c r="Q853" i="1" s="1"/>
  <c r="Q854" i="1" a="1"/>
  <c r="Q854" i="1" s="1"/>
  <c r="Q855" i="1" a="1"/>
  <c r="Q855" i="1" s="1"/>
  <c r="Q856" i="1" a="1"/>
  <c r="Q856" i="1" s="1"/>
  <c r="Q857" i="1" a="1"/>
  <c r="Q857" i="1" s="1"/>
  <c r="Q858" i="1" a="1"/>
  <c r="Q858" i="1" s="1"/>
  <c r="Q859" i="1" a="1"/>
  <c r="Q859" i="1" s="1"/>
  <c r="Q860" i="1" a="1"/>
  <c r="Q860" i="1" s="1"/>
  <c r="Q861" i="1" a="1"/>
  <c r="Q861" i="1" s="1"/>
  <c r="Q862" i="1" a="1"/>
  <c r="Q862" i="1" s="1"/>
  <c r="Q863" i="1" a="1"/>
  <c r="Q863" i="1" s="1"/>
  <c r="Q864" i="1" a="1"/>
  <c r="Q864" i="1" s="1"/>
  <c r="Q865" i="1" a="1"/>
  <c r="Q865" i="1" s="1"/>
  <c r="Q866" i="1" a="1"/>
  <c r="Q866" i="1" s="1"/>
  <c r="Q867" i="1" a="1"/>
  <c r="Q867" i="1" s="1"/>
  <c r="Q868" i="1" a="1"/>
  <c r="Q868" i="1" s="1"/>
  <c r="Q869" i="1" a="1"/>
  <c r="Q869" i="1" s="1"/>
  <c r="Q870" i="1" a="1"/>
  <c r="Q870" i="1" s="1"/>
  <c r="Q871" i="1" a="1"/>
  <c r="Q871" i="1" s="1"/>
  <c r="Q872" i="1" a="1"/>
  <c r="Q872" i="1" s="1"/>
  <c r="Q873" i="1" a="1"/>
  <c r="Q873" i="1" s="1"/>
  <c r="Q874" i="1" a="1"/>
  <c r="Q874" i="1" s="1"/>
  <c r="Q875" i="1" a="1"/>
  <c r="Q875" i="1" s="1"/>
  <c r="Q876" i="1" a="1"/>
  <c r="Q876" i="1" s="1"/>
  <c r="Q877" i="1" a="1"/>
  <c r="Q877" i="1" s="1"/>
  <c r="Q878" i="1" a="1"/>
  <c r="Q878" i="1" s="1"/>
  <c r="Q879" i="1" a="1"/>
  <c r="Q879" i="1" s="1"/>
  <c r="Q880" i="1" a="1"/>
  <c r="Q880" i="1" s="1"/>
  <c r="Q881" i="1" a="1"/>
  <c r="Q881" i="1" s="1"/>
  <c r="Q882" i="1" a="1"/>
  <c r="Q882" i="1"/>
  <c r="Q883" i="1" a="1"/>
  <c r="Q883" i="1" s="1"/>
  <c r="Q884" i="1" a="1"/>
  <c r="Q884" i="1" s="1"/>
  <c r="Q885" i="1" a="1"/>
  <c r="Q885" i="1" s="1"/>
  <c r="Q886" i="1" a="1"/>
  <c r="Q886" i="1" s="1"/>
  <c r="Q887" i="1" a="1"/>
  <c r="Q887" i="1" s="1"/>
  <c r="Q888" i="1" a="1"/>
  <c r="Q888" i="1" s="1"/>
  <c r="Q889" i="1" a="1"/>
  <c r="Q889" i="1" s="1"/>
  <c r="Q890" i="1" a="1"/>
  <c r="Q890" i="1" s="1"/>
  <c r="Q891" i="1" a="1"/>
  <c r="Q891" i="1" s="1"/>
  <c r="Q892" i="1" a="1"/>
  <c r="Q892" i="1" s="1"/>
  <c r="Q893" i="1" a="1"/>
  <c r="Q893" i="1" s="1"/>
  <c r="Q894" i="1" a="1"/>
  <c r="Q894" i="1" s="1"/>
  <c r="Q895" i="1" a="1"/>
  <c r="Q895" i="1" s="1"/>
  <c r="Q896" i="1" a="1"/>
  <c r="Q896" i="1" s="1"/>
  <c r="Q897" i="1" a="1"/>
  <c r="Q897" i="1" s="1"/>
  <c r="Q898" i="1" a="1"/>
  <c r="Q898" i="1" s="1"/>
  <c r="Q899" i="1" a="1"/>
  <c r="Q899" i="1" s="1"/>
  <c r="Q900" i="1" a="1"/>
  <c r="Q900" i="1" s="1"/>
  <c r="Q901" i="1" a="1"/>
  <c r="Q901" i="1" s="1"/>
  <c r="Q902" i="1" a="1"/>
  <c r="Q902" i="1" s="1"/>
  <c r="Q903" i="1" a="1"/>
  <c r="Q903" i="1" s="1"/>
  <c r="Q904" i="1" a="1"/>
  <c r="Q904" i="1"/>
  <c r="Q905" i="1" a="1"/>
  <c r="Q905" i="1" s="1"/>
  <c r="Q906" i="1" a="1"/>
  <c r="Q906" i="1" s="1"/>
  <c r="Q907" i="1" a="1"/>
  <c r="Q907" i="1" s="1"/>
  <c r="Q908" i="1" a="1"/>
  <c r="Q908" i="1" s="1"/>
  <c r="Q909" i="1" a="1"/>
  <c r="Q909" i="1" s="1"/>
  <c r="Q910" i="1" a="1"/>
  <c r="Q910" i="1" s="1"/>
  <c r="Q911" i="1" a="1"/>
  <c r="Q911" i="1" s="1"/>
  <c r="Q912" i="1" a="1"/>
  <c r="Q912" i="1" s="1"/>
  <c r="Q913" i="1" a="1"/>
  <c r="Q913" i="1" s="1"/>
  <c r="Q914" i="1" a="1"/>
  <c r="Q914" i="1" s="1"/>
  <c r="Q915" i="1" a="1"/>
  <c r="Q915" i="1" s="1"/>
  <c r="Q916" i="1" a="1"/>
  <c r="Q916" i="1" s="1"/>
  <c r="Q917" i="1" a="1"/>
  <c r="Q917" i="1" s="1"/>
  <c r="Q918" i="1" a="1"/>
  <c r="Q918" i="1" s="1"/>
  <c r="Q919" i="1" a="1"/>
  <c r="Q919" i="1" s="1"/>
  <c r="Q920" i="1" a="1"/>
  <c r="Q920" i="1" s="1"/>
  <c r="Q921" i="1" a="1"/>
  <c r="Q921" i="1" s="1"/>
  <c r="Q922" i="1" a="1"/>
  <c r="Q922" i="1" s="1"/>
  <c r="Q923" i="1" a="1"/>
  <c r="Q923" i="1" s="1"/>
  <c r="Q924" i="1" a="1"/>
  <c r="Q924" i="1" s="1"/>
  <c r="Q925" i="1" a="1"/>
  <c r="Q925" i="1" s="1"/>
  <c r="Q926" i="1" a="1"/>
  <c r="Q926" i="1" s="1"/>
  <c r="Q927" i="1" a="1"/>
  <c r="Q927" i="1" s="1"/>
  <c r="Q928" i="1" a="1"/>
  <c r="Q928" i="1" s="1"/>
  <c r="Q929" i="1" a="1"/>
  <c r="Q929" i="1" s="1"/>
  <c r="Q930" i="1" a="1"/>
  <c r="Q930" i="1" s="1"/>
  <c r="Q931" i="1" a="1"/>
  <c r="Q931" i="1" s="1"/>
  <c r="Q932" i="1" a="1"/>
  <c r="Q932" i="1" s="1"/>
  <c r="Q933" i="1" a="1"/>
  <c r="Q933" i="1" s="1"/>
  <c r="Q934" i="1" a="1"/>
  <c r="Q934" i="1" s="1"/>
  <c r="Q935" i="1" a="1"/>
  <c r="Q935" i="1" s="1"/>
  <c r="Q936" i="1" a="1"/>
  <c r="Q936" i="1" s="1"/>
  <c r="Q937" i="1" a="1"/>
  <c r="Q937" i="1" s="1"/>
  <c r="Q938" i="1" a="1"/>
  <c r="Q938" i="1" s="1"/>
  <c r="Q939" i="1" a="1"/>
  <c r="Q939" i="1" s="1"/>
  <c r="Q940" i="1" a="1"/>
  <c r="Q940" i="1" s="1"/>
  <c r="Q941" i="1" a="1"/>
  <c r="Q941" i="1" s="1"/>
  <c r="Q942" i="1" a="1"/>
  <c r="Q942" i="1" s="1"/>
  <c r="Q943" i="1" a="1"/>
  <c r="Q943" i="1" s="1"/>
  <c r="Q944" i="1" a="1"/>
  <c r="Q944" i="1" s="1"/>
  <c r="Q945" i="1" a="1"/>
  <c r="Q945" i="1" s="1"/>
  <c r="Q946" i="1" a="1"/>
  <c r="Q946" i="1" s="1"/>
  <c r="Q947" i="1" a="1"/>
  <c r="Q947" i="1" s="1"/>
  <c r="Q948" i="1" a="1"/>
  <c r="Q948" i="1" s="1"/>
  <c r="Q949" i="1" a="1"/>
  <c r="Q949" i="1" s="1"/>
  <c r="Q950" i="1" a="1"/>
  <c r="Q950" i="1" s="1"/>
  <c r="Q951" i="1" a="1"/>
  <c r="Q951" i="1" s="1"/>
  <c r="Q952" i="1" a="1"/>
  <c r="Q952" i="1" s="1"/>
  <c r="Q953" i="1" a="1"/>
  <c r="Q953" i="1" s="1"/>
  <c r="Q954" i="1" a="1"/>
  <c r="Q954" i="1" s="1"/>
  <c r="Q955" i="1" a="1"/>
  <c r="Q955" i="1" s="1"/>
  <c r="Q956" i="1" a="1"/>
  <c r="Q956" i="1" s="1"/>
  <c r="Q957" i="1" a="1"/>
  <c r="Q957" i="1" s="1"/>
  <c r="Q958" i="1" a="1"/>
  <c r="Q958" i="1" s="1"/>
  <c r="Q959" i="1" a="1"/>
  <c r="Q959" i="1" s="1"/>
  <c r="Q960" i="1" a="1"/>
  <c r="Q960" i="1" s="1"/>
  <c r="Q961" i="1" a="1"/>
  <c r="Q961" i="1" s="1"/>
  <c r="Q962" i="1" a="1"/>
  <c r="Q962" i="1" s="1"/>
  <c r="Q963" i="1" a="1"/>
  <c r="Q963" i="1" s="1"/>
  <c r="Q964" i="1" a="1"/>
  <c r="Q964" i="1" s="1"/>
  <c r="Q965" i="1" a="1"/>
  <c r="Q965" i="1" s="1"/>
  <c r="Q966" i="1" a="1"/>
  <c r="Q966" i="1" s="1"/>
  <c r="Q967" i="1" a="1"/>
  <c r="Q967" i="1" s="1"/>
  <c r="Q968" i="1" a="1"/>
  <c r="Q968" i="1" s="1"/>
  <c r="Q969" i="1" a="1"/>
  <c r="Q969" i="1" s="1"/>
  <c r="Q970" i="1" a="1"/>
  <c r="Q970" i="1" s="1"/>
  <c r="Q971" i="1" a="1"/>
  <c r="Q971" i="1" s="1"/>
  <c r="Q972" i="1" a="1"/>
  <c r="Q972" i="1" s="1"/>
  <c r="Q973" i="1" a="1"/>
  <c r="Q973" i="1" s="1"/>
  <c r="Q974" i="1" a="1"/>
  <c r="Q974" i="1" s="1"/>
  <c r="Q975" i="1" a="1"/>
  <c r="Q975" i="1" s="1"/>
  <c r="Q976" i="1" a="1"/>
  <c r="Q976" i="1" s="1"/>
  <c r="Q977" i="1" a="1"/>
  <c r="Q977" i="1" s="1"/>
  <c r="Q978" i="1" a="1"/>
  <c r="Q978" i="1" s="1"/>
  <c r="Q979" i="1" a="1"/>
  <c r="Q979" i="1" s="1"/>
  <c r="Q980" i="1" a="1"/>
  <c r="Q980" i="1" s="1"/>
  <c r="Q981" i="1" a="1"/>
  <c r="Q981" i="1" s="1"/>
  <c r="Q982" i="1" a="1"/>
  <c r="Q982" i="1" s="1"/>
  <c r="Q983" i="1" a="1"/>
  <c r="Q983" i="1" s="1"/>
  <c r="Q984" i="1" a="1"/>
  <c r="Q984" i="1" s="1"/>
  <c r="Q985" i="1" a="1"/>
  <c r="Q985" i="1" s="1"/>
  <c r="Q986" i="1" a="1"/>
  <c r="Q986" i="1" s="1"/>
  <c r="Q987" i="1" a="1"/>
  <c r="Q987" i="1" s="1"/>
  <c r="Q988" i="1" a="1"/>
  <c r="Q988" i="1" s="1"/>
  <c r="Q989" i="1" a="1"/>
  <c r="Q989" i="1" s="1"/>
  <c r="Q990" i="1" a="1"/>
  <c r="Q990" i="1" s="1"/>
  <c r="Q991" i="1" a="1"/>
  <c r="Q991" i="1" s="1"/>
  <c r="Q992" i="1" a="1"/>
  <c r="Q992" i="1" s="1"/>
  <c r="Q993" i="1" a="1"/>
  <c r="Q993" i="1" s="1"/>
  <c r="Q994" i="1" a="1"/>
  <c r="Q994" i="1" s="1"/>
  <c r="Q995" i="1" a="1"/>
  <c r="Q995" i="1" s="1"/>
  <c r="Q996" i="1" a="1"/>
  <c r="Q996" i="1" s="1"/>
  <c r="Q997" i="1" a="1"/>
  <c r="Q997" i="1" s="1"/>
  <c r="Q998" i="1" a="1"/>
  <c r="Q998" i="1" s="1"/>
  <c r="Q999" i="1" a="1"/>
  <c r="Q999" i="1" s="1"/>
  <c r="Q1000" i="1" a="1"/>
  <c r="Q1000" i="1" s="1"/>
  <c r="Q1001" i="1" a="1"/>
  <c r="Q1001" i="1" s="1"/>
  <c r="Q1002" i="1" a="1"/>
  <c r="Q1002" i="1" s="1"/>
  <c r="Q1003" i="1" a="1"/>
  <c r="Q1003" i="1" s="1"/>
  <c r="Q1004" i="1" a="1"/>
  <c r="Q1004" i="1" s="1"/>
  <c r="Q1005" i="1" a="1"/>
  <c r="Q1005" i="1" s="1"/>
  <c r="Q1006" i="1" a="1"/>
  <c r="Q1006" i="1" s="1"/>
  <c r="Q1007" i="1" a="1"/>
  <c r="Q1007" i="1" s="1"/>
  <c r="Q1008" i="1" a="1"/>
  <c r="Q1008" i="1" s="1"/>
  <c r="Q1009" i="1" a="1"/>
  <c r="Q1009" i="1" s="1"/>
  <c r="Q1010" i="1" a="1"/>
  <c r="Q1010" i="1" s="1"/>
  <c r="Q1011" i="1" a="1"/>
  <c r="Q1011" i="1" s="1"/>
  <c r="Q1012" i="1" a="1"/>
  <c r="Q1012" i="1" s="1"/>
  <c r="Q1013" i="1" a="1"/>
  <c r="Q1013" i="1" s="1"/>
  <c r="Q1014" i="1" a="1"/>
  <c r="Q1014" i="1" s="1"/>
  <c r="Q1015" i="1" a="1"/>
  <c r="Q1015" i="1" s="1"/>
  <c r="Q1016" i="1" a="1"/>
  <c r="Q1016" i="1" s="1"/>
  <c r="Q1017" i="1" a="1"/>
  <c r="Q1017" i="1" s="1"/>
  <c r="Q1018" i="1" a="1"/>
  <c r="Q1018" i="1" s="1"/>
  <c r="Q1019" i="1" a="1"/>
  <c r="Q1019" i="1" s="1"/>
  <c r="Q1020" i="1" a="1"/>
  <c r="Q1020" i="1" s="1"/>
  <c r="Q1021" i="1" a="1"/>
  <c r="Q1021" i="1" s="1"/>
  <c r="Q1022" i="1" a="1"/>
  <c r="Q1022" i="1" s="1"/>
  <c r="Q1023" i="1" a="1"/>
  <c r="Q1023" i="1" s="1"/>
  <c r="Q1024" i="1" a="1"/>
  <c r="Q1024" i="1" s="1"/>
  <c r="Q1025" i="1" a="1"/>
  <c r="Q1025" i="1" s="1"/>
  <c r="Q1026" i="1" a="1"/>
  <c r="Q1026" i="1" s="1"/>
  <c r="Q1027" i="1" a="1"/>
  <c r="Q1027" i="1" s="1"/>
  <c r="Q1028" i="1" a="1"/>
  <c r="Q1028" i="1" s="1"/>
  <c r="Q1029" i="1" a="1"/>
  <c r="Q1029" i="1" s="1"/>
  <c r="Q1030" i="1" a="1"/>
  <c r="Q1030" i="1" s="1"/>
  <c r="Q1031" i="1" a="1"/>
  <c r="Q1031" i="1" s="1"/>
  <c r="Q1032" i="1" a="1"/>
  <c r="Q1032" i="1" s="1"/>
  <c r="Q1033" i="1" a="1"/>
  <c r="Q1033" i="1" s="1"/>
  <c r="Q1034" i="1" a="1"/>
  <c r="Q1034" i="1" s="1"/>
  <c r="Q1035" i="1" a="1"/>
  <c r="Q1035" i="1" s="1"/>
  <c r="Q1036" i="1" a="1"/>
  <c r="Q1036" i="1" s="1"/>
  <c r="Q1037" i="1" a="1"/>
  <c r="Q1037" i="1" s="1"/>
  <c r="Q1038" i="1" a="1"/>
  <c r="Q1038" i="1" s="1"/>
  <c r="Q1039" i="1" a="1"/>
  <c r="Q1039" i="1" s="1"/>
  <c r="Q1040" i="1" a="1"/>
  <c r="Q1040" i="1" s="1"/>
  <c r="Q1041" i="1" a="1"/>
  <c r="Q1041" i="1" s="1"/>
  <c r="Q1042" i="1" a="1"/>
  <c r="Q1042" i="1" s="1"/>
  <c r="Q1043" i="1" a="1"/>
  <c r="Q1043" i="1" s="1"/>
  <c r="Q1044" i="1" a="1"/>
  <c r="Q1044" i="1" s="1"/>
  <c r="Q1045" i="1" a="1"/>
  <c r="Q1045" i="1" s="1"/>
  <c r="Q1046" i="1" a="1"/>
  <c r="Q1046" i="1" s="1"/>
  <c r="Q1047" i="1" a="1"/>
  <c r="Q1047" i="1" s="1"/>
  <c r="Q1048" i="1" a="1"/>
  <c r="Q1048" i="1" s="1"/>
  <c r="Q1049" i="1" a="1"/>
  <c r="Q1049" i="1" s="1"/>
  <c r="Q1050" i="1" a="1"/>
  <c r="Q1050" i="1" s="1"/>
  <c r="Q1051" i="1" a="1"/>
  <c r="Q1051" i="1" s="1"/>
  <c r="Q1052" i="1" a="1"/>
  <c r="Q1052" i="1" s="1"/>
  <c r="Q1053" i="1" a="1"/>
  <c r="Q1053" i="1" s="1"/>
  <c r="Q1054" i="1" a="1"/>
  <c r="Q1054" i="1" s="1"/>
  <c r="Q1055" i="1" a="1"/>
  <c r="Q1055" i="1" s="1"/>
  <c r="Q1056" i="1" a="1"/>
  <c r="Q1056" i="1" s="1"/>
  <c r="Q1057" i="1" a="1"/>
  <c r="Q1057" i="1" s="1"/>
  <c r="Q1058" i="1" a="1"/>
  <c r="Q1058" i="1" s="1"/>
  <c r="Q1059" i="1" a="1"/>
  <c r="Q1059" i="1" s="1"/>
  <c r="Q1060" i="1" a="1"/>
  <c r="Q1060" i="1" s="1"/>
  <c r="Q1061" i="1" a="1"/>
  <c r="Q1061" i="1" s="1"/>
  <c r="Q1062" i="1" a="1"/>
  <c r="Q1062" i="1" s="1"/>
  <c r="Q1063" i="1" a="1"/>
  <c r="Q1063" i="1" s="1"/>
  <c r="Q1064" i="1" a="1"/>
  <c r="Q1064" i="1" s="1"/>
  <c r="Q1065" i="1" a="1"/>
  <c r="Q1065" i="1" s="1"/>
  <c r="Q1066" i="1" a="1"/>
  <c r="Q1066" i="1" s="1"/>
  <c r="Q1067" i="1" a="1"/>
  <c r="Q1067" i="1" s="1"/>
  <c r="Q1068" i="1" a="1"/>
  <c r="Q1068" i="1" s="1"/>
  <c r="Q1069" i="1" a="1"/>
  <c r="Q1069" i="1" s="1"/>
  <c r="Q1070" i="1" a="1"/>
  <c r="Q1070" i="1" s="1"/>
  <c r="Q1071" i="1" a="1"/>
  <c r="Q1071" i="1" s="1"/>
  <c r="Q1072" i="1" a="1"/>
  <c r="Q1072" i="1" s="1"/>
  <c r="Q1073" i="1" a="1"/>
  <c r="Q1073" i="1" s="1"/>
  <c r="Q1074" i="1" a="1"/>
  <c r="Q1074" i="1" s="1"/>
  <c r="Q1075" i="1" a="1"/>
  <c r="Q1075" i="1" s="1"/>
  <c r="Q1076" i="1" a="1"/>
  <c r="Q1076" i="1" s="1"/>
  <c r="Q1077" i="1" a="1"/>
  <c r="Q1077" i="1" s="1"/>
  <c r="Q1078" i="1" a="1"/>
  <c r="Q1078" i="1" s="1"/>
  <c r="Q1079" i="1" a="1"/>
  <c r="Q1079" i="1" s="1"/>
  <c r="Q1080" i="1" a="1"/>
  <c r="Q1080" i="1" s="1"/>
  <c r="Q1081" i="1" a="1"/>
  <c r="Q1081" i="1" s="1"/>
  <c r="Q1082" i="1" a="1"/>
  <c r="Q1082" i="1" s="1"/>
  <c r="Q1083" i="1" a="1"/>
  <c r="Q1083" i="1" s="1"/>
  <c r="Q1084" i="1" a="1"/>
  <c r="Q1084" i="1" s="1"/>
  <c r="Q1085" i="1" a="1"/>
  <c r="Q1085" i="1" s="1"/>
  <c r="Q1086" i="1" a="1"/>
  <c r="Q1086" i="1" s="1"/>
  <c r="Q1087" i="1" a="1"/>
  <c r="Q1087" i="1" s="1"/>
  <c r="Q1088" i="1" a="1"/>
  <c r="Q1088" i="1" s="1"/>
  <c r="Q1089" i="1" a="1"/>
  <c r="Q1089" i="1" s="1"/>
  <c r="Q1090" i="1" a="1"/>
  <c r="Q1090" i="1" s="1"/>
  <c r="Q1091" i="1" a="1"/>
  <c r="Q1091" i="1" s="1"/>
  <c r="Q1092" i="1" a="1"/>
  <c r="Q1092" i="1" s="1"/>
  <c r="Q1093" i="1" a="1"/>
  <c r="Q1093" i="1" s="1"/>
  <c r="Q1094" i="1" a="1"/>
  <c r="Q1094" i="1" s="1"/>
  <c r="Q1095" i="1" a="1"/>
  <c r="Q1095" i="1" s="1"/>
  <c r="Q1096" i="1" a="1"/>
  <c r="Q1096" i="1" s="1"/>
  <c r="Q1097" i="1" a="1"/>
  <c r="Q1097" i="1" s="1"/>
  <c r="Q1098" i="1" a="1"/>
  <c r="Q1098" i="1" s="1"/>
  <c r="Q1099" i="1" a="1"/>
  <c r="Q1099" i="1" s="1"/>
  <c r="Q1100" i="1" a="1"/>
  <c r="Q1100" i="1" s="1"/>
  <c r="Q1101" i="1" a="1"/>
  <c r="Q1101" i="1" s="1"/>
  <c r="Q1102" i="1" a="1"/>
  <c r="Q1102" i="1" s="1"/>
  <c r="Q1103" i="1" a="1"/>
  <c r="Q1103" i="1" s="1"/>
  <c r="Q1104" i="1" a="1"/>
  <c r="Q1104" i="1" s="1"/>
  <c r="Q1105" i="1" a="1"/>
  <c r="Q1105" i="1" s="1"/>
  <c r="Q1106" i="1" a="1"/>
  <c r="Q1106" i="1" s="1"/>
  <c r="Q1107" i="1" a="1"/>
  <c r="Q1107" i="1" s="1"/>
  <c r="Q1108" i="1" a="1"/>
  <c r="Q1108" i="1" s="1"/>
  <c r="Q1109" i="1" a="1"/>
  <c r="Q1109" i="1" s="1"/>
  <c r="Q1110" i="1" a="1"/>
  <c r="Q1110" i="1" s="1"/>
  <c r="Q1111" i="1" a="1"/>
  <c r="Q1111" i="1" s="1"/>
  <c r="Q1112" i="1" a="1"/>
  <c r="Q1112" i="1" s="1"/>
  <c r="Q1113" i="1" a="1"/>
  <c r="Q1113" i="1" s="1"/>
  <c r="Q1114" i="1" a="1"/>
  <c r="Q1114" i="1" s="1"/>
  <c r="Q1115" i="1" a="1"/>
  <c r="Q1115" i="1" s="1"/>
  <c r="Q1116" i="1" a="1"/>
  <c r="Q1116" i="1" s="1"/>
  <c r="Q1117" i="1" a="1"/>
  <c r="Q1117" i="1" s="1"/>
  <c r="Q1118" i="1" a="1"/>
  <c r="Q1118" i="1" s="1"/>
  <c r="Q1119" i="1" a="1"/>
  <c r="Q1119" i="1" s="1"/>
  <c r="Q1120" i="1" a="1"/>
  <c r="Q1120" i="1" s="1"/>
  <c r="Q1121" i="1" a="1"/>
  <c r="Q1121" i="1" s="1"/>
  <c r="Q1122" i="1" a="1"/>
  <c r="Q1122" i="1" s="1"/>
  <c r="Q1123" i="1" a="1"/>
  <c r="Q1123" i="1" s="1"/>
  <c r="Q1124" i="1" a="1"/>
  <c r="Q1124" i="1" s="1"/>
  <c r="Q1125" i="1" a="1"/>
  <c r="Q1125" i="1" s="1"/>
  <c r="Q1126" i="1" a="1"/>
  <c r="Q1126" i="1" s="1"/>
  <c r="Q1127" i="1" a="1"/>
  <c r="Q1127" i="1" s="1"/>
  <c r="Q1128" i="1" a="1"/>
  <c r="Q1128" i="1" s="1"/>
  <c r="Q1129" i="1" a="1"/>
  <c r="Q1129" i="1" s="1"/>
  <c r="Q1130" i="1" a="1"/>
  <c r="Q1130" i="1" s="1"/>
  <c r="Q1131" i="1" a="1"/>
  <c r="Q1131" i="1" s="1"/>
  <c r="Q1132" i="1" a="1"/>
  <c r="Q1132" i="1" s="1"/>
  <c r="Q1133" i="1" a="1"/>
  <c r="Q1133" i="1" s="1"/>
  <c r="Q1134" i="1" a="1"/>
  <c r="Q1134" i="1" s="1"/>
  <c r="Q1135" i="1" a="1"/>
  <c r="Q1135" i="1" s="1"/>
  <c r="Q1136" i="1" a="1"/>
  <c r="Q1136" i="1" s="1"/>
  <c r="Q1137" i="1" a="1"/>
  <c r="Q1137" i="1" s="1"/>
  <c r="Q1138" i="1" a="1"/>
  <c r="Q1138" i="1" s="1"/>
  <c r="Q1139" i="1" a="1"/>
  <c r="Q1139" i="1" s="1"/>
  <c r="Q1140" i="1" a="1"/>
  <c r="Q1140" i="1" s="1"/>
  <c r="Q1141" i="1" a="1"/>
  <c r="Q1141" i="1" s="1"/>
  <c r="Q1142" i="1" a="1"/>
  <c r="Q1142" i="1" s="1"/>
  <c r="Q1143" i="1" a="1"/>
  <c r="Q1143" i="1" s="1"/>
  <c r="Q1144" i="1" a="1"/>
  <c r="Q1144" i="1" s="1"/>
  <c r="Q1145" i="1" a="1"/>
  <c r="Q1145" i="1" s="1"/>
  <c r="Q1146" i="1" a="1"/>
  <c r="Q1146" i="1" s="1"/>
  <c r="Q1147" i="1" a="1"/>
  <c r="Q1147" i="1" s="1"/>
  <c r="Q1148" i="1" a="1"/>
  <c r="Q1148" i="1" s="1"/>
  <c r="Q1149" i="1" a="1"/>
  <c r="Q1149" i="1" s="1"/>
  <c r="Q1150" i="1" a="1"/>
  <c r="Q1150" i="1" s="1"/>
  <c r="Q1151" i="1" a="1"/>
  <c r="Q1151" i="1" s="1"/>
  <c r="Q1152" i="1" a="1"/>
  <c r="Q1152" i="1" s="1"/>
  <c r="Q1153" i="1" a="1"/>
  <c r="Q1153" i="1" s="1"/>
  <c r="Q1154" i="1" a="1"/>
  <c r="Q1154" i="1" s="1"/>
  <c r="Q1155" i="1" a="1"/>
  <c r="Q1155" i="1" s="1"/>
  <c r="Q1156" i="1" a="1"/>
  <c r="Q1156" i="1" s="1"/>
  <c r="Q1157" i="1" a="1"/>
  <c r="Q1157" i="1" s="1"/>
  <c r="Q1158" i="1" a="1"/>
  <c r="Q1158" i="1" s="1"/>
  <c r="Q1159" i="1" a="1"/>
  <c r="Q1159" i="1" s="1"/>
  <c r="Q1160" i="1" a="1"/>
  <c r="Q1160" i="1" s="1"/>
  <c r="Q1161" i="1" a="1"/>
  <c r="Q1161" i="1" s="1"/>
  <c r="Q1162" i="1" a="1"/>
  <c r="Q1162" i="1" s="1"/>
  <c r="Q1163" i="1" a="1"/>
  <c r="Q1163" i="1" s="1"/>
  <c r="Q1164" i="1" a="1"/>
  <c r="Q1164" i="1" s="1"/>
  <c r="Q1165" i="1" a="1"/>
  <c r="Q1165" i="1" s="1"/>
  <c r="Q1166" i="1" a="1"/>
  <c r="Q1166" i="1" s="1"/>
  <c r="Q1167" i="1" a="1"/>
  <c r="Q1167" i="1" s="1"/>
  <c r="Q1168" i="1" a="1"/>
  <c r="Q1168" i="1" s="1"/>
  <c r="Q1169" i="1" a="1"/>
  <c r="Q1169" i="1" s="1"/>
  <c r="Q1170" i="1" a="1"/>
  <c r="Q1170" i="1" s="1"/>
  <c r="Q1171" i="1" a="1"/>
  <c r="Q1171" i="1" s="1"/>
  <c r="Q1172" i="1" a="1"/>
  <c r="Q1172" i="1" s="1"/>
  <c r="Q1173" i="1" a="1"/>
  <c r="Q1173" i="1" s="1"/>
  <c r="Q1174" i="1" a="1"/>
  <c r="Q1174" i="1" s="1"/>
  <c r="Q1175" i="1" a="1"/>
  <c r="Q1175" i="1" s="1"/>
  <c r="Q1176" i="1" a="1"/>
  <c r="Q1176" i="1" s="1"/>
  <c r="Q1177" i="1" a="1"/>
  <c r="Q1177" i="1" s="1"/>
  <c r="Q1178" i="1" a="1"/>
  <c r="Q1178" i="1" s="1"/>
  <c r="Q1179" i="1" a="1"/>
  <c r="Q1179" i="1" s="1"/>
  <c r="Q1180" i="1" a="1"/>
  <c r="Q1180" i="1" s="1"/>
  <c r="Q1181" i="1" a="1"/>
  <c r="Q1181" i="1" s="1"/>
  <c r="Q1182" i="1" a="1"/>
  <c r="Q1182" i="1" s="1"/>
  <c r="Q1183" i="1" a="1"/>
  <c r="Q1183" i="1" s="1"/>
  <c r="Q1184" i="1" a="1"/>
  <c r="Q1184" i="1" s="1"/>
  <c r="Q1185" i="1" a="1"/>
  <c r="Q1185" i="1" s="1"/>
  <c r="Q1186" i="1" a="1"/>
  <c r="Q1186" i="1" s="1"/>
  <c r="Q1187" i="1" a="1"/>
  <c r="Q1187" i="1" s="1"/>
  <c r="Q1188" i="1" a="1"/>
  <c r="Q1188" i="1" s="1"/>
  <c r="Q1189" i="1" a="1"/>
  <c r="Q1189" i="1" s="1"/>
  <c r="Q1190" i="1" a="1"/>
  <c r="Q1190" i="1" s="1"/>
  <c r="Q1191" i="1" a="1"/>
  <c r="Q1191" i="1" s="1"/>
  <c r="Q1192" i="1" a="1"/>
  <c r="Q1192" i="1" s="1"/>
  <c r="Q1193" i="1" a="1"/>
  <c r="Q1193" i="1" s="1"/>
  <c r="Q1194" i="1" a="1"/>
  <c r="Q1194" i="1" s="1"/>
  <c r="Q1195" i="1" a="1"/>
  <c r="Q1195" i="1" s="1"/>
  <c r="Q1196" i="1" a="1"/>
  <c r="Q1196" i="1" s="1"/>
  <c r="Q1197" i="1" a="1"/>
  <c r="Q1197" i="1" s="1"/>
  <c r="Q1198" i="1" a="1"/>
  <c r="Q1198" i="1" s="1"/>
  <c r="Q1199" i="1" a="1"/>
  <c r="Q1199" i="1" s="1"/>
  <c r="Q1200" i="1" a="1"/>
  <c r="Q1200" i="1" s="1"/>
  <c r="Q2" i="1" a="1"/>
  <c r="Q2" i="1" s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<sst xmlns="http://schemas.openxmlformats.org/spreadsheetml/2006/main" count="6078" uniqueCount="2449">
  <si>
    <t>Student ID</t>
  </si>
  <si>
    <t>Student Name</t>
  </si>
  <si>
    <t>Course</t>
  </si>
  <si>
    <t>Faculty</t>
  </si>
  <si>
    <t>Enrollment Date</t>
  </si>
  <si>
    <t>Status</t>
  </si>
  <si>
    <t>Course Fee</t>
  </si>
  <si>
    <t>Scholarship</t>
  </si>
  <si>
    <t>GPA</t>
  </si>
  <si>
    <t>Credits Earned</t>
  </si>
  <si>
    <t>S1000</t>
  </si>
  <si>
    <t>Student_0</t>
  </si>
  <si>
    <t>Biology</t>
  </si>
  <si>
    <t>Engineering</t>
  </si>
  <si>
    <t>Enrolled</t>
  </si>
  <si>
    <t>S1001</t>
  </si>
  <si>
    <t>Student_1</t>
  </si>
  <si>
    <t>Data Science</t>
  </si>
  <si>
    <t>Science</t>
  </si>
  <si>
    <t>Completed</t>
  </si>
  <si>
    <t>S1002</t>
  </si>
  <si>
    <t>Student_2</t>
  </si>
  <si>
    <t>Business Analytics</t>
  </si>
  <si>
    <t>S1003</t>
  </si>
  <si>
    <t>Student_3</t>
  </si>
  <si>
    <t>Psychology</t>
  </si>
  <si>
    <t>S1004</t>
  </si>
  <si>
    <t>Student_4</t>
  </si>
  <si>
    <t>Economics</t>
  </si>
  <si>
    <t>S1005</t>
  </si>
  <si>
    <t>Student_5</t>
  </si>
  <si>
    <t>Arts</t>
  </si>
  <si>
    <t>S1006</t>
  </si>
  <si>
    <t>Student_6</t>
  </si>
  <si>
    <t>S1007</t>
  </si>
  <si>
    <t>Student_7</t>
  </si>
  <si>
    <t>Mechanical Engineering</t>
  </si>
  <si>
    <t>S1008</t>
  </si>
  <si>
    <t>Student_8</t>
  </si>
  <si>
    <t>Dropped</t>
  </si>
  <si>
    <t>S1009</t>
  </si>
  <si>
    <t>Student_9</t>
  </si>
  <si>
    <t>S1010</t>
  </si>
  <si>
    <t>Student_10</t>
  </si>
  <si>
    <t>S1011</t>
  </si>
  <si>
    <t>Student_11</t>
  </si>
  <si>
    <t>S1012</t>
  </si>
  <si>
    <t>Student_12</t>
  </si>
  <si>
    <t>S1013</t>
  </si>
  <si>
    <t>Student_13</t>
  </si>
  <si>
    <t>S1014</t>
  </si>
  <si>
    <t>Student_14</t>
  </si>
  <si>
    <t>S1015</t>
  </si>
  <si>
    <t>Student_15</t>
  </si>
  <si>
    <t>Philosophy</t>
  </si>
  <si>
    <t>S1016</t>
  </si>
  <si>
    <t>Student_16</t>
  </si>
  <si>
    <t>Architecture</t>
  </si>
  <si>
    <t>S1017</t>
  </si>
  <si>
    <t>Student_17</t>
  </si>
  <si>
    <t>S1018</t>
  </si>
  <si>
    <t>Student_18</t>
  </si>
  <si>
    <t>Business</t>
  </si>
  <si>
    <t>S1019</t>
  </si>
  <si>
    <t>Student_19</t>
  </si>
  <si>
    <t>S1020</t>
  </si>
  <si>
    <t>Student_20</t>
  </si>
  <si>
    <t>S1021</t>
  </si>
  <si>
    <t>Student_21</t>
  </si>
  <si>
    <t>S1022</t>
  </si>
  <si>
    <t>Student_22</t>
  </si>
  <si>
    <t>S1023</t>
  </si>
  <si>
    <t>Student_23</t>
  </si>
  <si>
    <t>S1024</t>
  </si>
  <si>
    <t>Student_24</t>
  </si>
  <si>
    <t>S1025</t>
  </si>
  <si>
    <t>Student_25</t>
  </si>
  <si>
    <t>S1026</t>
  </si>
  <si>
    <t>Student_26</t>
  </si>
  <si>
    <t>S1027</t>
  </si>
  <si>
    <t>Student_27</t>
  </si>
  <si>
    <t>S1028</t>
  </si>
  <si>
    <t>Student_28</t>
  </si>
  <si>
    <t>S1029</t>
  </si>
  <si>
    <t>Student_29</t>
  </si>
  <si>
    <t>S1030</t>
  </si>
  <si>
    <t>Student_30</t>
  </si>
  <si>
    <t>S1031</t>
  </si>
  <si>
    <t>Student_31</t>
  </si>
  <si>
    <t>S1032</t>
  </si>
  <si>
    <t>Student_32</t>
  </si>
  <si>
    <t>S1033</t>
  </si>
  <si>
    <t>Student_33</t>
  </si>
  <si>
    <t>S1034</t>
  </si>
  <si>
    <t>Student_34</t>
  </si>
  <si>
    <t>S1035</t>
  </si>
  <si>
    <t>Student_35</t>
  </si>
  <si>
    <t>S1036</t>
  </si>
  <si>
    <t>Student_36</t>
  </si>
  <si>
    <t>S1037</t>
  </si>
  <si>
    <t>Student_37</t>
  </si>
  <si>
    <t>S1038</t>
  </si>
  <si>
    <t>Student_38</t>
  </si>
  <si>
    <t>S1039</t>
  </si>
  <si>
    <t>Student_39</t>
  </si>
  <si>
    <t>S1040</t>
  </si>
  <si>
    <t>Student_40</t>
  </si>
  <si>
    <t>S1041</t>
  </si>
  <si>
    <t>Student_41</t>
  </si>
  <si>
    <t>S1042</t>
  </si>
  <si>
    <t>Student_42</t>
  </si>
  <si>
    <t>S1043</t>
  </si>
  <si>
    <t>Student_43</t>
  </si>
  <si>
    <t>S1044</t>
  </si>
  <si>
    <t>Student_44</t>
  </si>
  <si>
    <t>S1045</t>
  </si>
  <si>
    <t>Student_45</t>
  </si>
  <si>
    <t>S1046</t>
  </si>
  <si>
    <t>Student_46</t>
  </si>
  <si>
    <t>S1047</t>
  </si>
  <si>
    <t>Student_47</t>
  </si>
  <si>
    <t>S1048</t>
  </si>
  <si>
    <t>Student_48</t>
  </si>
  <si>
    <t>S1049</t>
  </si>
  <si>
    <t>Student_49</t>
  </si>
  <si>
    <t>S1050</t>
  </si>
  <si>
    <t>Student_50</t>
  </si>
  <si>
    <t>S1051</t>
  </si>
  <si>
    <t>Student_51</t>
  </si>
  <si>
    <t>S1052</t>
  </si>
  <si>
    <t>Student_52</t>
  </si>
  <si>
    <t>S1053</t>
  </si>
  <si>
    <t>Student_53</t>
  </si>
  <si>
    <t>S1054</t>
  </si>
  <si>
    <t>Student_54</t>
  </si>
  <si>
    <t>S1055</t>
  </si>
  <si>
    <t>Student_55</t>
  </si>
  <si>
    <t>S1056</t>
  </si>
  <si>
    <t>Student_56</t>
  </si>
  <si>
    <t>S1057</t>
  </si>
  <si>
    <t>Student_57</t>
  </si>
  <si>
    <t>S1058</t>
  </si>
  <si>
    <t>Student_58</t>
  </si>
  <si>
    <t>S1059</t>
  </si>
  <si>
    <t>Student_59</t>
  </si>
  <si>
    <t>S1060</t>
  </si>
  <si>
    <t>Student_60</t>
  </si>
  <si>
    <t>S1061</t>
  </si>
  <si>
    <t>Student_61</t>
  </si>
  <si>
    <t>S1062</t>
  </si>
  <si>
    <t>Student_62</t>
  </si>
  <si>
    <t>S1063</t>
  </si>
  <si>
    <t>Student_63</t>
  </si>
  <si>
    <t>S1064</t>
  </si>
  <si>
    <t>Student_64</t>
  </si>
  <si>
    <t>S1065</t>
  </si>
  <si>
    <t>Student_65</t>
  </si>
  <si>
    <t>S1066</t>
  </si>
  <si>
    <t>Student_66</t>
  </si>
  <si>
    <t>S1067</t>
  </si>
  <si>
    <t>Student_67</t>
  </si>
  <si>
    <t>S1068</t>
  </si>
  <si>
    <t>Student_68</t>
  </si>
  <si>
    <t>S1069</t>
  </si>
  <si>
    <t>Student_69</t>
  </si>
  <si>
    <t>S1070</t>
  </si>
  <si>
    <t>Student_70</t>
  </si>
  <si>
    <t>S1071</t>
  </si>
  <si>
    <t>Student_71</t>
  </si>
  <si>
    <t>S1072</t>
  </si>
  <si>
    <t>Student_72</t>
  </si>
  <si>
    <t>S1073</t>
  </si>
  <si>
    <t>Student_73</t>
  </si>
  <si>
    <t>S1074</t>
  </si>
  <si>
    <t>Student_74</t>
  </si>
  <si>
    <t>S1075</t>
  </si>
  <si>
    <t>Student_75</t>
  </si>
  <si>
    <t>S1076</t>
  </si>
  <si>
    <t>Student_76</t>
  </si>
  <si>
    <t>S1077</t>
  </si>
  <si>
    <t>Student_77</t>
  </si>
  <si>
    <t>S1078</t>
  </si>
  <si>
    <t>Student_78</t>
  </si>
  <si>
    <t>S1079</t>
  </si>
  <si>
    <t>Student_79</t>
  </si>
  <si>
    <t>S1080</t>
  </si>
  <si>
    <t>Student_80</t>
  </si>
  <si>
    <t>S1081</t>
  </si>
  <si>
    <t>Student_81</t>
  </si>
  <si>
    <t>S1082</t>
  </si>
  <si>
    <t>Student_82</t>
  </si>
  <si>
    <t>S1083</t>
  </si>
  <si>
    <t>Student_83</t>
  </si>
  <si>
    <t>S1084</t>
  </si>
  <si>
    <t>Student_84</t>
  </si>
  <si>
    <t>S1085</t>
  </si>
  <si>
    <t>Student_85</t>
  </si>
  <si>
    <t>S1086</t>
  </si>
  <si>
    <t>Student_86</t>
  </si>
  <si>
    <t>S1087</t>
  </si>
  <si>
    <t>Student_87</t>
  </si>
  <si>
    <t>S1088</t>
  </si>
  <si>
    <t>Student_88</t>
  </si>
  <si>
    <t>S1089</t>
  </si>
  <si>
    <t>Student_89</t>
  </si>
  <si>
    <t>S1090</t>
  </si>
  <si>
    <t>Student_90</t>
  </si>
  <si>
    <t>S1091</t>
  </si>
  <si>
    <t>Student_91</t>
  </si>
  <si>
    <t>S1092</t>
  </si>
  <si>
    <t>Student_92</t>
  </si>
  <si>
    <t>S1093</t>
  </si>
  <si>
    <t>Student_93</t>
  </si>
  <si>
    <t>S1094</t>
  </si>
  <si>
    <t>Student_94</t>
  </si>
  <si>
    <t>S1095</t>
  </si>
  <si>
    <t>Student_95</t>
  </si>
  <si>
    <t>S1096</t>
  </si>
  <si>
    <t>Student_96</t>
  </si>
  <si>
    <t>S1097</t>
  </si>
  <si>
    <t>Student_97</t>
  </si>
  <si>
    <t>S1098</t>
  </si>
  <si>
    <t>Student_98</t>
  </si>
  <si>
    <t>S1099</t>
  </si>
  <si>
    <t>Student_99</t>
  </si>
  <si>
    <t>S1100</t>
  </si>
  <si>
    <t>Student_100</t>
  </si>
  <si>
    <t>S1101</t>
  </si>
  <si>
    <t>Student_101</t>
  </si>
  <si>
    <t>S1102</t>
  </si>
  <si>
    <t>Student_102</t>
  </si>
  <si>
    <t>S1103</t>
  </si>
  <si>
    <t>Student_103</t>
  </si>
  <si>
    <t>S1104</t>
  </si>
  <si>
    <t>Student_104</t>
  </si>
  <si>
    <t>S1105</t>
  </si>
  <si>
    <t>Student_105</t>
  </si>
  <si>
    <t>S1106</t>
  </si>
  <si>
    <t>Student_106</t>
  </si>
  <si>
    <t>S1107</t>
  </si>
  <si>
    <t>Student_107</t>
  </si>
  <si>
    <t>S1108</t>
  </si>
  <si>
    <t>Student_108</t>
  </si>
  <si>
    <t>S1109</t>
  </si>
  <si>
    <t>Student_109</t>
  </si>
  <si>
    <t>S1110</t>
  </si>
  <si>
    <t>Student_110</t>
  </si>
  <si>
    <t>S1111</t>
  </si>
  <si>
    <t>Student_111</t>
  </si>
  <si>
    <t>S1112</t>
  </si>
  <si>
    <t>Student_112</t>
  </si>
  <si>
    <t>S1113</t>
  </si>
  <si>
    <t>Student_113</t>
  </si>
  <si>
    <t>S1114</t>
  </si>
  <si>
    <t>Student_114</t>
  </si>
  <si>
    <t>S1115</t>
  </si>
  <si>
    <t>Student_115</t>
  </si>
  <si>
    <t>S1116</t>
  </si>
  <si>
    <t>Student_116</t>
  </si>
  <si>
    <t>S1117</t>
  </si>
  <si>
    <t>Student_117</t>
  </si>
  <si>
    <t>S1118</t>
  </si>
  <si>
    <t>Student_118</t>
  </si>
  <si>
    <t>S1119</t>
  </si>
  <si>
    <t>Student_119</t>
  </si>
  <si>
    <t>S1120</t>
  </si>
  <si>
    <t>Student_120</t>
  </si>
  <si>
    <t>S1121</t>
  </si>
  <si>
    <t>Student_121</t>
  </si>
  <si>
    <t>S1122</t>
  </si>
  <si>
    <t>Student_122</t>
  </si>
  <si>
    <t>S1123</t>
  </si>
  <si>
    <t>Student_123</t>
  </si>
  <si>
    <t>S1124</t>
  </si>
  <si>
    <t>Student_124</t>
  </si>
  <si>
    <t>S1125</t>
  </si>
  <si>
    <t>Student_125</t>
  </si>
  <si>
    <t>S1126</t>
  </si>
  <si>
    <t>Student_126</t>
  </si>
  <si>
    <t>S1127</t>
  </si>
  <si>
    <t>Student_127</t>
  </si>
  <si>
    <t>S1128</t>
  </si>
  <si>
    <t>Student_128</t>
  </si>
  <si>
    <t>S1129</t>
  </si>
  <si>
    <t>Student_129</t>
  </si>
  <si>
    <t>S1130</t>
  </si>
  <si>
    <t>Student_130</t>
  </si>
  <si>
    <t>S1131</t>
  </si>
  <si>
    <t>Student_131</t>
  </si>
  <si>
    <t>S1132</t>
  </si>
  <si>
    <t>Student_132</t>
  </si>
  <si>
    <t>S1133</t>
  </si>
  <si>
    <t>Student_133</t>
  </si>
  <si>
    <t>S1134</t>
  </si>
  <si>
    <t>Student_134</t>
  </si>
  <si>
    <t>S1135</t>
  </si>
  <si>
    <t>Student_135</t>
  </si>
  <si>
    <t>S1136</t>
  </si>
  <si>
    <t>Student_136</t>
  </si>
  <si>
    <t>S1137</t>
  </si>
  <si>
    <t>Student_137</t>
  </si>
  <si>
    <t>S1138</t>
  </si>
  <si>
    <t>Student_138</t>
  </si>
  <si>
    <t>S1139</t>
  </si>
  <si>
    <t>Student_139</t>
  </si>
  <si>
    <t>S1140</t>
  </si>
  <si>
    <t>Student_140</t>
  </si>
  <si>
    <t>S1141</t>
  </si>
  <si>
    <t>Student_141</t>
  </si>
  <si>
    <t>S1142</t>
  </si>
  <si>
    <t>Student_142</t>
  </si>
  <si>
    <t>S1143</t>
  </si>
  <si>
    <t>Student_143</t>
  </si>
  <si>
    <t>S1144</t>
  </si>
  <si>
    <t>Student_144</t>
  </si>
  <si>
    <t>S1145</t>
  </si>
  <si>
    <t>Student_145</t>
  </si>
  <si>
    <t>S1146</t>
  </si>
  <si>
    <t>Student_146</t>
  </si>
  <si>
    <t>S1147</t>
  </si>
  <si>
    <t>Student_147</t>
  </si>
  <si>
    <t>S1148</t>
  </si>
  <si>
    <t>Student_148</t>
  </si>
  <si>
    <t>S1149</t>
  </si>
  <si>
    <t>Student_149</t>
  </si>
  <si>
    <t>S1150</t>
  </si>
  <si>
    <t>Student_150</t>
  </si>
  <si>
    <t>S1151</t>
  </si>
  <si>
    <t>Student_151</t>
  </si>
  <si>
    <t>S1152</t>
  </si>
  <si>
    <t>Student_152</t>
  </si>
  <si>
    <t>S1153</t>
  </si>
  <si>
    <t>Student_153</t>
  </si>
  <si>
    <t>S1154</t>
  </si>
  <si>
    <t>Student_154</t>
  </si>
  <si>
    <t>S1155</t>
  </si>
  <si>
    <t>Student_155</t>
  </si>
  <si>
    <t>S1156</t>
  </si>
  <si>
    <t>Student_156</t>
  </si>
  <si>
    <t>S1157</t>
  </si>
  <si>
    <t>Student_157</t>
  </si>
  <si>
    <t>S1158</t>
  </si>
  <si>
    <t>Student_158</t>
  </si>
  <si>
    <t>S1159</t>
  </si>
  <si>
    <t>Student_159</t>
  </si>
  <si>
    <t>S1160</t>
  </si>
  <si>
    <t>Student_160</t>
  </si>
  <si>
    <t>S1161</t>
  </si>
  <si>
    <t>Student_161</t>
  </si>
  <si>
    <t>S1162</t>
  </si>
  <si>
    <t>Student_162</t>
  </si>
  <si>
    <t>S1163</t>
  </si>
  <si>
    <t>Student_163</t>
  </si>
  <si>
    <t>S1164</t>
  </si>
  <si>
    <t>Student_164</t>
  </si>
  <si>
    <t>S1165</t>
  </si>
  <si>
    <t>Student_165</t>
  </si>
  <si>
    <t>S1166</t>
  </si>
  <si>
    <t>Student_166</t>
  </si>
  <si>
    <t>S1167</t>
  </si>
  <si>
    <t>Student_167</t>
  </si>
  <si>
    <t>S1168</t>
  </si>
  <si>
    <t>Student_168</t>
  </si>
  <si>
    <t>S1169</t>
  </si>
  <si>
    <t>Student_169</t>
  </si>
  <si>
    <t>S1170</t>
  </si>
  <si>
    <t>Student_170</t>
  </si>
  <si>
    <t>S1171</t>
  </si>
  <si>
    <t>Student_171</t>
  </si>
  <si>
    <t>S1172</t>
  </si>
  <si>
    <t>Student_172</t>
  </si>
  <si>
    <t>S1173</t>
  </si>
  <si>
    <t>Student_173</t>
  </si>
  <si>
    <t>S1174</t>
  </si>
  <si>
    <t>Student_174</t>
  </si>
  <si>
    <t>S1175</t>
  </si>
  <si>
    <t>Student_175</t>
  </si>
  <si>
    <t>S1176</t>
  </si>
  <si>
    <t>Student_176</t>
  </si>
  <si>
    <t>S1177</t>
  </si>
  <si>
    <t>Student_177</t>
  </si>
  <si>
    <t>S1178</t>
  </si>
  <si>
    <t>Student_178</t>
  </si>
  <si>
    <t>S1179</t>
  </si>
  <si>
    <t>Student_179</t>
  </si>
  <si>
    <t>S1180</t>
  </si>
  <si>
    <t>Student_180</t>
  </si>
  <si>
    <t>S1181</t>
  </si>
  <si>
    <t>Student_181</t>
  </si>
  <si>
    <t>S1182</t>
  </si>
  <si>
    <t>Student_182</t>
  </si>
  <si>
    <t>S1183</t>
  </si>
  <si>
    <t>Student_183</t>
  </si>
  <si>
    <t>S1184</t>
  </si>
  <si>
    <t>Student_184</t>
  </si>
  <si>
    <t>S1185</t>
  </si>
  <si>
    <t>Student_185</t>
  </si>
  <si>
    <t>S1186</t>
  </si>
  <si>
    <t>Student_186</t>
  </si>
  <si>
    <t>S1187</t>
  </si>
  <si>
    <t>Student_187</t>
  </si>
  <si>
    <t>S1188</t>
  </si>
  <si>
    <t>Student_188</t>
  </si>
  <si>
    <t>S1189</t>
  </si>
  <si>
    <t>Student_189</t>
  </si>
  <si>
    <t>S1190</t>
  </si>
  <si>
    <t>Student_190</t>
  </si>
  <si>
    <t>S1191</t>
  </si>
  <si>
    <t>Student_191</t>
  </si>
  <si>
    <t>S1192</t>
  </si>
  <si>
    <t>Student_192</t>
  </si>
  <si>
    <t>S1193</t>
  </si>
  <si>
    <t>Student_193</t>
  </si>
  <si>
    <t>S1194</t>
  </si>
  <si>
    <t>Student_194</t>
  </si>
  <si>
    <t>S1195</t>
  </si>
  <si>
    <t>Student_195</t>
  </si>
  <si>
    <t>S1196</t>
  </si>
  <si>
    <t>Student_196</t>
  </si>
  <si>
    <t>S1197</t>
  </si>
  <si>
    <t>Student_197</t>
  </si>
  <si>
    <t>S1198</t>
  </si>
  <si>
    <t>Student_198</t>
  </si>
  <si>
    <t>S1199</t>
  </si>
  <si>
    <t>Student_199</t>
  </si>
  <si>
    <t>S1200</t>
  </si>
  <si>
    <t>Student_200</t>
  </si>
  <si>
    <t>S1201</t>
  </si>
  <si>
    <t>Student_201</t>
  </si>
  <si>
    <t>S1202</t>
  </si>
  <si>
    <t>Student_202</t>
  </si>
  <si>
    <t>S1203</t>
  </si>
  <si>
    <t>Student_203</t>
  </si>
  <si>
    <t>S1204</t>
  </si>
  <si>
    <t>Student_204</t>
  </si>
  <si>
    <t>S1205</t>
  </si>
  <si>
    <t>Student_205</t>
  </si>
  <si>
    <t>S1206</t>
  </si>
  <si>
    <t>Student_206</t>
  </si>
  <si>
    <t>S1207</t>
  </si>
  <si>
    <t>Student_207</t>
  </si>
  <si>
    <t>S1208</t>
  </si>
  <si>
    <t>Student_208</t>
  </si>
  <si>
    <t>S1209</t>
  </si>
  <si>
    <t>Student_209</t>
  </si>
  <si>
    <t>S1210</t>
  </si>
  <si>
    <t>Student_210</t>
  </si>
  <si>
    <t>S1211</t>
  </si>
  <si>
    <t>Student_211</t>
  </si>
  <si>
    <t>S1212</t>
  </si>
  <si>
    <t>Student_212</t>
  </si>
  <si>
    <t>S1213</t>
  </si>
  <si>
    <t>Student_213</t>
  </si>
  <si>
    <t>S1214</t>
  </si>
  <si>
    <t>Student_214</t>
  </si>
  <si>
    <t>S1215</t>
  </si>
  <si>
    <t>Student_215</t>
  </si>
  <si>
    <t>S1216</t>
  </si>
  <si>
    <t>Student_216</t>
  </si>
  <si>
    <t>S1217</t>
  </si>
  <si>
    <t>Student_217</t>
  </si>
  <si>
    <t>S1218</t>
  </si>
  <si>
    <t>Student_218</t>
  </si>
  <si>
    <t>S1219</t>
  </si>
  <si>
    <t>Student_219</t>
  </si>
  <si>
    <t>S1220</t>
  </si>
  <si>
    <t>Student_220</t>
  </si>
  <si>
    <t>S1221</t>
  </si>
  <si>
    <t>Student_221</t>
  </si>
  <si>
    <t>S1222</t>
  </si>
  <si>
    <t>Student_222</t>
  </si>
  <si>
    <t>S1223</t>
  </si>
  <si>
    <t>Student_223</t>
  </si>
  <si>
    <t>S1224</t>
  </si>
  <si>
    <t>Student_224</t>
  </si>
  <si>
    <t>S1225</t>
  </si>
  <si>
    <t>Student_225</t>
  </si>
  <si>
    <t>S1226</t>
  </si>
  <si>
    <t>Student_226</t>
  </si>
  <si>
    <t>S1227</t>
  </si>
  <si>
    <t>Student_227</t>
  </si>
  <si>
    <t>S1228</t>
  </si>
  <si>
    <t>Student_228</t>
  </si>
  <si>
    <t>S1229</t>
  </si>
  <si>
    <t>Student_229</t>
  </si>
  <si>
    <t>S1230</t>
  </si>
  <si>
    <t>Student_230</t>
  </si>
  <si>
    <t>S1231</t>
  </si>
  <si>
    <t>Student_231</t>
  </si>
  <si>
    <t>S1232</t>
  </si>
  <si>
    <t>Student_232</t>
  </si>
  <si>
    <t>S1233</t>
  </si>
  <si>
    <t>Student_233</t>
  </si>
  <si>
    <t>S1234</t>
  </si>
  <si>
    <t>Student_234</t>
  </si>
  <si>
    <t>S1235</t>
  </si>
  <si>
    <t>Student_235</t>
  </si>
  <si>
    <t>S1236</t>
  </si>
  <si>
    <t>Student_236</t>
  </si>
  <si>
    <t>S1237</t>
  </si>
  <si>
    <t>Student_237</t>
  </si>
  <si>
    <t>S1238</t>
  </si>
  <si>
    <t>Student_238</t>
  </si>
  <si>
    <t>S1239</t>
  </si>
  <si>
    <t>Student_239</t>
  </si>
  <si>
    <t>S1240</t>
  </si>
  <si>
    <t>Student_240</t>
  </si>
  <si>
    <t>S1241</t>
  </si>
  <si>
    <t>Student_241</t>
  </si>
  <si>
    <t>S1242</t>
  </si>
  <si>
    <t>Student_242</t>
  </si>
  <si>
    <t>S1243</t>
  </si>
  <si>
    <t>Student_243</t>
  </si>
  <si>
    <t>S1244</t>
  </si>
  <si>
    <t>Student_244</t>
  </si>
  <si>
    <t>S1245</t>
  </si>
  <si>
    <t>Student_245</t>
  </si>
  <si>
    <t>S1246</t>
  </si>
  <si>
    <t>Student_246</t>
  </si>
  <si>
    <t>S1247</t>
  </si>
  <si>
    <t>Student_247</t>
  </si>
  <si>
    <t>S1248</t>
  </si>
  <si>
    <t>Student_248</t>
  </si>
  <si>
    <t>S1249</t>
  </si>
  <si>
    <t>Student_249</t>
  </si>
  <si>
    <t>S1250</t>
  </si>
  <si>
    <t>Student_250</t>
  </si>
  <si>
    <t>S1251</t>
  </si>
  <si>
    <t>Student_251</t>
  </si>
  <si>
    <t>S1252</t>
  </si>
  <si>
    <t>Student_252</t>
  </si>
  <si>
    <t>S1253</t>
  </si>
  <si>
    <t>Student_253</t>
  </si>
  <si>
    <t>S1254</t>
  </si>
  <si>
    <t>Student_254</t>
  </si>
  <si>
    <t>S1255</t>
  </si>
  <si>
    <t>Student_255</t>
  </si>
  <si>
    <t>S1256</t>
  </si>
  <si>
    <t>Student_256</t>
  </si>
  <si>
    <t>S1257</t>
  </si>
  <si>
    <t>Student_257</t>
  </si>
  <si>
    <t>S1258</t>
  </si>
  <si>
    <t>Student_258</t>
  </si>
  <si>
    <t>S1259</t>
  </si>
  <si>
    <t>Student_259</t>
  </si>
  <si>
    <t>S1260</t>
  </si>
  <si>
    <t>Student_260</t>
  </si>
  <si>
    <t>S1261</t>
  </si>
  <si>
    <t>Student_261</t>
  </si>
  <si>
    <t>S1262</t>
  </si>
  <si>
    <t>Student_262</t>
  </si>
  <si>
    <t>S1263</t>
  </si>
  <si>
    <t>Student_263</t>
  </si>
  <si>
    <t>S1264</t>
  </si>
  <si>
    <t>Student_264</t>
  </si>
  <si>
    <t>S1265</t>
  </si>
  <si>
    <t>Student_265</t>
  </si>
  <si>
    <t>S1266</t>
  </si>
  <si>
    <t>Student_266</t>
  </si>
  <si>
    <t>S1267</t>
  </si>
  <si>
    <t>Student_267</t>
  </si>
  <si>
    <t>S1268</t>
  </si>
  <si>
    <t>Student_268</t>
  </si>
  <si>
    <t>S1269</t>
  </si>
  <si>
    <t>Student_269</t>
  </si>
  <si>
    <t>S1270</t>
  </si>
  <si>
    <t>Student_270</t>
  </si>
  <si>
    <t>S1271</t>
  </si>
  <si>
    <t>Student_271</t>
  </si>
  <si>
    <t>S1272</t>
  </si>
  <si>
    <t>Student_272</t>
  </si>
  <si>
    <t>S1273</t>
  </si>
  <si>
    <t>Student_273</t>
  </si>
  <si>
    <t>S1274</t>
  </si>
  <si>
    <t>Student_274</t>
  </si>
  <si>
    <t>S1275</t>
  </si>
  <si>
    <t>Student_275</t>
  </si>
  <si>
    <t>S1276</t>
  </si>
  <si>
    <t>Student_276</t>
  </si>
  <si>
    <t>S1277</t>
  </si>
  <si>
    <t>Student_277</t>
  </si>
  <si>
    <t>S1278</t>
  </si>
  <si>
    <t>Student_278</t>
  </si>
  <si>
    <t>S1279</t>
  </si>
  <si>
    <t>Student_279</t>
  </si>
  <si>
    <t>S1280</t>
  </si>
  <si>
    <t>Student_280</t>
  </si>
  <si>
    <t>S1281</t>
  </si>
  <si>
    <t>Student_281</t>
  </si>
  <si>
    <t>S1282</t>
  </si>
  <si>
    <t>Student_282</t>
  </si>
  <si>
    <t>S1283</t>
  </si>
  <si>
    <t>Student_283</t>
  </si>
  <si>
    <t>S1284</t>
  </si>
  <si>
    <t>Student_284</t>
  </si>
  <si>
    <t>S1285</t>
  </si>
  <si>
    <t>Student_285</t>
  </si>
  <si>
    <t>S1286</t>
  </si>
  <si>
    <t>Student_286</t>
  </si>
  <si>
    <t>S1287</t>
  </si>
  <si>
    <t>Student_287</t>
  </si>
  <si>
    <t>S1288</t>
  </si>
  <si>
    <t>Student_288</t>
  </si>
  <si>
    <t>S1289</t>
  </si>
  <si>
    <t>Student_289</t>
  </si>
  <si>
    <t>S1290</t>
  </si>
  <si>
    <t>Student_290</t>
  </si>
  <si>
    <t>S1291</t>
  </si>
  <si>
    <t>Student_291</t>
  </si>
  <si>
    <t>S1292</t>
  </si>
  <si>
    <t>Student_292</t>
  </si>
  <si>
    <t>S1293</t>
  </si>
  <si>
    <t>Student_293</t>
  </si>
  <si>
    <t>S1294</t>
  </si>
  <si>
    <t>Student_294</t>
  </si>
  <si>
    <t>S1295</t>
  </si>
  <si>
    <t>Student_295</t>
  </si>
  <si>
    <t>S1296</t>
  </si>
  <si>
    <t>Student_296</t>
  </si>
  <si>
    <t>S1297</t>
  </si>
  <si>
    <t>Student_297</t>
  </si>
  <si>
    <t>S1298</t>
  </si>
  <si>
    <t>Student_298</t>
  </si>
  <si>
    <t>S1299</t>
  </si>
  <si>
    <t>Student_299</t>
  </si>
  <si>
    <t>S1300</t>
  </si>
  <si>
    <t>Student_300</t>
  </si>
  <si>
    <t>S1301</t>
  </si>
  <si>
    <t>Student_301</t>
  </si>
  <si>
    <t>S1302</t>
  </si>
  <si>
    <t>Student_302</t>
  </si>
  <si>
    <t>S1303</t>
  </si>
  <si>
    <t>Student_303</t>
  </si>
  <si>
    <t>S1304</t>
  </si>
  <si>
    <t>Student_304</t>
  </si>
  <si>
    <t>S1305</t>
  </si>
  <si>
    <t>Student_305</t>
  </si>
  <si>
    <t>S1306</t>
  </si>
  <si>
    <t>Student_306</t>
  </si>
  <si>
    <t>S1307</t>
  </si>
  <si>
    <t>Student_307</t>
  </si>
  <si>
    <t>S1308</t>
  </si>
  <si>
    <t>Student_308</t>
  </si>
  <si>
    <t>S1309</t>
  </si>
  <si>
    <t>Student_309</t>
  </si>
  <si>
    <t>S1310</t>
  </si>
  <si>
    <t>Student_310</t>
  </si>
  <si>
    <t>S1311</t>
  </si>
  <si>
    <t>Student_311</t>
  </si>
  <si>
    <t>S1312</t>
  </si>
  <si>
    <t>Student_312</t>
  </si>
  <si>
    <t>S1313</t>
  </si>
  <si>
    <t>Student_313</t>
  </si>
  <si>
    <t>S1314</t>
  </si>
  <si>
    <t>Student_314</t>
  </si>
  <si>
    <t>S1315</t>
  </si>
  <si>
    <t>Student_315</t>
  </si>
  <si>
    <t>S1316</t>
  </si>
  <si>
    <t>Student_316</t>
  </si>
  <si>
    <t>S1317</t>
  </si>
  <si>
    <t>Student_317</t>
  </si>
  <si>
    <t>S1318</t>
  </si>
  <si>
    <t>Student_318</t>
  </si>
  <si>
    <t>S1319</t>
  </si>
  <si>
    <t>Student_319</t>
  </si>
  <si>
    <t>S1320</t>
  </si>
  <si>
    <t>Student_320</t>
  </si>
  <si>
    <t>S1321</t>
  </si>
  <si>
    <t>Student_321</t>
  </si>
  <si>
    <t>S1322</t>
  </si>
  <si>
    <t>Student_322</t>
  </si>
  <si>
    <t>S1323</t>
  </si>
  <si>
    <t>Student_323</t>
  </si>
  <si>
    <t>S1324</t>
  </si>
  <si>
    <t>Student_324</t>
  </si>
  <si>
    <t>S1325</t>
  </si>
  <si>
    <t>Student_325</t>
  </si>
  <si>
    <t>S1326</t>
  </si>
  <si>
    <t>Student_326</t>
  </si>
  <si>
    <t>S1327</t>
  </si>
  <si>
    <t>Student_327</t>
  </si>
  <si>
    <t>S1328</t>
  </si>
  <si>
    <t>Student_328</t>
  </si>
  <si>
    <t>S1329</t>
  </si>
  <si>
    <t>Student_329</t>
  </si>
  <si>
    <t>S1330</t>
  </si>
  <si>
    <t>Student_330</t>
  </si>
  <si>
    <t>S1331</t>
  </si>
  <si>
    <t>Student_331</t>
  </si>
  <si>
    <t>S1332</t>
  </si>
  <si>
    <t>Student_332</t>
  </si>
  <si>
    <t>S1333</t>
  </si>
  <si>
    <t>Student_333</t>
  </si>
  <si>
    <t>S1334</t>
  </si>
  <si>
    <t>Student_334</t>
  </si>
  <si>
    <t>S1335</t>
  </si>
  <si>
    <t>Student_335</t>
  </si>
  <si>
    <t>S1336</t>
  </si>
  <si>
    <t>Student_336</t>
  </si>
  <si>
    <t>S1337</t>
  </si>
  <si>
    <t>Student_337</t>
  </si>
  <si>
    <t>S1338</t>
  </si>
  <si>
    <t>Student_338</t>
  </si>
  <si>
    <t>S1339</t>
  </si>
  <si>
    <t>Student_339</t>
  </si>
  <si>
    <t>S1340</t>
  </si>
  <si>
    <t>Student_340</t>
  </si>
  <si>
    <t>S1341</t>
  </si>
  <si>
    <t>Student_341</t>
  </si>
  <si>
    <t>S1342</t>
  </si>
  <si>
    <t>Student_342</t>
  </si>
  <si>
    <t>S1343</t>
  </si>
  <si>
    <t>Student_343</t>
  </si>
  <si>
    <t>S1344</t>
  </si>
  <si>
    <t>Student_344</t>
  </si>
  <si>
    <t>S1345</t>
  </si>
  <si>
    <t>Student_345</t>
  </si>
  <si>
    <t>S1346</t>
  </si>
  <si>
    <t>Student_346</t>
  </si>
  <si>
    <t>S1347</t>
  </si>
  <si>
    <t>Student_347</t>
  </si>
  <si>
    <t>S1348</t>
  </si>
  <si>
    <t>Student_348</t>
  </si>
  <si>
    <t>S1349</t>
  </si>
  <si>
    <t>Student_349</t>
  </si>
  <si>
    <t>S1350</t>
  </si>
  <si>
    <t>Student_350</t>
  </si>
  <si>
    <t>S1351</t>
  </si>
  <si>
    <t>Student_351</t>
  </si>
  <si>
    <t>S1352</t>
  </si>
  <si>
    <t>Student_352</t>
  </si>
  <si>
    <t>S1353</t>
  </si>
  <si>
    <t>Student_353</t>
  </si>
  <si>
    <t>S1354</t>
  </si>
  <si>
    <t>Student_354</t>
  </si>
  <si>
    <t>S1355</t>
  </si>
  <si>
    <t>Student_355</t>
  </si>
  <si>
    <t>S1356</t>
  </si>
  <si>
    <t>Student_356</t>
  </si>
  <si>
    <t>S1357</t>
  </si>
  <si>
    <t>Student_357</t>
  </si>
  <si>
    <t>S1358</t>
  </si>
  <si>
    <t>Student_358</t>
  </si>
  <si>
    <t>S1359</t>
  </si>
  <si>
    <t>Student_359</t>
  </si>
  <si>
    <t>S1360</t>
  </si>
  <si>
    <t>Student_360</t>
  </si>
  <si>
    <t>S1361</t>
  </si>
  <si>
    <t>Student_361</t>
  </si>
  <si>
    <t>S1362</t>
  </si>
  <si>
    <t>Student_362</t>
  </si>
  <si>
    <t>S1363</t>
  </si>
  <si>
    <t>Student_363</t>
  </si>
  <si>
    <t>S1364</t>
  </si>
  <si>
    <t>Student_364</t>
  </si>
  <si>
    <t>S1365</t>
  </si>
  <si>
    <t>Student_365</t>
  </si>
  <si>
    <t>S1366</t>
  </si>
  <si>
    <t>Student_366</t>
  </si>
  <si>
    <t>S1367</t>
  </si>
  <si>
    <t>Student_367</t>
  </si>
  <si>
    <t>S1368</t>
  </si>
  <si>
    <t>Student_368</t>
  </si>
  <si>
    <t>S1369</t>
  </si>
  <si>
    <t>Student_369</t>
  </si>
  <si>
    <t>S1370</t>
  </si>
  <si>
    <t>Student_370</t>
  </si>
  <si>
    <t>S1371</t>
  </si>
  <si>
    <t>Student_371</t>
  </si>
  <si>
    <t>S1372</t>
  </si>
  <si>
    <t>Student_372</t>
  </si>
  <si>
    <t>S1373</t>
  </si>
  <si>
    <t>Student_373</t>
  </si>
  <si>
    <t>S1374</t>
  </si>
  <si>
    <t>Student_374</t>
  </si>
  <si>
    <t>S1375</t>
  </si>
  <si>
    <t>Student_375</t>
  </si>
  <si>
    <t>S1376</t>
  </si>
  <si>
    <t>Student_376</t>
  </si>
  <si>
    <t>S1377</t>
  </si>
  <si>
    <t>Student_377</t>
  </si>
  <si>
    <t>S1378</t>
  </si>
  <si>
    <t>Student_378</t>
  </si>
  <si>
    <t>S1379</t>
  </si>
  <si>
    <t>Student_379</t>
  </si>
  <si>
    <t>S1380</t>
  </si>
  <si>
    <t>Student_380</t>
  </si>
  <si>
    <t>S1381</t>
  </si>
  <si>
    <t>Student_381</t>
  </si>
  <si>
    <t>S1382</t>
  </si>
  <si>
    <t>Student_382</t>
  </si>
  <si>
    <t>S1383</t>
  </si>
  <si>
    <t>Student_383</t>
  </si>
  <si>
    <t>S1384</t>
  </si>
  <si>
    <t>Student_384</t>
  </si>
  <si>
    <t>S1385</t>
  </si>
  <si>
    <t>Student_385</t>
  </si>
  <si>
    <t>S1386</t>
  </si>
  <si>
    <t>Student_386</t>
  </si>
  <si>
    <t>S1387</t>
  </si>
  <si>
    <t>Student_387</t>
  </si>
  <si>
    <t>S1388</t>
  </si>
  <si>
    <t>Student_388</t>
  </si>
  <si>
    <t>S1389</t>
  </si>
  <si>
    <t>Student_389</t>
  </si>
  <si>
    <t>S1390</t>
  </si>
  <si>
    <t>Student_390</t>
  </si>
  <si>
    <t>S1391</t>
  </si>
  <si>
    <t>Student_391</t>
  </si>
  <si>
    <t>S1392</t>
  </si>
  <si>
    <t>Student_392</t>
  </si>
  <si>
    <t>S1393</t>
  </si>
  <si>
    <t>Student_393</t>
  </si>
  <si>
    <t>S1394</t>
  </si>
  <si>
    <t>Student_394</t>
  </si>
  <si>
    <t>S1395</t>
  </si>
  <si>
    <t>Student_395</t>
  </si>
  <si>
    <t>S1396</t>
  </si>
  <si>
    <t>Student_396</t>
  </si>
  <si>
    <t>S1397</t>
  </si>
  <si>
    <t>Student_397</t>
  </si>
  <si>
    <t>S1398</t>
  </si>
  <si>
    <t>Student_398</t>
  </si>
  <si>
    <t>S1399</t>
  </si>
  <si>
    <t>Student_399</t>
  </si>
  <si>
    <t>S1400</t>
  </si>
  <si>
    <t>Student_400</t>
  </si>
  <si>
    <t>S1401</t>
  </si>
  <si>
    <t>Student_401</t>
  </si>
  <si>
    <t>S1402</t>
  </si>
  <si>
    <t>Student_402</t>
  </si>
  <si>
    <t>S1403</t>
  </si>
  <si>
    <t>Student_403</t>
  </si>
  <si>
    <t>S1404</t>
  </si>
  <si>
    <t>Student_404</t>
  </si>
  <si>
    <t>S1405</t>
  </si>
  <si>
    <t>Student_405</t>
  </si>
  <si>
    <t>S1406</t>
  </si>
  <si>
    <t>Student_406</t>
  </si>
  <si>
    <t>S1407</t>
  </si>
  <si>
    <t>Student_407</t>
  </si>
  <si>
    <t>S1408</t>
  </si>
  <si>
    <t>Student_408</t>
  </si>
  <si>
    <t>S1409</t>
  </si>
  <si>
    <t>Student_409</t>
  </si>
  <si>
    <t>S1410</t>
  </si>
  <si>
    <t>Student_410</t>
  </si>
  <si>
    <t>S1411</t>
  </si>
  <si>
    <t>Student_411</t>
  </si>
  <si>
    <t>S1412</t>
  </si>
  <si>
    <t>Student_412</t>
  </si>
  <si>
    <t>S1413</t>
  </si>
  <si>
    <t>Student_413</t>
  </si>
  <si>
    <t>S1414</t>
  </si>
  <si>
    <t>Student_414</t>
  </si>
  <si>
    <t>S1415</t>
  </si>
  <si>
    <t>Student_415</t>
  </si>
  <si>
    <t>S1416</t>
  </si>
  <si>
    <t>Student_416</t>
  </si>
  <si>
    <t>S1417</t>
  </si>
  <si>
    <t>Student_417</t>
  </si>
  <si>
    <t>S1418</t>
  </si>
  <si>
    <t>Student_418</t>
  </si>
  <si>
    <t>S1419</t>
  </si>
  <si>
    <t>Student_419</t>
  </si>
  <si>
    <t>S1420</t>
  </si>
  <si>
    <t>Student_420</t>
  </si>
  <si>
    <t>S1421</t>
  </si>
  <si>
    <t>Student_421</t>
  </si>
  <si>
    <t>S1422</t>
  </si>
  <si>
    <t>Student_422</t>
  </si>
  <si>
    <t>S1423</t>
  </si>
  <si>
    <t>Student_423</t>
  </si>
  <si>
    <t>S1424</t>
  </si>
  <si>
    <t>Student_424</t>
  </si>
  <si>
    <t>S1425</t>
  </si>
  <si>
    <t>Student_425</t>
  </si>
  <si>
    <t>S1426</t>
  </si>
  <si>
    <t>Student_426</t>
  </si>
  <si>
    <t>S1427</t>
  </si>
  <si>
    <t>Student_427</t>
  </si>
  <si>
    <t>S1428</t>
  </si>
  <si>
    <t>Student_428</t>
  </si>
  <si>
    <t>S1429</t>
  </si>
  <si>
    <t>Student_429</t>
  </si>
  <si>
    <t>S1430</t>
  </si>
  <si>
    <t>Student_430</t>
  </si>
  <si>
    <t>S1431</t>
  </si>
  <si>
    <t>Student_431</t>
  </si>
  <si>
    <t>S1432</t>
  </si>
  <si>
    <t>Student_432</t>
  </si>
  <si>
    <t>S1433</t>
  </si>
  <si>
    <t>Student_433</t>
  </si>
  <si>
    <t>S1434</t>
  </si>
  <si>
    <t>Student_434</t>
  </si>
  <si>
    <t>S1435</t>
  </si>
  <si>
    <t>Student_435</t>
  </si>
  <si>
    <t>S1436</t>
  </si>
  <si>
    <t>Student_436</t>
  </si>
  <si>
    <t>S1437</t>
  </si>
  <si>
    <t>Student_437</t>
  </si>
  <si>
    <t>S1438</t>
  </si>
  <si>
    <t>Student_438</t>
  </si>
  <si>
    <t>S1439</t>
  </si>
  <si>
    <t>Student_439</t>
  </si>
  <si>
    <t>S1440</t>
  </si>
  <si>
    <t>Student_440</t>
  </si>
  <si>
    <t>S1441</t>
  </si>
  <si>
    <t>Student_441</t>
  </si>
  <si>
    <t>S1442</t>
  </si>
  <si>
    <t>Student_442</t>
  </si>
  <si>
    <t>S1443</t>
  </si>
  <si>
    <t>Student_443</t>
  </si>
  <si>
    <t>S1444</t>
  </si>
  <si>
    <t>Student_444</t>
  </si>
  <si>
    <t>S1445</t>
  </si>
  <si>
    <t>Student_445</t>
  </si>
  <si>
    <t>S1446</t>
  </si>
  <si>
    <t>Student_446</t>
  </si>
  <si>
    <t>S1447</t>
  </si>
  <si>
    <t>Student_447</t>
  </si>
  <si>
    <t>S1448</t>
  </si>
  <si>
    <t>Student_448</t>
  </si>
  <si>
    <t>S1449</t>
  </si>
  <si>
    <t>Student_449</t>
  </si>
  <si>
    <t>S1450</t>
  </si>
  <si>
    <t>Student_450</t>
  </si>
  <si>
    <t>S1451</t>
  </si>
  <si>
    <t>Student_451</t>
  </si>
  <si>
    <t>S1452</t>
  </si>
  <si>
    <t>Student_452</t>
  </si>
  <si>
    <t>S1453</t>
  </si>
  <si>
    <t>Student_453</t>
  </si>
  <si>
    <t>S1454</t>
  </si>
  <si>
    <t>Student_454</t>
  </si>
  <si>
    <t>S1455</t>
  </si>
  <si>
    <t>Student_455</t>
  </si>
  <si>
    <t>S1456</t>
  </si>
  <si>
    <t>Student_456</t>
  </si>
  <si>
    <t>S1457</t>
  </si>
  <si>
    <t>Student_457</t>
  </si>
  <si>
    <t>S1458</t>
  </si>
  <si>
    <t>Student_458</t>
  </si>
  <si>
    <t>S1459</t>
  </si>
  <si>
    <t>Student_459</t>
  </si>
  <si>
    <t>S1460</t>
  </si>
  <si>
    <t>Student_460</t>
  </si>
  <si>
    <t>S1461</t>
  </si>
  <si>
    <t>Student_461</t>
  </si>
  <si>
    <t>S1462</t>
  </si>
  <si>
    <t>Student_462</t>
  </si>
  <si>
    <t>S1463</t>
  </si>
  <si>
    <t>Student_463</t>
  </si>
  <si>
    <t>S1464</t>
  </si>
  <si>
    <t>Student_464</t>
  </si>
  <si>
    <t>S1465</t>
  </si>
  <si>
    <t>Student_465</t>
  </si>
  <si>
    <t>S1466</t>
  </si>
  <si>
    <t>Student_466</t>
  </si>
  <si>
    <t>S1467</t>
  </si>
  <si>
    <t>Student_467</t>
  </si>
  <si>
    <t>S1468</t>
  </si>
  <si>
    <t>Student_468</t>
  </si>
  <si>
    <t>S1469</t>
  </si>
  <si>
    <t>Student_469</t>
  </si>
  <si>
    <t>S1470</t>
  </si>
  <si>
    <t>Student_470</t>
  </si>
  <si>
    <t>S1471</t>
  </si>
  <si>
    <t>Student_471</t>
  </si>
  <si>
    <t>S1472</t>
  </si>
  <si>
    <t>Student_472</t>
  </si>
  <si>
    <t>S1473</t>
  </si>
  <si>
    <t>Student_473</t>
  </si>
  <si>
    <t>S1474</t>
  </si>
  <si>
    <t>Student_474</t>
  </si>
  <si>
    <t>S1475</t>
  </si>
  <si>
    <t>Student_475</t>
  </si>
  <si>
    <t>S1476</t>
  </si>
  <si>
    <t>Student_476</t>
  </si>
  <si>
    <t>S1477</t>
  </si>
  <si>
    <t>Student_477</t>
  </si>
  <si>
    <t>S1478</t>
  </si>
  <si>
    <t>Student_478</t>
  </si>
  <si>
    <t>S1479</t>
  </si>
  <si>
    <t>Student_479</t>
  </si>
  <si>
    <t>S1480</t>
  </si>
  <si>
    <t>Student_480</t>
  </si>
  <si>
    <t>S1481</t>
  </si>
  <si>
    <t>Student_481</t>
  </si>
  <si>
    <t>S1482</t>
  </si>
  <si>
    <t>Student_482</t>
  </si>
  <si>
    <t>S1483</t>
  </si>
  <si>
    <t>Student_483</t>
  </si>
  <si>
    <t>S1484</t>
  </si>
  <si>
    <t>Student_484</t>
  </si>
  <si>
    <t>S1485</t>
  </si>
  <si>
    <t>Student_485</t>
  </si>
  <si>
    <t>S1486</t>
  </si>
  <si>
    <t>Student_486</t>
  </si>
  <si>
    <t>S1487</t>
  </si>
  <si>
    <t>Student_487</t>
  </si>
  <si>
    <t>S1488</t>
  </si>
  <si>
    <t>Student_488</t>
  </si>
  <si>
    <t>S1489</t>
  </si>
  <si>
    <t>Student_489</t>
  </si>
  <si>
    <t>S1490</t>
  </si>
  <si>
    <t>Student_490</t>
  </si>
  <si>
    <t>S1491</t>
  </si>
  <si>
    <t>Student_491</t>
  </si>
  <si>
    <t>S1492</t>
  </si>
  <si>
    <t>Student_492</t>
  </si>
  <si>
    <t>S1493</t>
  </si>
  <si>
    <t>Student_493</t>
  </si>
  <si>
    <t>S1494</t>
  </si>
  <si>
    <t>Student_494</t>
  </si>
  <si>
    <t>S1495</t>
  </si>
  <si>
    <t>Student_495</t>
  </si>
  <si>
    <t>S1496</t>
  </si>
  <si>
    <t>Student_496</t>
  </si>
  <si>
    <t>S1497</t>
  </si>
  <si>
    <t>Student_497</t>
  </si>
  <si>
    <t>S1498</t>
  </si>
  <si>
    <t>Student_498</t>
  </si>
  <si>
    <t>S1499</t>
  </si>
  <si>
    <t>Student_499</t>
  </si>
  <si>
    <t>S1500</t>
  </si>
  <si>
    <t>Student_500</t>
  </si>
  <si>
    <t>S1501</t>
  </si>
  <si>
    <t>Student_501</t>
  </si>
  <si>
    <t>S1502</t>
  </si>
  <si>
    <t>Student_502</t>
  </si>
  <si>
    <t>S1503</t>
  </si>
  <si>
    <t>Student_503</t>
  </si>
  <si>
    <t>S1504</t>
  </si>
  <si>
    <t>Student_504</t>
  </si>
  <si>
    <t>S1505</t>
  </si>
  <si>
    <t>Student_505</t>
  </si>
  <si>
    <t>S1506</t>
  </si>
  <si>
    <t>Student_506</t>
  </si>
  <si>
    <t>S1507</t>
  </si>
  <si>
    <t>Student_507</t>
  </si>
  <si>
    <t>S1508</t>
  </si>
  <si>
    <t>Student_508</t>
  </si>
  <si>
    <t>S1509</t>
  </si>
  <si>
    <t>Student_509</t>
  </si>
  <si>
    <t>S1510</t>
  </si>
  <si>
    <t>Student_510</t>
  </si>
  <si>
    <t>S1511</t>
  </si>
  <si>
    <t>Student_511</t>
  </si>
  <si>
    <t>S1512</t>
  </si>
  <si>
    <t>Student_512</t>
  </si>
  <si>
    <t>S1513</t>
  </si>
  <si>
    <t>Student_513</t>
  </si>
  <si>
    <t>S1514</t>
  </si>
  <si>
    <t>Student_514</t>
  </si>
  <si>
    <t>S1515</t>
  </si>
  <si>
    <t>Student_515</t>
  </si>
  <si>
    <t>S1516</t>
  </si>
  <si>
    <t>Student_516</t>
  </si>
  <si>
    <t>S1517</t>
  </si>
  <si>
    <t>Student_517</t>
  </si>
  <si>
    <t>S1518</t>
  </si>
  <si>
    <t>Student_518</t>
  </si>
  <si>
    <t>S1519</t>
  </si>
  <si>
    <t>Student_519</t>
  </si>
  <si>
    <t>S1520</t>
  </si>
  <si>
    <t>Student_520</t>
  </si>
  <si>
    <t>S1521</t>
  </si>
  <si>
    <t>Student_521</t>
  </si>
  <si>
    <t>S1522</t>
  </si>
  <si>
    <t>Student_522</t>
  </si>
  <si>
    <t>S1523</t>
  </si>
  <si>
    <t>Student_523</t>
  </si>
  <si>
    <t>S1524</t>
  </si>
  <si>
    <t>Student_524</t>
  </si>
  <si>
    <t>S1525</t>
  </si>
  <si>
    <t>Student_525</t>
  </si>
  <si>
    <t>S1526</t>
  </si>
  <si>
    <t>Student_526</t>
  </si>
  <si>
    <t>S1527</t>
  </si>
  <si>
    <t>Student_527</t>
  </si>
  <si>
    <t>S1528</t>
  </si>
  <si>
    <t>Student_528</t>
  </si>
  <si>
    <t>S1529</t>
  </si>
  <si>
    <t>Student_529</t>
  </si>
  <si>
    <t>S1530</t>
  </si>
  <si>
    <t>Student_530</t>
  </si>
  <si>
    <t>S1531</t>
  </si>
  <si>
    <t>Student_531</t>
  </si>
  <si>
    <t>S1532</t>
  </si>
  <si>
    <t>Student_532</t>
  </si>
  <si>
    <t>S1533</t>
  </si>
  <si>
    <t>Student_533</t>
  </si>
  <si>
    <t>S1534</t>
  </si>
  <si>
    <t>Student_534</t>
  </si>
  <si>
    <t>S1535</t>
  </si>
  <si>
    <t>Student_535</t>
  </si>
  <si>
    <t>S1536</t>
  </si>
  <si>
    <t>Student_536</t>
  </si>
  <si>
    <t>S1537</t>
  </si>
  <si>
    <t>Student_537</t>
  </si>
  <si>
    <t>S1538</t>
  </si>
  <si>
    <t>Student_538</t>
  </si>
  <si>
    <t>S1539</t>
  </si>
  <si>
    <t>Student_539</t>
  </si>
  <si>
    <t>S1540</t>
  </si>
  <si>
    <t>Student_540</t>
  </si>
  <si>
    <t>S1541</t>
  </si>
  <si>
    <t>Student_541</t>
  </si>
  <si>
    <t>S1542</t>
  </si>
  <si>
    <t>Student_542</t>
  </si>
  <si>
    <t>S1543</t>
  </si>
  <si>
    <t>Student_543</t>
  </si>
  <si>
    <t>S1544</t>
  </si>
  <si>
    <t>Student_544</t>
  </si>
  <si>
    <t>S1545</t>
  </si>
  <si>
    <t>Student_545</t>
  </si>
  <si>
    <t>S1546</t>
  </si>
  <si>
    <t>Student_546</t>
  </si>
  <si>
    <t>S1547</t>
  </si>
  <si>
    <t>Student_547</t>
  </si>
  <si>
    <t>S1548</t>
  </si>
  <si>
    <t>Student_548</t>
  </si>
  <si>
    <t>S1549</t>
  </si>
  <si>
    <t>Student_549</t>
  </si>
  <si>
    <t>S1550</t>
  </si>
  <si>
    <t>Student_550</t>
  </si>
  <si>
    <t>S1551</t>
  </si>
  <si>
    <t>Student_551</t>
  </si>
  <si>
    <t>S1552</t>
  </si>
  <si>
    <t>Student_552</t>
  </si>
  <si>
    <t>S1553</t>
  </si>
  <si>
    <t>Student_553</t>
  </si>
  <si>
    <t>S1554</t>
  </si>
  <si>
    <t>Student_554</t>
  </si>
  <si>
    <t>S1555</t>
  </si>
  <si>
    <t>Student_555</t>
  </si>
  <si>
    <t>S1556</t>
  </si>
  <si>
    <t>Student_556</t>
  </si>
  <si>
    <t>S1557</t>
  </si>
  <si>
    <t>Student_557</t>
  </si>
  <si>
    <t>S1558</t>
  </si>
  <si>
    <t>Student_558</t>
  </si>
  <si>
    <t>S1559</t>
  </si>
  <si>
    <t>Student_559</t>
  </si>
  <si>
    <t>S1560</t>
  </si>
  <si>
    <t>Student_560</t>
  </si>
  <si>
    <t>S1561</t>
  </si>
  <si>
    <t>Student_561</t>
  </si>
  <si>
    <t>S1562</t>
  </si>
  <si>
    <t>Student_562</t>
  </si>
  <si>
    <t>S1563</t>
  </si>
  <si>
    <t>Student_563</t>
  </si>
  <si>
    <t>S1564</t>
  </si>
  <si>
    <t>Student_564</t>
  </si>
  <si>
    <t>S1565</t>
  </si>
  <si>
    <t>Student_565</t>
  </si>
  <si>
    <t>S1566</t>
  </si>
  <si>
    <t>Student_566</t>
  </si>
  <si>
    <t>S1567</t>
  </si>
  <si>
    <t>Student_567</t>
  </si>
  <si>
    <t>S1568</t>
  </si>
  <si>
    <t>Student_568</t>
  </si>
  <si>
    <t>S1569</t>
  </si>
  <si>
    <t>Student_569</t>
  </si>
  <si>
    <t>S1570</t>
  </si>
  <si>
    <t>Student_570</t>
  </si>
  <si>
    <t>S1571</t>
  </si>
  <si>
    <t>Student_571</t>
  </si>
  <si>
    <t>S1572</t>
  </si>
  <si>
    <t>Student_572</t>
  </si>
  <si>
    <t>S1573</t>
  </si>
  <si>
    <t>Student_573</t>
  </si>
  <si>
    <t>S1574</t>
  </si>
  <si>
    <t>Student_574</t>
  </si>
  <si>
    <t>S1575</t>
  </si>
  <si>
    <t>Student_575</t>
  </si>
  <si>
    <t>S1576</t>
  </si>
  <si>
    <t>Student_576</t>
  </si>
  <si>
    <t>S1577</t>
  </si>
  <si>
    <t>Student_577</t>
  </si>
  <si>
    <t>S1578</t>
  </si>
  <si>
    <t>Student_578</t>
  </si>
  <si>
    <t>S1579</t>
  </si>
  <si>
    <t>Student_579</t>
  </si>
  <si>
    <t>S1580</t>
  </si>
  <si>
    <t>Student_580</t>
  </si>
  <si>
    <t>S1581</t>
  </si>
  <si>
    <t>Student_581</t>
  </si>
  <si>
    <t>S1582</t>
  </si>
  <si>
    <t>Student_582</t>
  </si>
  <si>
    <t>S1583</t>
  </si>
  <si>
    <t>Student_583</t>
  </si>
  <si>
    <t>S1584</t>
  </si>
  <si>
    <t>Student_584</t>
  </si>
  <si>
    <t>S1585</t>
  </si>
  <si>
    <t>Student_585</t>
  </si>
  <si>
    <t>S1586</t>
  </si>
  <si>
    <t>Student_586</t>
  </si>
  <si>
    <t>S1587</t>
  </si>
  <si>
    <t>Student_587</t>
  </si>
  <si>
    <t>S1588</t>
  </si>
  <si>
    <t>Student_588</t>
  </si>
  <si>
    <t>S1589</t>
  </si>
  <si>
    <t>Student_589</t>
  </si>
  <si>
    <t>S1590</t>
  </si>
  <si>
    <t>Student_590</t>
  </si>
  <si>
    <t>S1591</t>
  </si>
  <si>
    <t>Student_591</t>
  </si>
  <si>
    <t>S1592</t>
  </si>
  <si>
    <t>Student_592</t>
  </si>
  <si>
    <t>S1593</t>
  </si>
  <si>
    <t>Student_593</t>
  </si>
  <si>
    <t>S1594</t>
  </si>
  <si>
    <t>Student_594</t>
  </si>
  <si>
    <t>S1595</t>
  </si>
  <si>
    <t>Student_595</t>
  </si>
  <si>
    <t>S1596</t>
  </si>
  <si>
    <t>Student_596</t>
  </si>
  <si>
    <t>S1597</t>
  </si>
  <si>
    <t>Student_597</t>
  </si>
  <si>
    <t>S1598</t>
  </si>
  <si>
    <t>Student_598</t>
  </si>
  <si>
    <t>S1599</t>
  </si>
  <si>
    <t>Student_599</t>
  </si>
  <si>
    <t>S1600</t>
  </si>
  <si>
    <t>Student_600</t>
  </si>
  <si>
    <t>S1601</t>
  </si>
  <si>
    <t>Student_601</t>
  </si>
  <si>
    <t>S1602</t>
  </si>
  <si>
    <t>Student_602</t>
  </si>
  <si>
    <t>S1603</t>
  </si>
  <si>
    <t>Student_603</t>
  </si>
  <si>
    <t>S1604</t>
  </si>
  <si>
    <t>Student_604</t>
  </si>
  <si>
    <t>S1605</t>
  </si>
  <si>
    <t>Student_605</t>
  </si>
  <si>
    <t>S1606</t>
  </si>
  <si>
    <t>Student_606</t>
  </si>
  <si>
    <t>S1607</t>
  </si>
  <si>
    <t>Student_607</t>
  </si>
  <si>
    <t>S1608</t>
  </si>
  <si>
    <t>Student_608</t>
  </si>
  <si>
    <t>S1609</t>
  </si>
  <si>
    <t>Student_609</t>
  </si>
  <si>
    <t>S1610</t>
  </si>
  <si>
    <t>Student_610</t>
  </si>
  <si>
    <t>S1611</t>
  </si>
  <si>
    <t>Student_611</t>
  </si>
  <si>
    <t>S1612</t>
  </si>
  <si>
    <t>Student_612</t>
  </si>
  <si>
    <t>S1613</t>
  </si>
  <si>
    <t>Student_613</t>
  </si>
  <si>
    <t>S1614</t>
  </si>
  <si>
    <t>Student_614</t>
  </si>
  <si>
    <t>S1615</t>
  </si>
  <si>
    <t>Student_615</t>
  </si>
  <si>
    <t>S1616</t>
  </si>
  <si>
    <t>Student_616</t>
  </si>
  <si>
    <t>S1617</t>
  </si>
  <si>
    <t>Student_617</t>
  </si>
  <si>
    <t>S1618</t>
  </si>
  <si>
    <t>Student_618</t>
  </si>
  <si>
    <t>S1619</t>
  </si>
  <si>
    <t>Student_619</t>
  </si>
  <si>
    <t>S1620</t>
  </si>
  <si>
    <t>Student_620</t>
  </si>
  <si>
    <t>S1621</t>
  </si>
  <si>
    <t>Student_621</t>
  </si>
  <si>
    <t>S1622</t>
  </si>
  <si>
    <t>Student_622</t>
  </si>
  <si>
    <t>S1623</t>
  </si>
  <si>
    <t>Student_623</t>
  </si>
  <si>
    <t>S1624</t>
  </si>
  <si>
    <t>Student_624</t>
  </si>
  <si>
    <t>S1625</t>
  </si>
  <si>
    <t>Student_625</t>
  </si>
  <si>
    <t>S1626</t>
  </si>
  <si>
    <t>Student_626</t>
  </si>
  <si>
    <t>S1627</t>
  </si>
  <si>
    <t>Student_627</t>
  </si>
  <si>
    <t>S1628</t>
  </si>
  <si>
    <t>Student_628</t>
  </si>
  <si>
    <t>S1629</t>
  </si>
  <si>
    <t>Student_629</t>
  </si>
  <si>
    <t>S1630</t>
  </si>
  <si>
    <t>Student_630</t>
  </si>
  <si>
    <t>S1631</t>
  </si>
  <si>
    <t>Student_631</t>
  </si>
  <si>
    <t>S1632</t>
  </si>
  <si>
    <t>Student_632</t>
  </si>
  <si>
    <t>S1633</t>
  </si>
  <si>
    <t>Student_633</t>
  </si>
  <si>
    <t>S1634</t>
  </si>
  <si>
    <t>Student_634</t>
  </si>
  <si>
    <t>S1635</t>
  </si>
  <si>
    <t>Student_635</t>
  </si>
  <si>
    <t>S1636</t>
  </si>
  <si>
    <t>Student_636</t>
  </si>
  <si>
    <t>S1637</t>
  </si>
  <si>
    <t>Student_637</t>
  </si>
  <si>
    <t>S1638</t>
  </si>
  <si>
    <t>Student_638</t>
  </si>
  <si>
    <t>S1639</t>
  </si>
  <si>
    <t>Student_639</t>
  </si>
  <si>
    <t>S1640</t>
  </si>
  <si>
    <t>Student_640</t>
  </si>
  <si>
    <t>S1641</t>
  </si>
  <si>
    <t>Student_641</t>
  </si>
  <si>
    <t>S1642</t>
  </si>
  <si>
    <t>Student_642</t>
  </si>
  <si>
    <t>S1643</t>
  </si>
  <si>
    <t>Student_643</t>
  </si>
  <si>
    <t>S1644</t>
  </si>
  <si>
    <t>Student_644</t>
  </si>
  <si>
    <t>S1645</t>
  </si>
  <si>
    <t>Student_645</t>
  </si>
  <si>
    <t>S1646</t>
  </si>
  <si>
    <t>Student_646</t>
  </si>
  <si>
    <t>S1647</t>
  </si>
  <si>
    <t>Student_647</t>
  </si>
  <si>
    <t>S1648</t>
  </si>
  <si>
    <t>Student_648</t>
  </si>
  <si>
    <t>S1649</t>
  </si>
  <si>
    <t>Student_649</t>
  </si>
  <si>
    <t>S1650</t>
  </si>
  <si>
    <t>Student_650</t>
  </si>
  <si>
    <t>S1651</t>
  </si>
  <si>
    <t>Student_651</t>
  </si>
  <si>
    <t>S1652</t>
  </si>
  <si>
    <t>Student_652</t>
  </si>
  <si>
    <t>S1653</t>
  </si>
  <si>
    <t>Student_653</t>
  </si>
  <si>
    <t>S1654</t>
  </si>
  <si>
    <t>Student_654</t>
  </si>
  <si>
    <t>S1655</t>
  </si>
  <si>
    <t>Student_655</t>
  </si>
  <si>
    <t>S1656</t>
  </si>
  <si>
    <t>Student_656</t>
  </si>
  <si>
    <t>S1657</t>
  </si>
  <si>
    <t>Student_657</t>
  </si>
  <si>
    <t>S1658</t>
  </si>
  <si>
    <t>Student_658</t>
  </si>
  <si>
    <t>S1659</t>
  </si>
  <si>
    <t>Student_659</t>
  </si>
  <si>
    <t>S1660</t>
  </si>
  <si>
    <t>Student_660</t>
  </si>
  <si>
    <t>S1661</t>
  </si>
  <si>
    <t>Student_661</t>
  </si>
  <si>
    <t>S1662</t>
  </si>
  <si>
    <t>Student_662</t>
  </si>
  <si>
    <t>S1663</t>
  </si>
  <si>
    <t>Student_663</t>
  </si>
  <si>
    <t>S1664</t>
  </si>
  <si>
    <t>Student_664</t>
  </si>
  <si>
    <t>S1665</t>
  </si>
  <si>
    <t>Student_665</t>
  </si>
  <si>
    <t>S1666</t>
  </si>
  <si>
    <t>Student_666</t>
  </si>
  <si>
    <t>S1667</t>
  </si>
  <si>
    <t>Student_667</t>
  </si>
  <si>
    <t>S1668</t>
  </si>
  <si>
    <t>Student_668</t>
  </si>
  <si>
    <t>S1669</t>
  </si>
  <si>
    <t>Student_669</t>
  </si>
  <si>
    <t>S1670</t>
  </si>
  <si>
    <t>Student_670</t>
  </si>
  <si>
    <t>S1671</t>
  </si>
  <si>
    <t>Student_671</t>
  </si>
  <si>
    <t>S1672</t>
  </si>
  <si>
    <t>Student_672</t>
  </si>
  <si>
    <t>S1673</t>
  </si>
  <si>
    <t>Student_673</t>
  </si>
  <si>
    <t>S1674</t>
  </si>
  <si>
    <t>Student_674</t>
  </si>
  <si>
    <t>S1675</t>
  </si>
  <si>
    <t>Student_675</t>
  </si>
  <si>
    <t>S1676</t>
  </si>
  <si>
    <t>Student_676</t>
  </si>
  <si>
    <t>S1677</t>
  </si>
  <si>
    <t>Student_677</t>
  </si>
  <si>
    <t>S1678</t>
  </si>
  <si>
    <t>Student_678</t>
  </si>
  <si>
    <t>S1679</t>
  </si>
  <si>
    <t>Student_679</t>
  </si>
  <si>
    <t>S1680</t>
  </si>
  <si>
    <t>Student_680</t>
  </si>
  <si>
    <t>S1681</t>
  </si>
  <si>
    <t>Student_681</t>
  </si>
  <si>
    <t>S1682</t>
  </si>
  <si>
    <t>Student_682</t>
  </si>
  <si>
    <t>S1683</t>
  </si>
  <si>
    <t>Student_683</t>
  </si>
  <si>
    <t>S1684</t>
  </si>
  <si>
    <t>Student_684</t>
  </si>
  <si>
    <t>S1685</t>
  </si>
  <si>
    <t>Student_685</t>
  </si>
  <si>
    <t>S1686</t>
  </si>
  <si>
    <t>Student_686</t>
  </si>
  <si>
    <t>S1687</t>
  </si>
  <si>
    <t>Student_687</t>
  </si>
  <si>
    <t>S1688</t>
  </si>
  <si>
    <t>Student_688</t>
  </si>
  <si>
    <t>S1689</t>
  </si>
  <si>
    <t>Student_689</t>
  </si>
  <si>
    <t>S1690</t>
  </si>
  <si>
    <t>Student_690</t>
  </si>
  <si>
    <t>S1691</t>
  </si>
  <si>
    <t>Student_691</t>
  </si>
  <si>
    <t>S1692</t>
  </si>
  <si>
    <t>Student_692</t>
  </si>
  <si>
    <t>S1693</t>
  </si>
  <si>
    <t>Student_693</t>
  </si>
  <si>
    <t>S1694</t>
  </si>
  <si>
    <t>Student_694</t>
  </si>
  <si>
    <t>S1695</t>
  </si>
  <si>
    <t>Student_695</t>
  </si>
  <si>
    <t>S1696</t>
  </si>
  <si>
    <t>Student_696</t>
  </si>
  <si>
    <t>S1697</t>
  </si>
  <si>
    <t>Student_697</t>
  </si>
  <si>
    <t>S1698</t>
  </si>
  <si>
    <t>Student_698</t>
  </si>
  <si>
    <t>S1699</t>
  </si>
  <si>
    <t>Student_699</t>
  </si>
  <si>
    <t>S1700</t>
  </si>
  <si>
    <t>Student_700</t>
  </si>
  <si>
    <t>S1701</t>
  </si>
  <si>
    <t>Student_701</t>
  </si>
  <si>
    <t>S1702</t>
  </si>
  <si>
    <t>Student_702</t>
  </si>
  <si>
    <t>S1703</t>
  </si>
  <si>
    <t>Student_703</t>
  </si>
  <si>
    <t>S1704</t>
  </si>
  <si>
    <t>Student_704</t>
  </si>
  <si>
    <t>S1705</t>
  </si>
  <si>
    <t>Student_705</t>
  </si>
  <si>
    <t>S1706</t>
  </si>
  <si>
    <t>Student_706</t>
  </si>
  <si>
    <t>S1707</t>
  </si>
  <si>
    <t>Student_707</t>
  </si>
  <si>
    <t>S1708</t>
  </si>
  <si>
    <t>Student_708</t>
  </si>
  <si>
    <t>S1709</t>
  </si>
  <si>
    <t>Student_709</t>
  </si>
  <si>
    <t>S1710</t>
  </si>
  <si>
    <t>Student_710</t>
  </si>
  <si>
    <t>S1711</t>
  </si>
  <si>
    <t>Student_711</t>
  </si>
  <si>
    <t>S1712</t>
  </si>
  <si>
    <t>Student_712</t>
  </si>
  <si>
    <t>S1713</t>
  </si>
  <si>
    <t>Student_713</t>
  </si>
  <si>
    <t>S1714</t>
  </si>
  <si>
    <t>Student_714</t>
  </si>
  <si>
    <t>S1715</t>
  </si>
  <si>
    <t>Student_715</t>
  </si>
  <si>
    <t>S1716</t>
  </si>
  <si>
    <t>Student_716</t>
  </si>
  <si>
    <t>S1717</t>
  </si>
  <si>
    <t>Student_717</t>
  </si>
  <si>
    <t>S1718</t>
  </si>
  <si>
    <t>Student_718</t>
  </si>
  <si>
    <t>S1719</t>
  </si>
  <si>
    <t>Student_719</t>
  </si>
  <si>
    <t>S1720</t>
  </si>
  <si>
    <t>Student_720</t>
  </si>
  <si>
    <t>S1721</t>
  </si>
  <si>
    <t>Student_721</t>
  </si>
  <si>
    <t>S1722</t>
  </si>
  <si>
    <t>Student_722</t>
  </si>
  <si>
    <t>S1723</t>
  </si>
  <si>
    <t>Student_723</t>
  </si>
  <si>
    <t>S1724</t>
  </si>
  <si>
    <t>Student_724</t>
  </si>
  <si>
    <t>S1725</t>
  </si>
  <si>
    <t>Student_725</t>
  </si>
  <si>
    <t>S1726</t>
  </si>
  <si>
    <t>Student_726</t>
  </si>
  <si>
    <t>S1727</t>
  </si>
  <si>
    <t>Student_727</t>
  </si>
  <si>
    <t>S1728</t>
  </si>
  <si>
    <t>Student_728</t>
  </si>
  <si>
    <t>S1729</t>
  </si>
  <si>
    <t>Student_729</t>
  </si>
  <si>
    <t>S1730</t>
  </si>
  <si>
    <t>Student_730</t>
  </si>
  <si>
    <t>S1731</t>
  </si>
  <si>
    <t>Student_731</t>
  </si>
  <si>
    <t>S1732</t>
  </si>
  <si>
    <t>Student_732</t>
  </si>
  <si>
    <t>S1733</t>
  </si>
  <si>
    <t>Student_733</t>
  </si>
  <si>
    <t>S1734</t>
  </si>
  <si>
    <t>Student_734</t>
  </si>
  <si>
    <t>S1735</t>
  </si>
  <si>
    <t>Student_735</t>
  </si>
  <si>
    <t>S1736</t>
  </si>
  <si>
    <t>Student_736</t>
  </si>
  <si>
    <t>S1737</t>
  </si>
  <si>
    <t>Student_737</t>
  </si>
  <si>
    <t>S1738</t>
  </si>
  <si>
    <t>Student_738</t>
  </si>
  <si>
    <t>S1739</t>
  </si>
  <si>
    <t>Student_739</t>
  </si>
  <si>
    <t>S1740</t>
  </si>
  <si>
    <t>Student_740</t>
  </si>
  <si>
    <t>S1741</t>
  </si>
  <si>
    <t>Student_741</t>
  </si>
  <si>
    <t>S1742</t>
  </si>
  <si>
    <t>Student_742</t>
  </si>
  <si>
    <t>S1743</t>
  </si>
  <si>
    <t>Student_743</t>
  </si>
  <si>
    <t>S1744</t>
  </si>
  <si>
    <t>Student_744</t>
  </si>
  <si>
    <t>S1745</t>
  </si>
  <si>
    <t>Student_745</t>
  </si>
  <si>
    <t>S1746</t>
  </si>
  <si>
    <t>Student_746</t>
  </si>
  <si>
    <t>S1747</t>
  </si>
  <si>
    <t>Student_747</t>
  </si>
  <si>
    <t>S1748</t>
  </si>
  <si>
    <t>Student_748</t>
  </si>
  <si>
    <t>S1749</t>
  </si>
  <si>
    <t>Student_749</t>
  </si>
  <si>
    <t>S1750</t>
  </si>
  <si>
    <t>Student_750</t>
  </si>
  <si>
    <t>S1751</t>
  </si>
  <si>
    <t>Student_751</t>
  </si>
  <si>
    <t>S1752</t>
  </si>
  <si>
    <t>Student_752</t>
  </si>
  <si>
    <t>S1753</t>
  </si>
  <si>
    <t>Student_753</t>
  </si>
  <si>
    <t>S1754</t>
  </si>
  <si>
    <t>Student_754</t>
  </si>
  <si>
    <t>S1755</t>
  </si>
  <si>
    <t>Student_755</t>
  </si>
  <si>
    <t>S1756</t>
  </si>
  <si>
    <t>Student_756</t>
  </si>
  <si>
    <t>S1757</t>
  </si>
  <si>
    <t>Student_757</t>
  </si>
  <si>
    <t>S1758</t>
  </si>
  <si>
    <t>Student_758</t>
  </si>
  <si>
    <t>S1759</t>
  </si>
  <si>
    <t>Student_759</t>
  </si>
  <si>
    <t>S1760</t>
  </si>
  <si>
    <t>Student_760</t>
  </si>
  <si>
    <t>S1761</t>
  </si>
  <si>
    <t>Student_761</t>
  </si>
  <si>
    <t>S1762</t>
  </si>
  <si>
    <t>Student_762</t>
  </si>
  <si>
    <t>S1763</t>
  </si>
  <si>
    <t>Student_763</t>
  </si>
  <si>
    <t>S1764</t>
  </si>
  <si>
    <t>Student_764</t>
  </si>
  <si>
    <t>S1765</t>
  </si>
  <si>
    <t>Student_765</t>
  </si>
  <si>
    <t>S1766</t>
  </si>
  <si>
    <t>Student_766</t>
  </si>
  <si>
    <t>S1767</t>
  </si>
  <si>
    <t>Student_767</t>
  </si>
  <si>
    <t>S1768</t>
  </si>
  <si>
    <t>Student_768</t>
  </si>
  <si>
    <t>S1769</t>
  </si>
  <si>
    <t>Student_769</t>
  </si>
  <si>
    <t>S1770</t>
  </si>
  <si>
    <t>Student_770</t>
  </si>
  <si>
    <t>S1771</t>
  </si>
  <si>
    <t>Student_771</t>
  </si>
  <si>
    <t>S1772</t>
  </si>
  <si>
    <t>Student_772</t>
  </si>
  <si>
    <t>S1773</t>
  </si>
  <si>
    <t>Student_773</t>
  </si>
  <si>
    <t>S1774</t>
  </si>
  <si>
    <t>Student_774</t>
  </si>
  <si>
    <t>S1775</t>
  </si>
  <si>
    <t>Student_775</t>
  </si>
  <si>
    <t>S1776</t>
  </si>
  <si>
    <t>Student_776</t>
  </si>
  <si>
    <t>S1777</t>
  </si>
  <si>
    <t>Student_777</t>
  </si>
  <si>
    <t>S1778</t>
  </si>
  <si>
    <t>Student_778</t>
  </si>
  <si>
    <t>S1779</t>
  </si>
  <si>
    <t>Student_779</t>
  </si>
  <si>
    <t>S1780</t>
  </si>
  <si>
    <t>Student_780</t>
  </si>
  <si>
    <t>S1781</t>
  </si>
  <si>
    <t>Student_781</t>
  </si>
  <si>
    <t>S1782</t>
  </si>
  <si>
    <t>Student_782</t>
  </si>
  <si>
    <t>S1783</t>
  </si>
  <si>
    <t>Student_783</t>
  </si>
  <si>
    <t>S1784</t>
  </si>
  <si>
    <t>Student_784</t>
  </si>
  <si>
    <t>S1785</t>
  </si>
  <si>
    <t>Student_785</t>
  </si>
  <si>
    <t>S1786</t>
  </si>
  <si>
    <t>Student_786</t>
  </si>
  <si>
    <t>S1787</t>
  </si>
  <si>
    <t>Student_787</t>
  </si>
  <si>
    <t>S1788</t>
  </si>
  <si>
    <t>Student_788</t>
  </si>
  <si>
    <t>S1789</t>
  </si>
  <si>
    <t>Student_789</t>
  </si>
  <si>
    <t>S1790</t>
  </si>
  <si>
    <t>Student_790</t>
  </si>
  <si>
    <t>S1791</t>
  </si>
  <si>
    <t>Student_791</t>
  </si>
  <si>
    <t>S1792</t>
  </si>
  <si>
    <t>Student_792</t>
  </si>
  <si>
    <t>S1793</t>
  </si>
  <si>
    <t>Student_793</t>
  </si>
  <si>
    <t>S1794</t>
  </si>
  <si>
    <t>Student_794</t>
  </si>
  <si>
    <t>S1795</t>
  </si>
  <si>
    <t>Student_795</t>
  </si>
  <si>
    <t>S1796</t>
  </si>
  <si>
    <t>Student_796</t>
  </si>
  <si>
    <t>S1797</t>
  </si>
  <si>
    <t>Student_797</t>
  </si>
  <si>
    <t>S1798</t>
  </si>
  <si>
    <t>Student_798</t>
  </si>
  <si>
    <t>S1799</t>
  </si>
  <si>
    <t>Student_799</t>
  </si>
  <si>
    <t>S1800</t>
  </si>
  <si>
    <t>Student_800</t>
  </si>
  <si>
    <t>S1801</t>
  </si>
  <si>
    <t>Student_801</t>
  </si>
  <si>
    <t>S1802</t>
  </si>
  <si>
    <t>Student_802</t>
  </si>
  <si>
    <t>S1803</t>
  </si>
  <si>
    <t>Student_803</t>
  </si>
  <si>
    <t>S1804</t>
  </si>
  <si>
    <t>Student_804</t>
  </si>
  <si>
    <t>S1805</t>
  </si>
  <si>
    <t>Student_805</t>
  </si>
  <si>
    <t>S1806</t>
  </si>
  <si>
    <t>Student_806</t>
  </si>
  <si>
    <t>S1807</t>
  </si>
  <si>
    <t>Student_807</t>
  </si>
  <si>
    <t>S1808</t>
  </si>
  <si>
    <t>Student_808</t>
  </si>
  <si>
    <t>S1809</t>
  </si>
  <si>
    <t>Student_809</t>
  </si>
  <si>
    <t>S1810</t>
  </si>
  <si>
    <t>Student_810</t>
  </si>
  <si>
    <t>S1811</t>
  </si>
  <si>
    <t>Student_811</t>
  </si>
  <si>
    <t>S1812</t>
  </si>
  <si>
    <t>Student_812</t>
  </si>
  <si>
    <t>S1813</t>
  </si>
  <si>
    <t>Student_813</t>
  </si>
  <si>
    <t>S1814</t>
  </si>
  <si>
    <t>Student_814</t>
  </si>
  <si>
    <t>S1815</t>
  </si>
  <si>
    <t>Student_815</t>
  </si>
  <si>
    <t>S1816</t>
  </si>
  <si>
    <t>Student_816</t>
  </si>
  <si>
    <t>S1817</t>
  </si>
  <si>
    <t>Student_817</t>
  </si>
  <si>
    <t>S1818</t>
  </si>
  <si>
    <t>Student_818</t>
  </si>
  <si>
    <t>S1819</t>
  </si>
  <si>
    <t>Student_819</t>
  </si>
  <si>
    <t>S1820</t>
  </si>
  <si>
    <t>Student_820</t>
  </si>
  <si>
    <t>S1821</t>
  </si>
  <si>
    <t>Student_821</t>
  </si>
  <si>
    <t>S1822</t>
  </si>
  <si>
    <t>Student_822</t>
  </si>
  <si>
    <t>S1823</t>
  </si>
  <si>
    <t>Student_823</t>
  </si>
  <si>
    <t>S1824</t>
  </si>
  <si>
    <t>Student_824</t>
  </si>
  <si>
    <t>S1825</t>
  </si>
  <si>
    <t>Student_825</t>
  </si>
  <si>
    <t>S1826</t>
  </si>
  <si>
    <t>Student_826</t>
  </si>
  <si>
    <t>S1827</t>
  </si>
  <si>
    <t>Student_827</t>
  </si>
  <si>
    <t>S1828</t>
  </si>
  <si>
    <t>Student_828</t>
  </si>
  <si>
    <t>S1829</t>
  </si>
  <si>
    <t>Student_829</t>
  </si>
  <si>
    <t>S1830</t>
  </si>
  <si>
    <t>Student_830</t>
  </si>
  <si>
    <t>S1831</t>
  </si>
  <si>
    <t>Student_831</t>
  </si>
  <si>
    <t>S1832</t>
  </si>
  <si>
    <t>Student_832</t>
  </si>
  <si>
    <t>S1833</t>
  </si>
  <si>
    <t>Student_833</t>
  </si>
  <si>
    <t>S1834</t>
  </si>
  <si>
    <t>Student_834</t>
  </si>
  <si>
    <t>S1835</t>
  </si>
  <si>
    <t>Student_835</t>
  </si>
  <si>
    <t>S1836</t>
  </si>
  <si>
    <t>Student_836</t>
  </si>
  <si>
    <t>S1837</t>
  </si>
  <si>
    <t>Student_837</t>
  </si>
  <si>
    <t>S1838</t>
  </si>
  <si>
    <t>Student_838</t>
  </si>
  <si>
    <t>S1839</t>
  </si>
  <si>
    <t>Student_839</t>
  </si>
  <si>
    <t>S1840</t>
  </si>
  <si>
    <t>Student_840</t>
  </si>
  <si>
    <t>S1841</t>
  </si>
  <si>
    <t>Student_841</t>
  </si>
  <si>
    <t>S1842</t>
  </si>
  <si>
    <t>Student_842</t>
  </si>
  <si>
    <t>S1843</t>
  </si>
  <si>
    <t>Student_843</t>
  </si>
  <si>
    <t>S1844</t>
  </si>
  <si>
    <t>Student_844</t>
  </si>
  <si>
    <t>S1845</t>
  </si>
  <si>
    <t>Student_845</t>
  </si>
  <si>
    <t>S1846</t>
  </si>
  <si>
    <t>Student_846</t>
  </si>
  <si>
    <t>S1847</t>
  </si>
  <si>
    <t>Student_847</t>
  </si>
  <si>
    <t>S1848</t>
  </si>
  <si>
    <t>Student_848</t>
  </si>
  <si>
    <t>S1849</t>
  </si>
  <si>
    <t>Student_849</t>
  </si>
  <si>
    <t>S1850</t>
  </si>
  <si>
    <t>Student_850</t>
  </si>
  <si>
    <t>S1851</t>
  </si>
  <si>
    <t>Student_851</t>
  </si>
  <si>
    <t>S1852</t>
  </si>
  <si>
    <t>Student_852</t>
  </si>
  <si>
    <t>S1853</t>
  </si>
  <si>
    <t>Student_853</t>
  </si>
  <si>
    <t>S1854</t>
  </si>
  <si>
    <t>Student_854</t>
  </si>
  <si>
    <t>S1855</t>
  </si>
  <si>
    <t>Student_855</t>
  </si>
  <si>
    <t>S1856</t>
  </si>
  <si>
    <t>Student_856</t>
  </si>
  <si>
    <t>S1857</t>
  </si>
  <si>
    <t>Student_857</t>
  </si>
  <si>
    <t>S1858</t>
  </si>
  <si>
    <t>Student_858</t>
  </si>
  <si>
    <t>S1859</t>
  </si>
  <si>
    <t>Student_859</t>
  </si>
  <si>
    <t>S1860</t>
  </si>
  <si>
    <t>Student_860</t>
  </si>
  <si>
    <t>S1861</t>
  </si>
  <si>
    <t>Student_861</t>
  </si>
  <si>
    <t>S1862</t>
  </si>
  <si>
    <t>Student_862</t>
  </si>
  <si>
    <t>S1863</t>
  </si>
  <si>
    <t>Student_863</t>
  </si>
  <si>
    <t>S1864</t>
  </si>
  <si>
    <t>Student_864</t>
  </si>
  <si>
    <t>S1865</t>
  </si>
  <si>
    <t>Student_865</t>
  </si>
  <si>
    <t>S1866</t>
  </si>
  <si>
    <t>Student_866</t>
  </si>
  <si>
    <t>S1867</t>
  </si>
  <si>
    <t>Student_867</t>
  </si>
  <si>
    <t>S1868</t>
  </si>
  <si>
    <t>Student_868</t>
  </si>
  <si>
    <t>S1869</t>
  </si>
  <si>
    <t>Student_869</t>
  </si>
  <si>
    <t>S1870</t>
  </si>
  <si>
    <t>Student_870</t>
  </si>
  <si>
    <t>S1871</t>
  </si>
  <si>
    <t>Student_871</t>
  </si>
  <si>
    <t>S1872</t>
  </si>
  <si>
    <t>Student_872</t>
  </si>
  <si>
    <t>S1873</t>
  </si>
  <si>
    <t>Student_873</t>
  </si>
  <si>
    <t>S1874</t>
  </si>
  <si>
    <t>Student_874</t>
  </si>
  <si>
    <t>S1875</t>
  </si>
  <si>
    <t>Student_875</t>
  </si>
  <si>
    <t>S1876</t>
  </si>
  <si>
    <t>Student_876</t>
  </si>
  <si>
    <t>S1877</t>
  </si>
  <si>
    <t>Student_877</t>
  </si>
  <si>
    <t>S1878</t>
  </si>
  <si>
    <t>Student_878</t>
  </si>
  <si>
    <t>S1879</t>
  </si>
  <si>
    <t>Student_879</t>
  </si>
  <si>
    <t>S1880</t>
  </si>
  <si>
    <t>Student_880</t>
  </si>
  <si>
    <t>S1881</t>
  </si>
  <si>
    <t>Student_881</t>
  </si>
  <si>
    <t>S1882</t>
  </si>
  <si>
    <t>Student_882</t>
  </si>
  <si>
    <t>S1883</t>
  </si>
  <si>
    <t>Student_883</t>
  </si>
  <si>
    <t>S1884</t>
  </si>
  <si>
    <t>Student_884</t>
  </si>
  <si>
    <t>S1885</t>
  </si>
  <si>
    <t>Student_885</t>
  </si>
  <si>
    <t>S1886</t>
  </si>
  <si>
    <t>Student_886</t>
  </si>
  <si>
    <t>S1887</t>
  </si>
  <si>
    <t>Student_887</t>
  </si>
  <si>
    <t>S1888</t>
  </si>
  <si>
    <t>Student_888</t>
  </si>
  <si>
    <t>S1889</t>
  </si>
  <si>
    <t>Student_889</t>
  </si>
  <si>
    <t>S1890</t>
  </si>
  <si>
    <t>Student_890</t>
  </si>
  <si>
    <t>S1891</t>
  </si>
  <si>
    <t>Student_891</t>
  </si>
  <si>
    <t>S1892</t>
  </si>
  <si>
    <t>Student_892</t>
  </si>
  <si>
    <t>S1893</t>
  </si>
  <si>
    <t>Student_893</t>
  </si>
  <si>
    <t>S1894</t>
  </si>
  <si>
    <t>Student_894</t>
  </si>
  <si>
    <t>S1895</t>
  </si>
  <si>
    <t>Student_895</t>
  </si>
  <si>
    <t>S1896</t>
  </si>
  <si>
    <t>Student_896</t>
  </si>
  <si>
    <t>S1897</t>
  </si>
  <si>
    <t>Student_897</t>
  </si>
  <si>
    <t>S1898</t>
  </si>
  <si>
    <t>Student_898</t>
  </si>
  <si>
    <t>S1899</t>
  </si>
  <si>
    <t>Student_899</t>
  </si>
  <si>
    <t>S1900</t>
  </si>
  <si>
    <t>Student_900</t>
  </si>
  <si>
    <t>S1901</t>
  </si>
  <si>
    <t>Student_901</t>
  </si>
  <si>
    <t>S1902</t>
  </si>
  <si>
    <t>Student_902</t>
  </si>
  <si>
    <t>S1903</t>
  </si>
  <si>
    <t>Student_903</t>
  </si>
  <si>
    <t>S1904</t>
  </si>
  <si>
    <t>Student_904</t>
  </si>
  <si>
    <t>S1905</t>
  </si>
  <si>
    <t>Student_905</t>
  </si>
  <si>
    <t>S1906</t>
  </si>
  <si>
    <t>Student_906</t>
  </si>
  <si>
    <t>S1907</t>
  </si>
  <si>
    <t>Student_907</t>
  </si>
  <si>
    <t>S1908</t>
  </si>
  <si>
    <t>Student_908</t>
  </si>
  <si>
    <t>S1909</t>
  </si>
  <si>
    <t>Student_909</t>
  </si>
  <si>
    <t>S1910</t>
  </si>
  <si>
    <t>Student_910</t>
  </si>
  <si>
    <t>S1911</t>
  </si>
  <si>
    <t>Student_911</t>
  </si>
  <si>
    <t>S1912</t>
  </si>
  <si>
    <t>Student_912</t>
  </si>
  <si>
    <t>S1913</t>
  </si>
  <si>
    <t>Student_913</t>
  </si>
  <si>
    <t>S1914</t>
  </si>
  <si>
    <t>Student_914</t>
  </si>
  <si>
    <t>S1915</t>
  </si>
  <si>
    <t>Student_915</t>
  </si>
  <si>
    <t>S1916</t>
  </si>
  <si>
    <t>Student_916</t>
  </si>
  <si>
    <t>S1917</t>
  </si>
  <si>
    <t>Student_917</t>
  </si>
  <si>
    <t>S1918</t>
  </si>
  <si>
    <t>Student_918</t>
  </si>
  <si>
    <t>S1919</t>
  </si>
  <si>
    <t>Student_919</t>
  </si>
  <si>
    <t>S1920</t>
  </si>
  <si>
    <t>Student_920</t>
  </si>
  <si>
    <t>S1921</t>
  </si>
  <si>
    <t>Student_921</t>
  </si>
  <si>
    <t>S1922</t>
  </si>
  <si>
    <t>Student_922</t>
  </si>
  <si>
    <t>S1923</t>
  </si>
  <si>
    <t>Student_923</t>
  </si>
  <si>
    <t>S1924</t>
  </si>
  <si>
    <t>Student_924</t>
  </si>
  <si>
    <t>S1925</t>
  </si>
  <si>
    <t>Student_925</t>
  </si>
  <si>
    <t>S1926</t>
  </si>
  <si>
    <t>Student_926</t>
  </si>
  <si>
    <t>S1927</t>
  </si>
  <si>
    <t>Student_927</t>
  </si>
  <si>
    <t>S1928</t>
  </si>
  <si>
    <t>Student_928</t>
  </si>
  <si>
    <t>S1929</t>
  </si>
  <si>
    <t>Student_929</t>
  </si>
  <si>
    <t>S1930</t>
  </si>
  <si>
    <t>Student_930</t>
  </si>
  <si>
    <t>S1931</t>
  </si>
  <si>
    <t>Student_931</t>
  </si>
  <si>
    <t>S1932</t>
  </si>
  <si>
    <t>Student_932</t>
  </si>
  <si>
    <t>S1933</t>
  </si>
  <si>
    <t>Student_933</t>
  </si>
  <si>
    <t>S1934</t>
  </si>
  <si>
    <t>Student_934</t>
  </si>
  <si>
    <t>S1935</t>
  </si>
  <si>
    <t>Student_935</t>
  </si>
  <si>
    <t>S1936</t>
  </si>
  <si>
    <t>Student_936</t>
  </si>
  <si>
    <t>S1937</t>
  </si>
  <si>
    <t>Student_937</t>
  </si>
  <si>
    <t>S1938</t>
  </si>
  <si>
    <t>Student_938</t>
  </si>
  <si>
    <t>S1939</t>
  </si>
  <si>
    <t>Student_939</t>
  </si>
  <si>
    <t>S1940</t>
  </si>
  <si>
    <t>Student_940</t>
  </si>
  <si>
    <t>S1941</t>
  </si>
  <si>
    <t>Student_941</t>
  </si>
  <si>
    <t>S1942</t>
  </si>
  <si>
    <t>Student_942</t>
  </si>
  <si>
    <t>S1943</t>
  </si>
  <si>
    <t>Student_943</t>
  </si>
  <si>
    <t>S1944</t>
  </si>
  <si>
    <t>Student_944</t>
  </si>
  <si>
    <t>S1945</t>
  </si>
  <si>
    <t>Student_945</t>
  </si>
  <si>
    <t>S1946</t>
  </si>
  <si>
    <t>Student_946</t>
  </si>
  <si>
    <t>S1947</t>
  </si>
  <si>
    <t>Student_947</t>
  </si>
  <si>
    <t>S1948</t>
  </si>
  <si>
    <t>Student_948</t>
  </si>
  <si>
    <t>S1949</t>
  </si>
  <si>
    <t>Student_949</t>
  </si>
  <si>
    <t>S1950</t>
  </si>
  <si>
    <t>Student_950</t>
  </si>
  <si>
    <t>S1951</t>
  </si>
  <si>
    <t>Student_951</t>
  </si>
  <si>
    <t>S1952</t>
  </si>
  <si>
    <t>Student_952</t>
  </si>
  <si>
    <t>S1953</t>
  </si>
  <si>
    <t>Student_953</t>
  </si>
  <si>
    <t>S1954</t>
  </si>
  <si>
    <t>Student_954</t>
  </si>
  <si>
    <t>S1955</t>
  </si>
  <si>
    <t>Student_955</t>
  </si>
  <si>
    <t>S1956</t>
  </si>
  <si>
    <t>Student_956</t>
  </si>
  <si>
    <t>S1957</t>
  </si>
  <si>
    <t>Student_957</t>
  </si>
  <si>
    <t>S1958</t>
  </si>
  <si>
    <t>Student_958</t>
  </si>
  <si>
    <t>S1959</t>
  </si>
  <si>
    <t>Student_959</t>
  </si>
  <si>
    <t>S1960</t>
  </si>
  <si>
    <t>Student_960</t>
  </si>
  <si>
    <t>S1961</t>
  </si>
  <si>
    <t>Student_961</t>
  </si>
  <si>
    <t>S1962</t>
  </si>
  <si>
    <t>Student_962</t>
  </si>
  <si>
    <t>S1963</t>
  </si>
  <si>
    <t>Student_963</t>
  </si>
  <si>
    <t>S1964</t>
  </si>
  <si>
    <t>Student_964</t>
  </si>
  <si>
    <t>S1965</t>
  </si>
  <si>
    <t>Student_965</t>
  </si>
  <si>
    <t>S1966</t>
  </si>
  <si>
    <t>Student_966</t>
  </si>
  <si>
    <t>S1967</t>
  </si>
  <si>
    <t>Student_967</t>
  </si>
  <si>
    <t>S1968</t>
  </si>
  <si>
    <t>Student_968</t>
  </si>
  <si>
    <t>S1969</t>
  </si>
  <si>
    <t>Student_969</t>
  </si>
  <si>
    <t>S1970</t>
  </si>
  <si>
    <t>Student_970</t>
  </si>
  <si>
    <t>S1971</t>
  </si>
  <si>
    <t>Student_971</t>
  </si>
  <si>
    <t>S1972</t>
  </si>
  <si>
    <t>Student_972</t>
  </si>
  <si>
    <t>S1973</t>
  </si>
  <si>
    <t>Student_973</t>
  </si>
  <si>
    <t>S1974</t>
  </si>
  <si>
    <t>Student_974</t>
  </si>
  <si>
    <t>S1975</t>
  </si>
  <si>
    <t>Student_975</t>
  </si>
  <si>
    <t>S1976</t>
  </si>
  <si>
    <t>Student_976</t>
  </si>
  <si>
    <t>S1977</t>
  </si>
  <si>
    <t>Student_977</t>
  </si>
  <si>
    <t>S1978</t>
  </si>
  <si>
    <t>Student_978</t>
  </si>
  <si>
    <t>S1979</t>
  </si>
  <si>
    <t>Student_979</t>
  </si>
  <si>
    <t>S1980</t>
  </si>
  <si>
    <t>Student_980</t>
  </si>
  <si>
    <t>S1981</t>
  </si>
  <si>
    <t>Student_981</t>
  </si>
  <si>
    <t>S1982</t>
  </si>
  <si>
    <t>Student_982</t>
  </si>
  <si>
    <t>S1983</t>
  </si>
  <si>
    <t>Student_983</t>
  </si>
  <si>
    <t>S1984</t>
  </si>
  <si>
    <t>Student_984</t>
  </si>
  <si>
    <t>S1985</t>
  </si>
  <si>
    <t>Student_985</t>
  </si>
  <si>
    <t>S1986</t>
  </si>
  <si>
    <t>Student_986</t>
  </si>
  <si>
    <t>S1987</t>
  </si>
  <si>
    <t>Student_987</t>
  </si>
  <si>
    <t>S1988</t>
  </si>
  <si>
    <t>Student_988</t>
  </si>
  <si>
    <t>S1989</t>
  </si>
  <si>
    <t>Student_989</t>
  </si>
  <si>
    <t>S1990</t>
  </si>
  <si>
    <t>Student_990</t>
  </si>
  <si>
    <t>S1991</t>
  </si>
  <si>
    <t>Student_991</t>
  </si>
  <si>
    <t>S1992</t>
  </si>
  <si>
    <t>Student_992</t>
  </si>
  <si>
    <t>S1993</t>
  </si>
  <si>
    <t>Student_993</t>
  </si>
  <si>
    <t>S1994</t>
  </si>
  <si>
    <t>Student_994</t>
  </si>
  <si>
    <t>S1995</t>
  </si>
  <si>
    <t>Student_995</t>
  </si>
  <si>
    <t>S1996</t>
  </si>
  <si>
    <t>Student_996</t>
  </si>
  <si>
    <t>S1997</t>
  </si>
  <si>
    <t>Student_997</t>
  </si>
  <si>
    <t>S1998</t>
  </si>
  <si>
    <t>Student_998</t>
  </si>
  <si>
    <t>S1999</t>
  </si>
  <si>
    <t>Student_999</t>
  </si>
  <si>
    <t>S2000</t>
  </si>
  <si>
    <t>Student_1000</t>
  </si>
  <si>
    <t>S2001</t>
  </si>
  <si>
    <t>Student_1001</t>
  </si>
  <si>
    <t>S2002</t>
  </si>
  <si>
    <t>Student_1002</t>
  </si>
  <si>
    <t>S2003</t>
  </si>
  <si>
    <t>Student_1003</t>
  </si>
  <si>
    <t>S2004</t>
  </si>
  <si>
    <t>Student_1004</t>
  </si>
  <si>
    <t>S2005</t>
  </si>
  <si>
    <t>Student_1005</t>
  </si>
  <si>
    <t>S2006</t>
  </si>
  <si>
    <t>Student_1006</t>
  </si>
  <si>
    <t>S2007</t>
  </si>
  <si>
    <t>Student_1007</t>
  </si>
  <si>
    <t>S2008</t>
  </si>
  <si>
    <t>Student_1008</t>
  </si>
  <si>
    <t>S2009</t>
  </si>
  <si>
    <t>Student_1009</t>
  </si>
  <si>
    <t>S2010</t>
  </si>
  <si>
    <t>Student_1010</t>
  </si>
  <si>
    <t>S2011</t>
  </si>
  <si>
    <t>Student_1011</t>
  </si>
  <si>
    <t>S2012</t>
  </si>
  <si>
    <t>Student_1012</t>
  </si>
  <si>
    <t>S2013</t>
  </si>
  <si>
    <t>Student_1013</t>
  </si>
  <si>
    <t>S2014</t>
  </si>
  <si>
    <t>Student_1014</t>
  </si>
  <si>
    <t>S2015</t>
  </si>
  <si>
    <t>Student_1015</t>
  </si>
  <si>
    <t>S2016</t>
  </si>
  <si>
    <t>Student_1016</t>
  </si>
  <si>
    <t>S2017</t>
  </si>
  <si>
    <t>Student_1017</t>
  </si>
  <si>
    <t>S2018</t>
  </si>
  <si>
    <t>Student_1018</t>
  </si>
  <si>
    <t>S2019</t>
  </si>
  <si>
    <t>Student_1019</t>
  </si>
  <si>
    <t>S2020</t>
  </si>
  <si>
    <t>Student_1020</t>
  </si>
  <si>
    <t>S2021</t>
  </si>
  <si>
    <t>Student_1021</t>
  </si>
  <si>
    <t>S2022</t>
  </si>
  <si>
    <t>Student_1022</t>
  </si>
  <si>
    <t>S2023</t>
  </si>
  <si>
    <t>Student_1023</t>
  </si>
  <si>
    <t>S2024</t>
  </si>
  <si>
    <t>Student_1024</t>
  </si>
  <si>
    <t>S2025</t>
  </si>
  <si>
    <t>Student_1025</t>
  </si>
  <si>
    <t>S2026</t>
  </si>
  <si>
    <t>Student_1026</t>
  </si>
  <si>
    <t>S2027</t>
  </si>
  <si>
    <t>Student_1027</t>
  </si>
  <si>
    <t>S2028</t>
  </si>
  <si>
    <t>Student_1028</t>
  </si>
  <si>
    <t>S2029</t>
  </si>
  <si>
    <t>Student_1029</t>
  </si>
  <si>
    <t>S2030</t>
  </si>
  <si>
    <t>Student_1030</t>
  </si>
  <si>
    <t>S2031</t>
  </si>
  <si>
    <t>Student_1031</t>
  </si>
  <si>
    <t>S2032</t>
  </si>
  <si>
    <t>Student_1032</t>
  </si>
  <si>
    <t>S2033</t>
  </si>
  <si>
    <t>Student_1033</t>
  </si>
  <si>
    <t>S2034</t>
  </si>
  <si>
    <t>Student_1034</t>
  </si>
  <si>
    <t>S2035</t>
  </si>
  <si>
    <t>Student_1035</t>
  </si>
  <si>
    <t>S2036</t>
  </si>
  <si>
    <t>Student_1036</t>
  </si>
  <si>
    <t>S2037</t>
  </si>
  <si>
    <t>Student_1037</t>
  </si>
  <si>
    <t>S2038</t>
  </si>
  <si>
    <t>Student_1038</t>
  </si>
  <si>
    <t>S2039</t>
  </si>
  <si>
    <t>Student_1039</t>
  </si>
  <si>
    <t>S2040</t>
  </si>
  <si>
    <t>Student_1040</t>
  </si>
  <si>
    <t>S2041</t>
  </si>
  <si>
    <t>Student_1041</t>
  </si>
  <si>
    <t>S2042</t>
  </si>
  <si>
    <t>Student_1042</t>
  </si>
  <si>
    <t>S2043</t>
  </si>
  <si>
    <t>Student_1043</t>
  </si>
  <si>
    <t>S2044</t>
  </si>
  <si>
    <t>Student_1044</t>
  </si>
  <si>
    <t>S2045</t>
  </si>
  <si>
    <t>Student_1045</t>
  </si>
  <si>
    <t>S2046</t>
  </si>
  <si>
    <t>Student_1046</t>
  </si>
  <si>
    <t>S2047</t>
  </si>
  <si>
    <t>Student_1047</t>
  </si>
  <si>
    <t>S2048</t>
  </si>
  <si>
    <t>Student_1048</t>
  </si>
  <si>
    <t>S2049</t>
  </si>
  <si>
    <t>Student_1049</t>
  </si>
  <si>
    <t>S2050</t>
  </si>
  <si>
    <t>Student_1050</t>
  </si>
  <si>
    <t>S2051</t>
  </si>
  <si>
    <t>Student_1051</t>
  </si>
  <si>
    <t>S2052</t>
  </si>
  <si>
    <t>Student_1052</t>
  </si>
  <si>
    <t>S2053</t>
  </si>
  <si>
    <t>Student_1053</t>
  </si>
  <si>
    <t>S2054</t>
  </si>
  <si>
    <t>Student_1054</t>
  </si>
  <si>
    <t>S2055</t>
  </si>
  <si>
    <t>Student_1055</t>
  </si>
  <si>
    <t>S2056</t>
  </si>
  <si>
    <t>Student_1056</t>
  </si>
  <si>
    <t>S2057</t>
  </si>
  <si>
    <t>Student_1057</t>
  </si>
  <si>
    <t>S2058</t>
  </si>
  <si>
    <t>Student_1058</t>
  </si>
  <si>
    <t>S2059</t>
  </si>
  <si>
    <t>Student_1059</t>
  </si>
  <si>
    <t>S2060</t>
  </si>
  <si>
    <t>Student_1060</t>
  </si>
  <si>
    <t>S2061</t>
  </si>
  <si>
    <t>Student_1061</t>
  </si>
  <si>
    <t>S2062</t>
  </si>
  <si>
    <t>Student_1062</t>
  </si>
  <si>
    <t>S2063</t>
  </si>
  <si>
    <t>Student_1063</t>
  </si>
  <si>
    <t>S2064</t>
  </si>
  <si>
    <t>Student_1064</t>
  </si>
  <si>
    <t>S2065</t>
  </si>
  <si>
    <t>Student_1065</t>
  </si>
  <si>
    <t>S2066</t>
  </si>
  <si>
    <t>Student_1066</t>
  </si>
  <si>
    <t>S2067</t>
  </si>
  <si>
    <t>Student_1067</t>
  </si>
  <si>
    <t>S2068</t>
  </si>
  <si>
    <t>Student_1068</t>
  </si>
  <si>
    <t>S2069</t>
  </si>
  <si>
    <t>Student_1069</t>
  </si>
  <si>
    <t>S2070</t>
  </si>
  <si>
    <t>Student_1070</t>
  </si>
  <si>
    <t>S2071</t>
  </si>
  <si>
    <t>Student_1071</t>
  </si>
  <si>
    <t>S2072</t>
  </si>
  <si>
    <t>Student_1072</t>
  </si>
  <si>
    <t>S2073</t>
  </si>
  <si>
    <t>Student_1073</t>
  </si>
  <si>
    <t>S2074</t>
  </si>
  <si>
    <t>Student_1074</t>
  </si>
  <si>
    <t>S2075</t>
  </si>
  <si>
    <t>Student_1075</t>
  </si>
  <si>
    <t>S2076</t>
  </si>
  <si>
    <t>Student_1076</t>
  </si>
  <si>
    <t>S2077</t>
  </si>
  <si>
    <t>Student_1077</t>
  </si>
  <si>
    <t>S2078</t>
  </si>
  <si>
    <t>Student_1078</t>
  </si>
  <si>
    <t>S2079</t>
  </si>
  <si>
    <t>Student_1079</t>
  </si>
  <si>
    <t>S2080</t>
  </si>
  <si>
    <t>Student_1080</t>
  </si>
  <si>
    <t>S2081</t>
  </si>
  <si>
    <t>Student_1081</t>
  </si>
  <si>
    <t>S2082</t>
  </si>
  <si>
    <t>Student_1082</t>
  </si>
  <si>
    <t>S2083</t>
  </si>
  <si>
    <t>Student_1083</t>
  </si>
  <si>
    <t>S2084</t>
  </si>
  <si>
    <t>Student_1084</t>
  </si>
  <si>
    <t>S2085</t>
  </si>
  <si>
    <t>Student_1085</t>
  </si>
  <si>
    <t>S2086</t>
  </si>
  <si>
    <t>Student_1086</t>
  </si>
  <si>
    <t>S2087</t>
  </si>
  <si>
    <t>Student_1087</t>
  </si>
  <si>
    <t>S2088</t>
  </si>
  <si>
    <t>Student_1088</t>
  </si>
  <si>
    <t>S2089</t>
  </si>
  <si>
    <t>Student_1089</t>
  </si>
  <si>
    <t>S2090</t>
  </si>
  <si>
    <t>Student_1090</t>
  </si>
  <si>
    <t>S2091</t>
  </si>
  <si>
    <t>Student_1091</t>
  </si>
  <si>
    <t>S2092</t>
  </si>
  <si>
    <t>Student_1092</t>
  </si>
  <si>
    <t>S2093</t>
  </si>
  <si>
    <t>Student_1093</t>
  </si>
  <si>
    <t>S2094</t>
  </si>
  <si>
    <t>Student_1094</t>
  </si>
  <si>
    <t>S2095</t>
  </si>
  <si>
    <t>Student_1095</t>
  </si>
  <si>
    <t>S2096</t>
  </si>
  <si>
    <t>Student_1096</t>
  </si>
  <si>
    <t>S2097</t>
  </si>
  <si>
    <t>Student_1097</t>
  </si>
  <si>
    <t>S2098</t>
  </si>
  <si>
    <t>Student_1098</t>
  </si>
  <si>
    <t>S2099</t>
  </si>
  <si>
    <t>Student_1099</t>
  </si>
  <si>
    <t>S2100</t>
  </si>
  <si>
    <t>Student_1100</t>
  </si>
  <si>
    <t>S2101</t>
  </si>
  <si>
    <t>Student_1101</t>
  </si>
  <si>
    <t>S2102</t>
  </si>
  <si>
    <t>Student_1102</t>
  </si>
  <si>
    <t>S2103</t>
  </si>
  <si>
    <t>Student_1103</t>
  </si>
  <si>
    <t>S2104</t>
  </si>
  <si>
    <t>Student_1104</t>
  </si>
  <si>
    <t>S2105</t>
  </si>
  <si>
    <t>Student_1105</t>
  </si>
  <si>
    <t>S2106</t>
  </si>
  <si>
    <t>Student_1106</t>
  </si>
  <si>
    <t>S2107</t>
  </si>
  <si>
    <t>Student_1107</t>
  </si>
  <si>
    <t>S2108</t>
  </si>
  <si>
    <t>Student_1108</t>
  </si>
  <si>
    <t>S2109</t>
  </si>
  <si>
    <t>Student_1109</t>
  </si>
  <si>
    <t>S2110</t>
  </si>
  <si>
    <t>Student_1110</t>
  </si>
  <si>
    <t>S2111</t>
  </si>
  <si>
    <t>Student_1111</t>
  </si>
  <si>
    <t>S2112</t>
  </si>
  <si>
    <t>Student_1112</t>
  </si>
  <si>
    <t>S2113</t>
  </si>
  <si>
    <t>Student_1113</t>
  </si>
  <si>
    <t>S2114</t>
  </si>
  <si>
    <t>Student_1114</t>
  </si>
  <si>
    <t>S2115</t>
  </si>
  <si>
    <t>Student_1115</t>
  </si>
  <si>
    <t>S2116</t>
  </si>
  <si>
    <t>Student_1116</t>
  </si>
  <si>
    <t>S2117</t>
  </si>
  <si>
    <t>Student_1117</t>
  </si>
  <si>
    <t>S2118</t>
  </si>
  <si>
    <t>Student_1118</t>
  </si>
  <si>
    <t>S2119</t>
  </si>
  <si>
    <t>Student_1119</t>
  </si>
  <si>
    <t>S2120</t>
  </si>
  <si>
    <t>Student_1120</t>
  </si>
  <si>
    <t>S2121</t>
  </si>
  <si>
    <t>Student_1121</t>
  </si>
  <si>
    <t>S2122</t>
  </si>
  <si>
    <t>Student_1122</t>
  </si>
  <si>
    <t>S2123</t>
  </si>
  <si>
    <t>Student_1123</t>
  </si>
  <si>
    <t>S2124</t>
  </si>
  <si>
    <t>Student_1124</t>
  </si>
  <si>
    <t>S2125</t>
  </si>
  <si>
    <t>Student_1125</t>
  </si>
  <si>
    <t>S2126</t>
  </si>
  <si>
    <t>Student_1126</t>
  </si>
  <si>
    <t>S2127</t>
  </si>
  <si>
    <t>Student_1127</t>
  </si>
  <si>
    <t>S2128</t>
  </si>
  <si>
    <t>Student_1128</t>
  </si>
  <si>
    <t>S2129</t>
  </si>
  <si>
    <t>Student_1129</t>
  </si>
  <si>
    <t>S2130</t>
  </si>
  <si>
    <t>Student_1130</t>
  </si>
  <si>
    <t>S2131</t>
  </si>
  <si>
    <t>Student_1131</t>
  </si>
  <si>
    <t>S2132</t>
  </si>
  <si>
    <t>Student_1132</t>
  </si>
  <si>
    <t>S2133</t>
  </si>
  <si>
    <t>Student_1133</t>
  </si>
  <si>
    <t>S2134</t>
  </si>
  <si>
    <t>Student_1134</t>
  </si>
  <si>
    <t>S2135</t>
  </si>
  <si>
    <t>Student_1135</t>
  </si>
  <si>
    <t>S2136</t>
  </si>
  <si>
    <t>Student_1136</t>
  </si>
  <si>
    <t>S2137</t>
  </si>
  <si>
    <t>Student_1137</t>
  </si>
  <si>
    <t>S2138</t>
  </si>
  <si>
    <t>Student_1138</t>
  </si>
  <si>
    <t>S2139</t>
  </si>
  <si>
    <t>Student_1139</t>
  </si>
  <si>
    <t>S2140</t>
  </si>
  <si>
    <t>Student_1140</t>
  </si>
  <si>
    <t>S2141</t>
  </si>
  <si>
    <t>Student_1141</t>
  </si>
  <si>
    <t>S2142</t>
  </si>
  <si>
    <t>Student_1142</t>
  </si>
  <si>
    <t>S2143</t>
  </si>
  <si>
    <t>Student_1143</t>
  </si>
  <si>
    <t>S2144</t>
  </si>
  <si>
    <t>Student_1144</t>
  </si>
  <si>
    <t>S2145</t>
  </si>
  <si>
    <t>Student_1145</t>
  </si>
  <si>
    <t>S2146</t>
  </si>
  <si>
    <t>Student_1146</t>
  </si>
  <si>
    <t>S2147</t>
  </si>
  <si>
    <t>Student_1147</t>
  </si>
  <si>
    <t>S2148</t>
  </si>
  <si>
    <t>Student_1148</t>
  </si>
  <si>
    <t>S2149</t>
  </si>
  <si>
    <t>Student_1149</t>
  </si>
  <si>
    <t>S2150</t>
  </si>
  <si>
    <t>Student_1150</t>
  </si>
  <si>
    <t>S2151</t>
  </si>
  <si>
    <t>Student_1151</t>
  </si>
  <si>
    <t>S2152</t>
  </si>
  <si>
    <t>Student_1152</t>
  </si>
  <si>
    <t>S2153</t>
  </si>
  <si>
    <t>Student_1153</t>
  </si>
  <si>
    <t>S2154</t>
  </si>
  <si>
    <t>Student_1154</t>
  </si>
  <si>
    <t>S2155</t>
  </si>
  <si>
    <t>Student_1155</t>
  </si>
  <si>
    <t>S2156</t>
  </si>
  <si>
    <t>Student_1156</t>
  </si>
  <si>
    <t>S2157</t>
  </si>
  <si>
    <t>Student_1157</t>
  </si>
  <si>
    <t>S2158</t>
  </si>
  <si>
    <t>Student_1158</t>
  </si>
  <si>
    <t>S2159</t>
  </si>
  <si>
    <t>Student_1159</t>
  </si>
  <si>
    <t>S2160</t>
  </si>
  <si>
    <t>Student_1160</t>
  </si>
  <si>
    <t>S2161</t>
  </si>
  <si>
    <t>Student_1161</t>
  </si>
  <si>
    <t>S2162</t>
  </si>
  <si>
    <t>Student_1162</t>
  </si>
  <si>
    <t>S2163</t>
  </si>
  <si>
    <t>Student_1163</t>
  </si>
  <si>
    <t>S2164</t>
  </si>
  <si>
    <t>Student_1164</t>
  </si>
  <si>
    <t>S2165</t>
  </si>
  <si>
    <t>Student_1165</t>
  </si>
  <si>
    <t>S2166</t>
  </si>
  <si>
    <t>Student_1166</t>
  </si>
  <si>
    <t>S2167</t>
  </si>
  <si>
    <t>Student_1167</t>
  </si>
  <si>
    <t>S2168</t>
  </si>
  <si>
    <t>Student_1168</t>
  </si>
  <si>
    <t>S2169</t>
  </si>
  <si>
    <t>Student_1169</t>
  </si>
  <si>
    <t>S2170</t>
  </si>
  <si>
    <t>Student_1170</t>
  </si>
  <si>
    <t>S2171</t>
  </si>
  <si>
    <t>Student_1171</t>
  </si>
  <si>
    <t>S2172</t>
  </si>
  <si>
    <t>Student_1172</t>
  </si>
  <si>
    <t>S2173</t>
  </si>
  <si>
    <t>Student_1173</t>
  </si>
  <si>
    <t>S2174</t>
  </si>
  <si>
    <t>Student_1174</t>
  </si>
  <si>
    <t>S2175</t>
  </si>
  <si>
    <t>Student_1175</t>
  </si>
  <si>
    <t>S2176</t>
  </si>
  <si>
    <t>Student_1176</t>
  </si>
  <si>
    <t>S2177</t>
  </si>
  <si>
    <t>Student_1177</t>
  </si>
  <si>
    <t>S2178</t>
  </si>
  <si>
    <t>Student_1178</t>
  </si>
  <si>
    <t>S2179</t>
  </si>
  <si>
    <t>Student_1179</t>
  </si>
  <si>
    <t>S2180</t>
  </si>
  <si>
    <t>Student_1180</t>
  </si>
  <si>
    <t>S2181</t>
  </si>
  <si>
    <t>Student_1181</t>
  </si>
  <si>
    <t>S2182</t>
  </si>
  <si>
    <t>Student_1182</t>
  </si>
  <si>
    <t>S2183</t>
  </si>
  <si>
    <t>Student_1183</t>
  </si>
  <si>
    <t>S2184</t>
  </si>
  <si>
    <t>Student_1184</t>
  </si>
  <si>
    <t>S2185</t>
  </si>
  <si>
    <t>Student_1185</t>
  </si>
  <si>
    <t>S2186</t>
  </si>
  <si>
    <t>Student_1186</t>
  </si>
  <si>
    <t>S2187</t>
  </si>
  <si>
    <t>Student_1187</t>
  </si>
  <si>
    <t>S2188</t>
  </si>
  <si>
    <t>Student_1188</t>
  </si>
  <si>
    <t>S2189</t>
  </si>
  <si>
    <t>Student_1189</t>
  </si>
  <si>
    <t>S2190</t>
  </si>
  <si>
    <t>Student_1190</t>
  </si>
  <si>
    <t>S2191</t>
  </si>
  <si>
    <t>Student_1191</t>
  </si>
  <si>
    <t>S2192</t>
  </si>
  <si>
    <t>Student_1192</t>
  </si>
  <si>
    <t>S2193</t>
  </si>
  <si>
    <t>Student_1193</t>
  </si>
  <si>
    <t>S2194</t>
  </si>
  <si>
    <t>Student_1194</t>
  </si>
  <si>
    <t>S2195</t>
  </si>
  <si>
    <t>Student_1195</t>
  </si>
  <si>
    <t>S2196</t>
  </si>
  <si>
    <t>Student_1196</t>
  </si>
  <si>
    <t>S2197</t>
  </si>
  <si>
    <t>Student_1197</t>
  </si>
  <si>
    <t>S2198</t>
  </si>
  <si>
    <t>Student_1198</t>
  </si>
  <si>
    <t>S2199</t>
  </si>
  <si>
    <t>Student_1199</t>
  </si>
  <si>
    <t xml:space="preserve">Faculty </t>
  </si>
  <si>
    <t>Head Name</t>
  </si>
  <si>
    <t xml:space="preserve"> Dr. Mehta</t>
  </si>
  <si>
    <t xml:space="preserve">Science </t>
  </si>
  <si>
    <t>Dr. Roy</t>
  </si>
  <si>
    <t xml:space="preserve">Arts </t>
  </si>
  <si>
    <t>Dr. Sharma</t>
  </si>
  <si>
    <t xml:space="preserve">Business </t>
  </si>
  <si>
    <t>Dr. Sinha</t>
  </si>
  <si>
    <t>Answers</t>
  </si>
  <si>
    <t>Highlighted</t>
  </si>
  <si>
    <t>Row Labels</t>
  </si>
  <si>
    <t>Grand Total</t>
  </si>
  <si>
    <t>Average of GPA</t>
  </si>
  <si>
    <t>Note:</t>
  </si>
  <si>
    <t>Highlighted the mechanical engineering course as it contains the lowest average GPA</t>
  </si>
  <si>
    <t>source: GPA report</t>
  </si>
  <si>
    <t>Sum of Scholarship</t>
  </si>
  <si>
    <t>Count of Student ID</t>
  </si>
  <si>
    <t>source:faculty and status</t>
  </si>
  <si>
    <t>ID</t>
  </si>
  <si>
    <t>Course fee</t>
  </si>
  <si>
    <t>COURSE NAME</t>
  </si>
  <si>
    <t>HIGHEST 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</si>
</sst>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4" borderId="0" xfId="0" applyFill="1"/>
    <xf numFmtId="0" fontId="0" fillId="0" borderId="0" xfId="0" applyAlignment="1">
      <alignment horizontal="left" inden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FFFF00"/>
        </patternFill>
      </fill>
    </dxf>
    <dxf>
      <numFmt numFmtId="0" formatCode="General"/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F0"/>
      </font>
    </dxf>
    <dxf>
      <font>
        <color rgb="FF0070C0"/>
      </font>
      <fill>
        <patternFill>
          <bgColor rgb="FF00B0F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A" refreshedDate="45850.053767476849" createdVersion="8" refreshedVersion="8" minRefreshableVersion="3" recordCount="1200" xr:uid="{0BB4EB34-5110-42C7-9014-BBDAA5D2D6FF}">
  <cacheSource type="worksheet">
    <worksheetSource ref="A1:J1201" sheet="University_Enrollment.dataset"/>
  </cacheSource>
  <cacheFields count="10">
    <cacheField name="Student ID" numFmtId="0">
      <sharedItems count="1200">
        <s v="S1000"/>
        <s v="S1001"/>
        <s v="S1002"/>
        <s v="S1003"/>
        <s v="S1004"/>
        <s v="S1005"/>
        <s v="S1006"/>
        <s v="S1007"/>
        <s v="S1008"/>
        <s v="S1009"/>
        <s v="S1010"/>
        <s v="S1011"/>
        <s v="S1012"/>
        <s v="S1013"/>
        <s v="S1014"/>
        <s v="S1015"/>
        <s v="S1016"/>
        <s v="S1017"/>
        <s v="S1018"/>
        <s v="S1019"/>
        <s v="S1020"/>
        <s v="S1021"/>
        <s v="S1022"/>
        <s v="S1023"/>
        <s v="S1024"/>
        <s v="S1025"/>
        <s v="S1026"/>
        <s v="S1027"/>
        <s v="S1028"/>
        <s v="S1029"/>
        <s v="S1030"/>
        <s v="S1031"/>
        <s v="S1032"/>
        <s v="S1033"/>
        <s v="S1034"/>
        <s v="S1035"/>
        <s v="S1036"/>
        <s v="S1037"/>
        <s v="S1038"/>
        <s v="S1039"/>
        <s v="S1040"/>
        <s v="S1041"/>
        <s v="S1042"/>
        <s v="S1043"/>
        <s v="S1044"/>
        <s v="S1045"/>
        <s v="S1046"/>
        <s v="S1047"/>
        <s v="S1048"/>
        <s v="S1049"/>
        <s v="S1050"/>
        <s v="S1051"/>
        <s v="S1052"/>
        <s v="S1053"/>
        <s v="S1054"/>
        <s v="S1055"/>
        <s v="S1056"/>
        <s v="S1057"/>
        <s v="S1058"/>
        <s v="S1059"/>
        <s v="S1060"/>
        <s v="S1061"/>
        <s v="S1062"/>
        <s v="S1063"/>
        <s v="S1064"/>
        <s v="S1065"/>
        <s v="S1066"/>
        <s v="S1067"/>
        <s v="S1068"/>
        <s v="S1069"/>
        <s v="S1070"/>
        <s v="S1071"/>
        <s v="S1072"/>
        <s v="S1073"/>
        <s v="S1074"/>
        <s v="S1075"/>
        <s v="S1076"/>
        <s v="S1077"/>
        <s v="S1078"/>
        <s v="S1079"/>
        <s v="S1080"/>
        <s v="S1081"/>
        <s v="S1082"/>
        <s v="S1083"/>
        <s v="S1084"/>
        <s v="S1085"/>
        <s v="S1086"/>
        <s v="S1087"/>
        <s v="S1088"/>
        <s v="S1089"/>
        <s v="S1090"/>
        <s v="S1091"/>
        <s v="S1092"/>
        <s v="S1093"/>
        <s v="S1094"/>
        <s v="S1095"/>
        <s v="S1096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7"/>
        <s v="S1118"/>
        <s v="S1119"/>
        <s v="S1120"/>
        <s v="S1121"/>
        <s v="S1122"/>
        <s v="S1123"/>
        <s v="S1124"/>
        <s v="S1125"/>
        <s v="S1126"/>
        <s v="S1127"/>
        <s v="S1128"/>
        <s v="S1129"/>
        <s v="S1130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4"/>
        <s v="S1145"/>
        <s v="S1146"/>
        <s v="S1147"/>
        <s v="S1148"/>
        <s v="S1149"/>
        <s v="S1150"/>
        <s v="S1151"/>
        <s v="S1152"/>
        <s v="S1153"/>
        <s v="S1154"/>
        <s v="S1155"/>
        <s v="S1156"/>
        <s v="S1157"/>
        <s v="S1158"/>
        <s v="S1159"/>
        <s v="S1160"/>
        <s v="S1161"/>
        <s v="S1162"/>
        <s v="S1163"/>
        <s v="S1164"/>
        <s v="S1165"/>
        <s v="S1166"/>
        <s v="S1167"/>
        <s v="S1168"/>
        <s v="S1169"/>
        <s v="S1170"/>
        <s v="S1171"/>
        <s v="S1172"/>
        <s v="S1173"/>
        <s v="S1174"/>
        <s v="S1175"/>
        <s v="S1176"/>
        <s v="S1177"/>
        <s v="S1178"/>
        <s v="S1179"/>
        <s v="S1180"/>
        <s v="S1181"/>
        <s v="S1182"/>
        <s v="S1183"/>
        <s v="S1184"/>
        <s v="S1185"/>
        <s v="S1186"/>
        <s v="S1187"/>
        <s v="S1188"/>
        <s v="S1189"/>
        <s v="S1190"/>
        <s v="S1191"/>
        <s v="S1192"/>
        <s v="S1193"/>
        <s v="S1194"/>
        <s v="S1195"/>
        <s v="S1196"/>
        <s v="S1197"/>
        <s v="S1198"/>
        <s v="S1199"/>
        <s v="S1200"/>
        <s v="S1201"/>
        <s v="S1202"/>
        <s v="S1203"/>
        <s v="S1204"/>
        <s v="S1205"/>
        <s v="S1206"/>
        <s v="S1207"/>
        <s v="S1208"/>
        <s v="S1209"/>
        <s v="S1210"/>
        <s v="S1211"/>
        <s v="S1212"/>
        <s v="S1213"/>
        <s v="S1214"/>
        <s v="S1215"/>
        <s v="S1216"/>
        <s v="S1217"/>
        <s v="S1218"/>
        <s v="S1219"/>
        <s v="S1220"/>
        <s v="S1221"/>
        <s v="S1222"/>
        <s v="S1223"/>
        <s v="S1224"/>
        <s v="S1225"/>
        <s v="S1226"/>
        <s v="S1227"/>
        <s v="S1228"/>
        <s v="S1229"/>
        <s v="S1230"/>
        <s v="S1231"/>
        <s v="S1232"/>
        <s v="S1233"/>
        <s v="S1234"/>
        <s v="S1235"/>
        <s v="S1236"/>
        <s v="S1237"/>
        <s v="S1238"/>
        <s v="S1239"/>
        <s v="S1240"/>
        <s v="S1241"/>
        <s v="S1242"/>
        <s v="S1243"/>
        <s v="S1244"/>
        <s v="S1245"/>
        <s v="S1246"/>
        <s v="S1247"/>
        <s v="S1248"/>
        <s v="S1249"/>
        <s v="S1250"/>
        <s v="S1251"/>
        <s v="S1252"/>
        <s v="S1253"/>
        <s v="S1254"/>
        <s v="S1255"/>
        <s v="S1256"/>
        <s v="S1257"/>
        <s v="S1258"/>
        <s v="S1259"/>
        <s v="S1260"/>
        <s v="S1261"/>
        <s v="S1262"/>
        <s v="S1263"/>
        <s v="S1264"/>
        <s v="S1265"/>
        <s v="S1266"/>
        <s v="S1267"/>
        <s v="S1268"/>
        <s v="S1269"/>
        <s v="S1270"/>
        <s v="S1271"/>
        <s v="S1272"/>
        <s v="S1273"/>
        <s v="S1274"/>
        <s v="S1275"/>
        <s v="S1276"/>
        <s v="S1277"/>
        <s v="S1278"/>
        <s v="S1279"/>
        <s v="S1280"/>
        <s v="S1281"/>
        <s v="S1282"/>
        <s v="S1283"/>
        <s v="S1284"/>
        <s v="S1285"/>
        <s v="S1286"/>
        <s v="S1287"/>
        <s v="S1288"/>
        <s v="S1289"/>
        <s v="S1290"/>
        <s v="S1291"/>
        <s v="S1292"/>
        <s v="S1293"/>
        <s v="S1294"/>
        <s v="S1295"/>
        <s v="S1296"/>
        <s v="S1297"/>
        <s v="S1298"/>
        <s v="S1299"/>
        <s v="S1300"/>
        <s v="S1301"/>
        <s v="S1302"/>
        <s v="S1303"/>
        <s v="S1304"/>
        <s v="S1305"/>
        <s v="S1306"/>
        <s v="S1307"/>
        <s v="S1308"/>
        <s v="S1309"/>
        <s v="S1310"/>
        <s v="S1311"/>
        <s v="S1312"/>
        <s v="S1313"/>
        <s v="S1314"/>
        <s v="S1315"/>
        <s v="S1316"/>
        <s v="S1317"/>
        <s v="S1318"/>
        <s v="S1319"/>
        <s v="S1320"/>
        <s v="S1321"/>
        <s v="S1322"/>
        <s v="S1323"/>
        <s v="S1324"/>
        <s v="S1325"/>
        <s v="S1326"/>
        <s v="S1327"/>
        <s v="S1328"/>
        <s v="S1329"/>
        <s v="S1330"/>
        <s v="S1331"/>
        <s v="S1332"/>
        <s v="S1333"/>
        <s v="S1334"/>
        <s v="S1335"/>
        <s v="S1336"/>
        <s v="S1337"/>
        <s v="S1338"/>
        <s v="S1339"/>
        <s v="S1340"/>
        <s v="S1341"/>
        <s v="S1342"/>
        <s v="S1343"/>
        <s v="S1344"/>
        <s v="S1345"/>
        <s v="S1346"/>
        <s v="S1347"/>
        <s v="S1348"/>
        <s v="S1349"/>
        <s v="S1350"/>
        <s v="S1351"/>
        <s v="S1352"/>
        <s v="S1353"/>
        <s v="S1354"/>
        <s v="S1355"/>
        <s v="S1356"/>
        <s v="S1357"/>
        <s v="S1358"/>
        <s v="S1359"/>
        <s v="S1360"/>
        <s v="S1361"/>
        <s v="S1362"/>
        <s v="S1363"/>
        <s v="S1364"/>
        <s v="S1365"/>
        <s v="S1366"/>
        <s v="S1367"/>
        <s v="S1368"/>
        <s v="S1369"/>
        <s v="S1370"/>
        <s v="S1371"/>
        <s v="S1372"/>
        <s v="S1373"/>
        <s v="S1374"/>
        <s v="S1375"/>
        <s v="S1376"/>
        <s v="S1377"/>
        <s v="S1378"/>
        <s v="S1379"/>
        <s v="S1380"/>
        <s v="S1381"/>
        <s v="S1382"/>
        <s v="S1383"/>
        <s v="S1384"/>
        <s v="S1385"/>
        <s v="S1386"/>
        <s v="S1387"/>
        <s v="S1388"/>
        <s v="S1389"/>
        <s v="S1390"/>
        <s v="S1391"/>
        <s v="S1392"/>
        <s v="S1393"/>
        <s v="S1394"/>
        <s v="S1395"/>
        <s v="S1396"/>
        <s v="S1397"/>
        <s v="S1398"/>
        <s v="S1399"/>
        <s v="S1400"/>
        <s v="S1401"/>
        <s v="S1402"/>
        <s v="S1403"/>
        <s v="S1404"/>
        <s v="S1405"/>
        <s v="S1406"/>
        <s v="S1407"/>
        <s v="S1408"/>
        <s v="S1409"/>
        <s v="S1410"/>
        <s v="S1411"/>
        <s v="S1412"/>
        <s v="S1413"/>
        <s v="S1414"/>
        <s v="S1415"/>
        <s v="S1416"/>
        <s v="S1417"/>
        <s v="S1418"/>
        <s v="S1419"/>
        <s v="S1420"/>
        <s v="S1421"/>
        <s v="S1422"/>
        <s v="S1423"/>
        <s v="S1424"/>
        <s v="S1425"/>
        <s v="S1426"/>
        <s v="S1427"/>
        <s v="S1428"/>
        <s v="S1429"/>
        <s v="S1430"/>
        <s v="S1431"/>
        <s v="S1432"/>
        <s v="S1433"/>
        <s v="S1434"/>
        <s v="S1435"/>
        <s v="S1436"/>
        <s v="S1437"/>
        <s v="S1438"/>
        <s v="S1439"/>
        <s v="S1440"/>
        <s v="S1441"/>
        <s v="S1442"/>
        <s v="S1443"/>
        <s v="S1444"/>
        <s v="S1445"/>
        <s v="S1446"/>
        <s v="S1447"/>
        <s v="S1448"/>
        <s v="S1449"/>
        <s v="S1450"/>
        <s v="S1451"/>
        <s v="S1452"/>
        <s v="S1453"/>
        <s v="S1454"/>
        <s v="S1455"/>
        <s v="S1456"/>
        <s v="S1457"/>
        <s v="S1458"/>
        <s v="S1459"/>
        <s v="S1460"/>
        <s v="S1461"/>
        <s v="S1462"/>
        <s v="S1463"/>
        <s v="S1464"/>
        <s v="S1465"/>
        <s v="S1466"/>
        <s v="S1467"/>
        <s v="S1468"/>
        <s v="S1469"/>
        <s v="S1470"/>
        <s v="S1471"/>
        <s v="S1472"/>
        <s v="S1473"/>
        <s v="S1474"/>
        <s v="S1475"/>
        <s v="S1476"/>
        <s v="S1477"/>
        <s v="S1478"/>
        <s v="S1479"/>
        <s v="S1480"/>
        <s v="S1481"/>
        <s v="S1482"/>
        <s v="S1483"/>
        <s v="S1484"/>
        <s v="S1485"/>
        <s v="S1486"/>
        <s v="S1487"/>
        <s v="S1488"/>
        <s v="S1489"/>
        <s v="S1490"/>
        <s v="S1491"/>
        <s v="S1492"/>
        <s v="S1493"/>
        <s v="S1494"/>
        <s v="S1495"/>
        <s v="S1496"/>
        <s v="S1497"/>
        <s v="S1498"/>
        <s v="S1499"/>
        <s v="S1500"/>
        <s v="S1501"/>
        <s v="S1502"/>
        <s v="S1503"/>
        <s v="S1504"/>
        <s v="S1505"/>
        <s v="S1506"/>
        <s v="S1507"/>
        <s v="S1508"/>
        <s v="S1509"/>
        <s v="S1510"/>
        <s v="S1511"/>
        <s v="S1512"/>
        <s v="S1513"/>
        <s v="S1514"/>
        <s v="S1515"/>
        <s v="S1516"/>
        <s v="S1517"/>
        <s v="S1518"/>
        <s v="S1519"/>
        <s v="S1520"/>
        <s v="S1521"/>
        <s v="S1522"/>
        <s v="S1523"/>
        <s v="S1524"/>
        <s v="S1525"/>
        <s v="S1526"/>
        <s v="S1527"/>
        <s v="S1528"/>
        <s v="S1529"/>
        <s v="S1530"/>
        <s v="S1531"/>
        <s v="S1532"/>
        <s v="S1533"/>
        <s v="S1534"/>
        <s v="S1535"/>
        <s v="S1536"/>
        <s v="S1537"/>
        <s v="S1538"/>
        <s v="S1539"/>
        <s v="S1540"/>
        <s v="S1541"/>
        <s v="S1542"/>
        <s v="S1543"/>
        <s v="S1544"/>
        <s v="S1545"/>
        <s v="S1546"/>
        <s v="S1547"/>
        <s v="S1548"/>
        <s v="S1549"/>
        <s v="S1550"/>
        <s v="S1551"/>
        <s v="S1552"/>
        <s v="S1553"/>
        <s v="S1554"/>
        <s v="S1555"/>
        <s v="S1556"/>
        <s v="S1557"/>
        <s v="S1558"/>
        <s v="S1559"/>
        <s v="S1560"/>
        <s v="S1561"/>
        <s v="S1562"/>
        <s v="S1563"/>
        <s v="S1564"/>
        <s v="S1565"/>
        <s v="S1566"/>
        <s v="S1567"/>
        <s v="S1568"/>
        <s v="S1569"/>
        <s v="S1570"/>
        <s v="S1571"/>
        <s v="S1572"/>
        <s v="S1573"/>
        <s v="S1574"/>
        <s v="S1575"/>
        <s v="S1576"/>
        <s v="S1577"/>
        <s v="S1578"/>
        <s v="S1579"/>
        <s v="S1580"/>
        <s v="S1581"/>
        <s v="S1582"/>
        <s v="S1583"/>
        <s v="S1584"/>
        <s v="S1585"/>
        <s v="S1586"/>
        <s v="S1587"/>
        <s v="S1588"/>
        <s v="S1589"/>
        <s v="S1590"/>
        <s v="S1591"/>
        <s v="S1592"/>
        <s v="S1593"/>
        <s v="S1594"/>
        <s v="S1595"/>
        <s v="S1596"/>
        <s v="S1597"/>
        <s v="S1598"/>
        <s v="S1599"/>
        <s v="S1600"/>
        <s v="S1601"/>
        <s v="S1602"/>
        <s v="S1603"/>
        <s v="S1604"/>
        <s v="S1605"/>
        <s v="S1606"/>
        <s v="S1607"/>
        <s v="S1608"/>
        <s v="S1609"/>
        <s v="S1610"/>
        <s v="S1611"/>
        <s v="S1612"/>
        <s v="S1613"/>
        <s v="S1614"/>
        <s v="S1615"/>
        <s v="S1616"/>
        <s v="S1617"/>
        <s v="S1618"/>
        <s v="S1619"/>
        <s v="S1620"/>
        <s v="S1621"/>
        <s v="S1622"/>
        <s v="S1623"/>
        <s v="S1624"/>
        <s v="S1625"/>
        <s v="S1626"/>
        <s v="S1627"/>
        <s v="S1628"/>
        <s v="S1629"/>
        <s v="S1630"/>
        <s v="S1631"/>
        <s v="S1632"/>
        <s v="S1633"/>
        <s v="S1634"/>
        <s v="S1635"/>
        <s v="S1636"/>
        <s v="S1637"/>
        <s v="S1638"/>
        <s v="S1639"/>
        <s v="S1640"/>
        <s v="S1641"/>
        <s v="S1642"/>
        <s v="S1643"/>
        <s v="S1644"/>
        <s v="S1645"/>
        <s v="S1646"/>
        <s v="S1647"/>
        <s v="S1648"/>
        <s v="S1649"/>
        <s v="S1650"/>
        <s v="S1651"/>
        <s v="S1652"/>
        <s v="S1653"/>
        <s v="S1654"/>
        <s v="S1655"/>
        <s v="S1656"/>
        <s v="S1657"/>
        <s v="S1658"/>
        <s v="S1659"/>
        <s v="S1660"/>
        <s v="S1661"/>
        <s v="S1662"/>
        <s v="S1663"/>
        <s v="S1664"/>
        <s v="S1665"/>
        <s v="S1666"/>
        <s v="S1667"/>
        <s v="S1668"/>
        <s v="S1669"/>
        <s v="S1670"/>
        <s v="S1671"/>
        <s v="S1672"/>
        <s v="S1673"/>
        <s v="S1674"/>
        <s v="S1675"/>
        <s v="S1676"/>
        <s v="S1677"/>
        <s v="S1678"/>
        <s v="S1679"/>
        <s v="S1680"/>
        <s v="S1681"/>
        <s v="S1682"/>
        <s v="S1683"/>
        <s v="S1684"/>
        <s v="S1685"/>
        <s v="S1686"/>
        <s v="S1687"/>
        <s v="S1688"/>
        <s v="S1689"/>
        <s v="S1690"/>
        <s v="S1691"/>
        <s v="S1692"/>
        <s v="S1693"/>
        <s v="S1694"/>
        <s v="S1695"/>
        <s v="S1696"/>
        <s v="S1697"/>
        <s v="S1698"/>
        <s v="S1699"/>
        <s v="S1700"/>
        <s v="S1701"/>
        <s v="S1702"/>
        <s v="S1703"/>
        <s v="S1704"/>
        <s v="S1705"/>
        <s v="S1706"/>
        <s v="S1707"/>
        <s v="S1708"/>
        <s v="S1709"/>
        <s v="S1710"/>
        <s v="S1711"/>
        <s v="S1712"/>
        <s v="S1713"/>
        <s v="S1714"/>
        <s v="S1715"/>
        <s v="S1716"/>
        <s v="S1717"/>
        <s v="S1718"/>
        <s v="S1719"/>
        <s v="S1720"/>
        <s v="S1721"/>
        <s v="S1722"/>
        <s v="S1723"/>
        <s v="S1724"/>
        <s v="S1725"/>
        <s v="S1726"/>
        <s v="S1727"/>
        <s v="S1728"/>
        <s v="S1729"/>
        <s v="S1730"/>
        <s v="S1731"/>
        <s v="S1732"/>
        <s v="S1733"/>
        <s v="S1734"/>
        <s v="S1735"/>
        <s v="S1736"/>
        <s v="S1737"/>
        <s v="S1738"/>
        <s v="S1739"/>
        <s v="S1740"/>
        <s v="S1741"/>
        <s v="S1742"/>
        <s v="S1743"/>
        <s v="S1744"/>
        <s v="S1745"/>
        <s v="S1746"/>
        <s v="S1747"/>
        <s v="S1748"/>
        <s v="S1749"/>
        <s v="S1750"/>
        <s v="S1751"/>
        <s v="S1752"/>
        <s v="S1753"/>
        <s v="S1754"/>
        <s v="S1755"/>
        <s v="S1756"/>
        <s v="S1757"/>
        <s v="S1758"/>
        <s v="S1759"/>
        <s v="S1760"/>
        <s v="S1761"/>
        <s v="S1762"/>
        <s v="S1763"/>
        <s v="S1764"/>
        <s v="S1765"/>
        <s v="S1766"/>
        <s v="S1767"/>
        <s v="S1768"/>
        <s v="S1769"/>
        <s v="S1770"/>
        <s v="S1771"/>
        <s v="S1772"/>
        <s v="S1773"/>
        <s v="S1774"/>
        <s v="S1775"/>
        <s v="S1776"/>
        <s v="S1777"/>
        <s v="S1778"/>
        <s v="S1779"/>
        <s v="S1780"/>
        <s v="S1781"/>
        <s v="S1782"/>
        <s v="S1783"/>
        <s v="S1784"/>
        <s v="S1785"/>
        <s v="S1786"/>
        <s v="S1787"/>
        <s v="S1788"/>
        <s v="S1789"/>
        <s v="S1790"/>
        <s v="S1791"/>
        <s v="S1792"/>
        <s v="S1793"/>
        <s v="S1794"/>
        <s v="S1795"/>
        <s v="S1796"/>
        <s v="S1797"/>
        <s v="S1798"/>
        <s v="S1799"/>
        <s v="S1800"/>
        <s v="S1801"/>
        <s v="S1802"/>
        <s v="S1803"/>
        <s v="S1804"/>
        <s v="S1805"/>
        <s v="S1806"/>
        <s v="S1807"/>
        <s v="S1808"/>
        <s v="S1809"/>
        <s v="S1810"/>
        <s v="S1811"/>
        <s v="S1812"/>
        <s v="S1813"/>
        <s v="S1814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29"/>
        <s v="S1830"/>
        <s v="S1831"/>
        <s v="S1832"/>
        <s v="S1833"/>
        <s v="S1834"/>
        <s v="S1835"/>
        <s v="S1836"/>
        <s v="S1837"/>
        <s v="S1838"/>
        <s v="S1839"/>
        <s v="S1840"/>
        <s v="S1841"/>
        <s v="S1842"/>
        <s v="S1843"/>
        <s v="S1844"/>
        <s v="S1845"/>
        <s v="S1846"/>
        <s v="S1847"/>
        <s v="S1848"/>
        <s v="S1849"/>
        <s v="S1850"/>
        <s v="S1851"/>
        <s v="S1852"/>
        <s v="S1853"/>
        <s v="S1854"/>
        <s v="S1855"/>
        <s v="S1856"/>
        <s v="S1857"/>
        <s v="S1858"/>
        <s v="S1859"/>
        <s v="S1860"/>
        <s v="S1861"/>
        <s v="S1862"/>
        <s v="S1863"/>
        <s v="S1864"/>
        <s v="S1865"/>
        <s v="S1866"/>
        <s v="S1867"/>
        <s v="S1868"/>
        <s v="S1869"/>
        <s v="S1870"/>
        <s v="S1871"/>
        <s v="S1872"/>
        <s v="S1873"/>
        <s v="S1874"/>
        <s v="S1875"/>
        <s v="S1876"/>
        <s v="S1877"/>
        <s v="S1878"/>
        <s v="S1879"/>
        <s v="S1880"/>
        <s v="S1881"/>
        <s v="S1882"/>
        <s v="S1883"/>
        <s v="S1884"/>
        <s v="S1885"/>
        <s v="S1886"/>
        <s v="S1887"/>
        <s v="S1888"/>
        <s v="S1889"/>
        <s v="S1890"/>
        <s v="S1891"/>
        <s v="S1892"/>
        <s v="S1893"/>
        <s v="S1894"/>
        <s v="S1895"/>
        <s v="S1896"/>
        <s v="S1897"/>
        <s v="S1898"/>
        <s v="S1899"/>
        <s v="S1900"/>
        <s v="S1901"/>
        <s v="S1902"/>
        <s v="S1903"/>
        <s v="S1904"/>
        <s v="S1905"/>
        <s v="S1906"/>
        <s v="S1907"/>
        <s v="S1908"/>
        <s v="S1909"/>
        <s v="S1910"/>
        <s v="S1911"/>
        <s v="S1912"/>
        <s v="S1913"/>
        <s v="S1914"/>
        <s v="S1915"/>
        <s v="S1916"/>
        <s v="S1917"/>
        <s v="S1918"/>
        <s v="S1919"/>
        <s v="S1920"/>
        <s v="S1921"/>
        <s v="S1922"/>
        <s v="S1923"/>
        <s v="S1924"/>
        <s v="S1925"/>
        <s v="S1926"/>
        <s v="S1927"/>
        <s v="S1928"/>
        <s v="S1929"/>
        <s v="S1930"/>
        <s v="S1931"/>
        <s v="S1932"/>
        <s v="S1933"/>
        <s v="S1934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48"/>
        <s v="S1949"/>
        <s v="S1950"/>
        <s v="S1951"/>
        <s v="S1952"/>
        <s v="S1953"/>
        <s v="S1954"/>
        <s v="S1955"/>
        <s v="S1956"/>
        <s v="S1957"/>
        <s v="S1958"/>
        <s v="S1959"/>
        <s v="S1960"/>
        <s v="S1961"/>
        <s v="S1962"/>
        <s v="S1963"/>
        <s v="S1964"/>
        <s v="S1965"/>
        <s v="S1966"/>
        <s v="S1967"/>
        <s v="S1968"/>
        <s v="S1969"/>
        <s v="S1970"/>
        <s v="S1971"/>
        <s v="S1972"/>
        <s v="S1973"/>
        <s v="S1974"/>
        <s v="S1975"/>
        <s v="S1976"/>
        <s v="S1977"/>
        <s v="S1978"/>
        <s v="S1979"/>
        <s v="S1980"/>
        <s v="S1981"/>
        <s v="S1982"/>
        <s v="S1983"/>
        <s v="S1984"/>
        <s v="S1985"/>
        <s v="S1986"/>
        <s v="S1987"/>
        <s v="S1988"/>
        <s v="S1989"/>
        <s v="S1990"/>
        <s v="S1991"/>
        <s v="S1992"/>
        <s v="S1993"/>
        <s v="S1994"/>
        <s v="S1995"/>
        <s v="S1996"/>
        <s v="S1997"/>
        <s v="S1998"/>
        <s v="S1999"/>
        <s v="S2000"/>
        <s v="S2001"/>
        <s v="S2002"/>
        <s v="S2003"/>
        <s v="S2004"/>
        <s v="S2005"/>
        <s v="S2006"/>
        <s v="S2007"/>
        <s v="S2008"/>
        <s v="S2009"/>
        <s v="S2010"/>
        <s v="S2011"/>
        <s v="S2012"/>
        <s v="S2013"/>
        <s v="S2014"/>
        <s v="S2015"/>
        <s v="S2016"/>
        <s v="S2017"/>
        <s v="S2018"/>
        <s v="S2019"/>
        <s v="S2020"/>
        <s v="S2021"/>
        <s v="S2022"/>
        <s v="S2023"/>
        <s v="S2024"/>
        <s v="S2025"/>
        <s v="S2026"/>
        <s v="S2027"/>
        <s v="S2028"/>
        <s v="S2029"/>
        <s v="S2030"/>
        <s v="S2031"/>
        <s v="S2032"/>
        <s v="S2033"/>
        <s v="S2034"/>
        <s v="S2035"/>
        <s v="S2036"/>
        <s v="S2037"/>
        <s v="S2038"/>
        <s v="S2039"/>
        <s v="S2040"/>
        <s v="S2041"/>
        <s v="S2042"/>
        <s v="S2043"/>
        <s v="S2044"/>
        <s v="S2045"/>
        <s v="S2046"/>
        <s v="S2047"/>
        <s v="S2048"/>
        <s v="S2049"/>
        <s v="S2050"/>
        <s v="S2051"/>
        <s v="S2052"/>
        <s v="S2053"/>
        <s v="S2054"/>
        <s v="S2055"/>
        <s v="S2056"/>
        <s v="S2057"/>
        <s v="S2058"/>
        <s v="S2059"/>
        <s v="S2060"/>
        <s v="S2061"/>
        <s v="S2062"/>
        <s v="S2063"/>
        <s v="S2064"/>
        <s v="S2065"/>
        <s v="S2066"/>
        <s v="S2067"/>
        <s v="S2068"/>
        <s v="S2069"/>
        <s v="S2070"/>
        <s v="S2071"/>
        <s v="S2072"/>
        <s v="S2073"/>
        <s v="S2074"/>
        <s v="S2075"/>
        <s v="S2076"/>
        <s v="S2077"/>
        <s v="S2078"/>
        <s v="S2079"/>
        <s v="S2080"/>
        <s v="S2081"/>
        <s v="S2082"/>
        <s v="S2083"/>
        <s v="S2084"/>
        <s v="S2085"/>
        <s v="S2086"/>
        <s v="S2087"/>
        <s v="S2088"/>
        <s v="S2089"/>
        <s v="S2090"/>
        <s v="S2091"/>
        <s v="S2092"/>
        <s v="S2093"/>
        <s v="S2094"/>
        <s v="S2095"/>
        <s v="S2096"/>
        <s v="S2097"/>
        <s v="S2098"/>
        <s v="S2099"/>
        <s v="S2100"/>
        <s v="S2101"/>
        <s v="S2102"/>
        <s v="S2103"/>
        <s v="S2104"/>
        <s v="S2105"/>
        <s v="S2106"/>
        <s v="S2107"/>
        <s v="S2108"/>
        <s v="S2109"/>
        <s v="S2110"/>
        <s v="S2111"/>
        <s v="S2112"/>
        <s v="S2113"/>
        <s v="S2114"/>
        <s v="S2115"/>
        <s v="S2116"/>
        <s v="S2117"/>
        <s v="S2118"/>
        <s v="S2119"/>
        <s v="S2120"/>
        <s v="S2121"/>
        <s v="S2122"/>
        <s v="S2123"/>
        <s v="S2124"/>
        <s v="S2125"/>
        <s v="S2126"/>
        <s v="S2127"/>
        <s v="S2128"/>
        <s v="S2129"/>
        <s v="S2130"/>
        <s v="S2131"/>
        <s v="S2132"/>
        <s v="S2133"/>
        <s v="S2134"/>
        <s v="S2135"/>
        <s v="S2136"/>
        <s v="S2137"/>
        <s v="S2138"/>
        <s v="S2139"/>
        <s v="S2140"/>
        <s v="S2141"/>
        <s v="S2142"/>
        <s v="S2143"/>
        <s v="S2144"/>
        <s v="S2145"/>
        <s v="S2146"/>
        <s v="S2147"/>
        <s v="S2148"/>
        <s v="S2149"/>
        <s v="S2150"/>
        <s v="S2151"/>
        <s v="S2152"/>
        <s v="S2153"/>
        <s v="S2154"/>
        <s v="S2155"/>
        <s v="S2156"/>
        <s v="S2157"/>
        <s v="S2158"/>
        <s v="S2159"/>
        <s v="S2160"/>
        <s v="S2161"/>
        <s v="S2162"/>
        <s v="S2163"/>
        <s v="S2164"/>
        <s v="S2165"/>
        <s v="S2166"/>
        <s v="S2167"/>
        <s v="S2168"/>
        <s v="S2169"/>
        <s v="S2170"/>
        <s v="S2171"/>
        <s v="S2172"/>
        <s v="S2173"/>
        <s v="S2174"/>
        <s v="S2175"/>
        <s v="S2176"/>
        <s v="S2177"/>
        <s v="S2178"/>
        <s v="S2179"/>
        <s v="S2180"/>
        <s v="S2181"/>
        <s v="S2182"/>
        <s v="S2183"/>
        <s v="S2184"/>
        <s v="S2185"/>
        <s v="S2186"/>
        <s v="S2187"/>
        <s v="S2188"/>
        <s v="S2189"/>
        <s v="S2190"/>
        <s v="S2191"/>
        <s v="S2192"/>
        <s v="S2193"/>
        <s v="S2194"/>
        <s v="S2195"/>
        <s v="S2196"/>
        <s v="S2197"/>
        <s v="S2198"/>
        <s v="S2199"/>
      </sharedItems>
    </cacheField>
    <cacheField name="Student Name" numFmtId="0">
      <sharedItems/>
    </cacheField>
    <cacheField name="Course" numFmtId="0">
      <sharedItems count="8">
        <s v="Biology"/>
        <s v="Data Science"/>
        <s v="Business Analytics"/>
        <s v="Psychology"/>
        <s v="Economics"/>
        <s v="Mechanical Engineering"/>
        <s v="Philosophy"/>
        <s v="Architecture"/>
      </sharedItems>
    </cacheField>
    <cacheField name="Faculty" numFmtId="0">
      <sharedItems count="4">
        <s v="Engineering"/>
        <s v="Science"/>
        <s v="Arts"/>
        <s v="Business"/>
      </sharedItems>
    </cacheField>
    <cacheField name="Enrollment Date" numFmtId="14">
      <sharedItems containsSemiMixedTypes="0" containsNonDate="0" containsDate="1" containsString="0" minDate="2022-01-01T00:00:00" maxDate="2024-06-19T00:00:00"/>
    </cacheField>
    <cacheField name="Status" numFmtId="0">
      <sharedItems count="3">
        <s v="Enrolled"/>
        <s v="Completed"/>
        <s v="Dropped"/>
      </sharedItems>
    </cacheField>
    <cacheField name="Course Fee" numFmtId="0">
      <sharedItems containsSemiMixedTypes="0" containsString="0" containsNumber="1" containsInteger="1" minValue="2000" maxValue="14993"/>
    </cacheField>
    <cacheField name="Scholarship" numFmtId="0">
      <sharedItems containsSemiMixedTypes="0" containsString="0" containsNumber="1" containsInteger="1" minValue="1" maxValue="9993" count="1129">
        <n v="1099"/>
        <n v="4700"/>
        <n v="3408"/>
        <n v="3245"/>
        <n v="4259"/>
        <n v="2831"/>
        <n v="3078"/>
        <n v="6039"/>
        <n v="2208"/>
        <n v="2737"/>
        <n v="2303"/>
        <n v="5301"/>
        <n v="1939"/>
        <n v="7602"/>
        <n v="4188"/>
        <n v="1391"/>
        <n v="8514"/>
        <n v="1973"/>
        <n v="9735"/>
        <n v="9965"/>
        <n v="4963"/>
        <n v="9181"/>
        <n v="6036"/>
        <n v="7133"/>
        <n v="7232"/>
        <n v="6637"/>
        <n v="907"/>
        <n v="2778"/>
        <n v="5935"/>
        <n v="9649"/>
        <n v="5739"/>
        <n v="7715"/>
        <n v="1884"/>
        <n v="3240"/>
        <n v="7220"/>
        <n v="945"/>
        <n v="4478"/>
        <n v="9022"/>
        <n v="5347"/>
        <n v="4324"/>
        <n v="4160"/>
        <n v="9481"/>
        <n v="7957"/>
        <n v="8324"/>
        <n v="5874"/>
        <n v="7817"/>
        <n v="5837"/>
        <n v="7214"/>
        <n v="5349"/>
        <n v="1352"/>
        <n v="3667"/>
        <n v="1955"/>
        <n v="6992"/>
        <n v="4377"/>
        <n v="8884"/>
        <n v="8868"/>
        <n v="9881"/>
        <n v="4541"/>
        <n v="9329"/>
        <n v="631"/>
        <n v="3384"/>
        <n v="2777"/>
        <n v="883"/>
        <n v="8683"/>
        <n v="7383"/>
        <n v="1265"/>
        <n v="6042"/>
        <n v="7031"/>
        <n v="5214"/>
        <n v="9048"/>
        <n v="3552"/>
        <n v="3376"/>
        <n v="4343"/>
        <n v="5520"/>
        <n v="7511"/>
        <n v="596"/>
        <n v="5064"/>
        <n v="9149"/>
        <n v="9078"/>
        <n v="9984"/>
        <n v="8580"/>
        <n v="9908"/>
        <n v="1595"/>
        <n v="6799"/>
        <n v="3108"/>
        <n v="9872"/>
        <n v="3701"/>
        <n v="1841"/>
        <n v="1211"/>
        <n v="4278"/>
        <n v="3762"/>
        <n v="583"/>
        <n v="9029"/>
        <n v="2692"/>
        <n v="4086"/>
        <n v="2674"/>
        <n v="4382"/>
        <n v="838"/>
        <n v="5622"/>
        <n v="8102"/>
        <n v="5393"/>
        <n v="5757"/>
        <n v="913"/>
        <n v="4473"/>
        <n v="7462"/>
        <n v="9601"/>
        <n v="3049"/>
        <n v="424"/>
        <n v="2544"/>
        <n v="4738"/>
        <n v="8250"/>
        <n v="1062"/>
        <n v="5629"/>
        <n v="7611"/>
        <n v="8232"/>
        <n v="1312"/>
        <n v="6425"/>
        <n v="8587"/>
        <n v="6508"/>
        <n v="8642"/>
        <n v="1993"/>
        <n v="4389"/>
        <n v="8075"/>
        <n v="1545"/>
        <n v="3980"/>
        <n v="5031"/>
        <n v="5862"/>
        <n v="5162"/>
        <n v="7719"/>
        <n v="9943"/>
        <n v="2909"/>
        <n v="6841"/>
        <n v="8620"/>
        <n v="5059"/>
        <n v="8811"/>
        <n v="857"/>
        <n v="1240"/>
        <n v="965"/>
        <n v="7279"/>
        <n v="366"/>
        <n v="463"/>
        <n v="5564"/>
        <n v="5003"/>
        <n v="3722"/>
        <n v="8997"/>
        <n v="3403"/>
        <n v="1358"/>
        <n v="6919"/>
        <n v="427"/>
        <n v="8641"/>
        <n v="3317"/>
        <n v="466"/>
        <n v="3962"/>
        <n v="3013"/>
        <n v="5649"/>
        <n v="7678"/>
        <n v="3075"/>
        <n v="8135"/>
        <n v="8739"/>
        <n v="8258"/>
        <n v="3765"/>
        <n v="527"/>
        <n v="2010"/>
        <n v="8752"/>
        <n v="9226"/>
        <n v="3909"/>
        <n v="6117"/>
        <n v="5712"/>
        <n v="3842"/>
        <n v="5633"/>
        <n v="6861"/>
        <n v="4126"/>
        <n v="1786"/>
        <n v="8202"/>
        <n v="9153"/>
        <n v="4495"/>
        <n v="9475"/>
        <n v="5383"/>
        <n v="3995"/>
        <n v="3690"/>
        <n v="2721"/>
        <n v="1826"/>
        <n v="5655"/>
        <n v="6872"/>
        <n v="3801"/>
        <n v="2399"/>
        <n v="9320"/>
        <n v="1822"/>
        <n v="8966"/>
        <n v="2892"/>
        <n v="2025"/>
        <n v="2236"/>
        <n v="1754"/>
        <n v="4072"/>
        <n v="3336"/>
        <n v="5912"/>
        <n v="9578"/>
        <n v="5482"/>
        <n v="3254"/>
        <n v="3160"/>
        <n v="3151"/>
        <n v="8777"/>
        <n v="7848"/>
        <n v="1641"/>
        <n v="3698"/>
        <n v="3998"/>
        <n v="1458"/>
        <n v="1610"/>
        <n v="7036"/>
        <n v="5770"/>
        <n v="7162"/>
        <n v="5195"/>
        <n v="919"/>
        <n v="8965"/>
        <n v="4601"/>
        <n v="7952"/>
        <n v="8652"/>
        <n v="6481"/>
        <n v="199"/>
        <n v="8374"/>
        <n v="6463"/>
        <n v="385"/>
        <n v="295"/>
        <n v="5463"/>
        <n v="1855"/>
        <n v="9361"/>
        <n v="5207"/>
        <n v="684"/>
        <n v="4226"/>
        <n v="7961"/>
        <n v="1188"/>
        <n v="4415"/>
        <n v="1060"/>
        <n v="5856"/>
        <n v="8974"/>
        <n v="7899"/>
        <n v="5645"/>
        <n v="4822"/>
        <n v="3767"/>
        <n v="1197"/>
        <n v="3851"/>
        <n v="9223"/>
        <n v="9130"/>
        <n v="2182"/>
        <n v="7193"/>
        <n v="1801"/>
        <n v="6124"/>
        <n v="6728"/>
        <n v="4716"/>
        <n v="7603"/>
        <n v="9487"/>
        <n v="7185"/>
        <n v="1446"/>
        <n v="7647"/>
        <n v="1781"/>
        <n v="2427"/>
        <n v="1536"/>
        <n v="1494"/>
        <n v="9447"/>
        <n v="1558"/>
        <n v="1292"/>
        <n v="3943"/>
        <n v="4922"/>
        <n v="6663"/>
        <n v="2030"/>
        <n v="6424"/>
        <n v="313"/>
        <n v="8538"/>
        <n v="2405"/>
        <n v="6229"/>
        <n v="4476"/>
        <n v="9251"/>
        <n v="7770"/>
        <n v="8679"/>
        <n v="9530"/>
        <n v="8265"/>
        <n v="4580"/>
        <n v="6924"/>
        <n v="2190"/>
        <n v="561"/>
        <n v="4201"/>
        <n v="4832"/>
        <n v="4786"/>
        <n v="4065"/>
        <n v="260"/>
        <n v="6902"/>
        <n v="1354"/>
        <n v="9577"/>
        <n v="9248"/>
        <n v="2434"/>
        <n v="7941"/>
        <n v="3721"/>
        <n v="6411"/>
        <n v="6454"/>
        <n v="4798"/>
        <n v="6022"/>
        <n v="5467"/>
        <n v="9194"/>
        <n v="4450"/>
        <n v="368"/>
        <n v="7534"/>
        <n v="1717"/>
        <n v="3213"/>
        <n v="7737"/>
        <n v="2238"/>
        <n v="3942"/>
        <n v="6143"/>
        <n v="4980"/>
        <n v="9266"/>
        <n v="906"/>
        <n v="8857"/>
        <n v="1441"/>
        <n v="2071"/>
        <n v="458"/>
        <n v="3731"/>
        <n v="5468"/>
        <n v="3558"/>
        <n v="5309"/>
        <n v="5300"/>
        <n v="1253"/>
        <n v="2120"/>
        <n v="5614"/>
        <n v="3502"/>
        <n v="1597"/>
        <n v="4249"/>
        <n v="590"/>
        <n v="1309"/>
        <n v="5580"/>
        <n v="7990"/>
        <n v="8244"/>
        <n v="8837"/>
        <n v="3613"/>
        <n v="4182"/>
        <n v="2504"/>
        <n v="5701"/>
        <n v="1972"/>
        <n v="9450"/>
        <n v="5785"/>
        <n v="3730"/>
        <n v="3605"/>
        <n v="373"/>
        <n v="5955"/>
        <n v="3342"/>
        <n v="1819"/>
        <n v="6443"/>
        <n v="9456"/>
        <n v="9457"/>
        <n v="7406"/>
        <n v="9853"/>
        <n v="5656"/>
        <n v="8143"/>
        <n v="9114"/>
        <n v="840"/>
        <n v="678"/>
        <n v="36"/>
        <n v="3077"/>
        <n v="6320"/>
        <n v="2771"/>
        <n v="8663"/>
        <n v="1629"/>
        <n v="6989"/>
        <n v="2389"/>
        <n v="6430"/>
        <n v="9733"/>
        <n v="8209"/>
        <n v="7274"/>
        <n v="7627"/>
        <n v="849"/>
        <n v="8077"/>
        <n v="4257"/>
        <n v="5542"/>
        <n v="7768"/>
        <n v="5020"/>
        <n v="5639"/>
        <n v="6852"/>
        <n v="1986"/>
        <n v="2798"/>
        <n v="8499"/>
        <n v="7439"/>
        <n v="9829"/>
        <n v="2183"/>
        <n v="7205"/>
        <n v="1875"/>
        <n v="1359"/>
        <n v="6447"/>
        <n v="7243"/>
        <n v="1193"/>
        <n v="6092"/>
        <n v="7006"/>
        <n v="2681"/>
        <n v="4525"/>
        <n v="6289"/>
        <n v="4054"/>
        <n v="8184"/>
        <n v="7872"/>
        <n v="3331"/>
        <n v="2017"/>
        <n v="5321"/>
        <n v="6344"/>
        <n v="3092"/>
        <n v="2639"/>
        <n v="8192"/>
        <n v="768"/>
        <n v="8660"/>
        <n v="4121"/>
        <n v="864"/>
        <n v="7136"/>
        <n v="3622"/>
        <n v="9265"/>
        <n v="9633"/>
        <n v="2816"/>
        <n v="3972"/>
        <n v="4647"/>
        <n v="8975"/>
        <n v="1727"/>
        <n v="9027"/>
        <n v="6828"/>
        <n v="4710"/>
        <n v="4916"/>
        <n v="4567"/>
        <n v="2890"/>
        <n v="4629"/>
        <n v="9993"/>
        <n v="9544"/>
        <n v="3156"/>
        <n v="7447"/>
        <n v="4162"/>
        <n v="4265"/>
        <n v="2564"/>
        <n v="6758"/>
        <n v="7664"/>
        <n v="5009"/>
        <n v="8911"/>
        <n v="2658"/>
        <n v="4315"/>
        <n v="2408"/>
        <n v="8380"/>
        <n v="5191"/>
        <n v="5198"/>
        <n v="5910"/>
        <n v="3462"/>
        <n v="9891"/>
        <n v="8402"/>
        <n v="2234"/>
        <n v="2548"/>
        <n v="7787"/>
        <n v="3737"/>
        <n v="5772"/>
        <n v="5814"/>
        <n v="3466"/>
        <n v="6381"/>
        <n v="1376"/>
        <n v="7561"/>
        <n v="9125"/>
        <n v="6392"/>
        <n v="2729"/>
        <n v="1"/>
        <n v="9803"/>
        <n v="3087"/>
        <n v="4879"/>
        <n v="2913"/>
        <n v="9605"/>
        <n v="3200"/>
        <n v="8625"/>
        <n v="1469"/>
        <n v="371"/>
        <n v="2799"/>
        <n v="8573"/>
        <n v="6007"/>
        <n v="8711"/>
        <n v="1464"/>
        <n v="6640"/>
        <n v="5276"/>
        <n v="308"/>
        <n v="6754"/>
        <n v="4243"/>
        <n v="6177"/>
        <n v="1114"/>
        <n v="332"/>
        <n v="1430"/>
        <n v="6205"/>
        <n v="5563"/>
        <n v="7302"/>
        <n v="7883"/>
        <n v="1111"/>
        <n v="1814"/>
        <n v="3416"/>
        <n v="1862"/>
        <n v="4913"/>
        <n v="8783"/>
        <n v="2162"/>
        <n v="8128"/>
        <n v="7702"/>
        <n v="5926"/>
        <n v="3693"/>
        <n v="3885"/>
        <n v="9799"/>
        <n v="1531"/>
        <n v="6838"/>
        <n v="5788"/>
        <n v="1742"/>
        <n v="6415"/>
        <n v="2906"/>
        <n v="2085"/>
        <n v="6633"/>
        <n v="3439"/>
        <n v="8709"/>
        <n v="7700"/>
        <n v="3535"/>
        <n v="3406"/>
        <n v="431"/>
        <n v="3228"/>
        <n v="5210"/>
        <n v="5236"/>
        <n v="1102"/>
        <n v="6695"/>
        <n v="5019"/>
        <n v="3000"/>
        <n v="3746"/>
        <n v="9409"/>
        <n v="4429"/>
        <n v="4077"/>
        <n v="8999"/>
        <n v="9068"/>
        <n v="7325"/>
        <n v="802"/>
        <n v="2557"/>
        <n v="782"/>
        <n v="7027"/>
        <n v="6720"/>
        <n v="8496"/>
        <n v="3086"/>
        <n v="378"/>
        <n v="2423"/>
        <n v="8899"/>
        <n v="6684"/>
        <n v="5252"/>
        <n v="9625"/>
        <n v="1546"/>
        <n v="667"/>
        <n v="4906"/>
        <n v="7945"/>
        <n v="4903"/>
        <n v="4560"/>
        <n v="3008"/>
        <n v="3830"/>
        <n v="1956"/>
        <n v="6378"/>
        <n v="8153"/>
        <n v="8755"/>
        <n v="633"/>
        <n v="1118"/>
        <n v="4498"/>
        <n v="4520"/>
        <n v="7832"/>
        <n v="2277"/>
        <n v="9086"/>
        <n v="5205"/>
        <n v="5671"/>
        <n v="5904"/>
        <n v="1523"/>
        <n v="5377"/>
        <n v="1799"/>
        <n v="6705"/>
        <n v="7824"/>
        <n v="8004"/>
        <n v="602"/>
        <n v="3641"/>
        <n v="8831"/>
        <n v="6140"/>
        <n v="6290"/>
        <n v="6091"/>
        <n v="2341"/>
        <n v="591"/>
        <n v="7450"/>
        <n v="8101"/>
        <n v="3149"/>
        <n v="1957"/>
        <n v="1521"/>
        <n v="9168"/>
        <n v="86"/>
        <n v="9521"/>
        <n v="2826"/>
        <n v="6352"/>
        <n v="5071"/>
        <n v="8515"/>
        <n v="5194"/>
        <n v="2074"/>
        <n v="7509"/>
        <n v="4974"/>
        <n v="6679"/>
        <n v="4398"/>
        <n v="7209"/>
        <n v="1900"/>
        <n v="2842"/>
        <n v="5534"/>
        <n v="1920"/>
        <n v="7573"/>
        <n v="9222"/>
        <n v="1136"/>
        <n v="8824"/>
        <n v="5830"/>
        <n v="4756"/>
        <n v="7268"/>
        <n v="2480"/>
        <n v="3817"/>
        <n v="5148"/>
        <n v="776"/>
        <n v="4565"/>
        <n v="8730"/>
        <n v="8648"/>
        <n v="9308"/>
        <n v="77"/>
        <n v="1773"/>
        <n v="7567"/>
        <n v="2409"/>
        <n v="3198"/>
        <n v="2164"/>
        <n v="250"/>
        <n v="9821"/>
        <n v="3649"/>
        <n v="1881"/>
        <n v="9014"/>
        <n v="66"/>
        <n v="6404"/>
        <n v="7710"/>
        <n v="9211"/>
        <n v="2947"/>
        <n v="1268"/>
        <n v="469"/>
        <n v="2083"/>
        <n v="2043"/>
        <n v="4272"/>
        <n v="134"/>
        <n v="5339"/>
        <n v="5852"/>
        <n v="1493"/>
        <n v="6814"/>
        <n v="5791"/>
        <n v="9067"/>
        <n v="5741"/>
        <n v="3044"/>
        <n v="4263"/>
        <n v="5545"/>
        <n v="3148"/>
        <n v="6829"/>
        <n v="5292"/>
        <n v="273"/>
        <n v="6857"/>
        <n v="55"/>
        <n v="6146"/>
        <n v="5081"/>
        <n v="3738"/>
        <n v="1090"/>
        <n v="4029"/>
        <n v="9237"/>
        <n v="1382"/>
        <n v="944"/>
        <n v="6864"/>
        <n v="1138"/>
        <n v="6306"/>
        <n v="7911"/>
        <n v="4096"/>
        <n v="1714"/>
        <n v="1350"/>
        <n v="4930"/>
        <n v="1653"/>
        <n v="4734"/>
        <n v="7800"/>
        <n v="1245"/>
        <n v="4035"/>
        <n v="6097"/>
        <n v="3961"/>
        <n v="3386"/>
        <n v="6755"/>
        <n v="8600"/>
        <n v="4521"/>
        <n v="7053"/>
        <n v="5499"/>
        <n v="290"/>
        <n v="7356"/>
        <n v="8270"/>
        <n v="137"/>
        <n v="5884"/>
        <n v="7291"/>
        <n v="6300"/>
        <n v="5062"/>
        <n v="9582"/>
        <n v="5027"/>
        <n v="8461"/>
        <n v="5789"/>
        <n v="33"/>
        <n v="869"/>
        <n v="9319"/>
        <n v="2439"/>
        <n v="8919"/>
        <n v="3209"/>
        <n v="2667"/>
        <n v="8381"/>
        <n v="5810"/>
        <n v="1250"/>
        <n v="107"/>
        <n v="2392"/>
        <n v="6933"/>
        <n v="729"/>
        <n v="6014"/>
        <n v="1246"/>
        <n v="9272"/>
        <n v="1670"/>
        <n v="8847"/>
        <n v="352"/>
        <n v="1159"/>
        <n v="7109"/>
        <n v="7822"/>
        <n v="4845"/>
        <n v="4842"/>
        <n v="5128"/>
        <n v="3076"/>
        <n v="4309"/>
        <n v="311"/>
        <n v="9072"/>
        <n v="6639"/>
        <n v="1236"/>
        <n v="5098"/>
        <n v="5005"/>
        <n v="2596"/>
        <n v="1760"/>
        <n v="8241"/>
        <n v="377"/>
        <n v="3748"/>
        <n v="4900"/>
        <n v="7548"/>
        <n v="3054"/>
        <n v="9037"/>
        <n v="5140"/>
        <n v="7535"/>
        <n v="1912"/>
        <n v="3726"/>
        <n v="4266"/>
        <n v="8308"/>
        <n v="3306"/>
        <n v="2886"/>
        <n v="4635"/>
        <n v="7607"/>
        <n v="1368"/>
        <n v="8720"/>
        <n v="3997"/>
        <n v="5720"/>
        <n v="1190"/>
        <n v="4708"/>
        <n v="5406"/>
        <n v="449"/>
        <n v="116"/>
        <n v="9745"/>
        <n v="2559"/>
        <n v="6710"/>
        <n v="931"/>
        <n v="8702"/>
        <n v="4412"/>
        <n v="2905"/>
        <n v="8784"/>
        <n v="3577"/>
        <n v="7022"/>
        <n v="5173"/>
        <n v="6263"/>
        <n v="2605"/>
        <n v="7251"/>
        <n v="4244"/>
        <n v="4400"/>
        <n v="1413"/>
        <n v="7249"/>
        <n v="4125"/>
        <n v="2663"/>
        <n v="3750"/>
        <n v="3072"/>
        <n v="2433"/>
        <n v="1865"/>
        <n v="3378"/>
        <n v="259"/>
        <n v="6794"/>
        <n v="1313"/>
        <n v="9046"/>
        <n v="5801"/>
        <n v="8331"/>
        <n v="1608"/>
        <n v="3137"/>
        <n v="5464"/>
        <n v="6199"/>
        <n v="8871"/>
        <n v="5084"/>
        <n v="5986"/>
        <n v="6873"/>
        <n v="6715"/>
        <n v="464"/>
        <n v="1946"/>
        <n v="1267"/>
        <n v="386"/>
        <n v="5227"/>
        <n v="7017"/>
        <n v="3775"/>
        <n v="3766"/>
        <n v="8902"/>
        <n v="7261"/>
        <n v="1326"/>
        <n v="2222"/>
        <n v="161"/>
        <n v="9095"/>
        <n v="1397"/>
        <n v="5676"/>
        <n v="6021"/>
        <n v="7453"/>
        <n v="354"/>
        <n v="5074"/>
        <n v="5879"/>
        <n v="374"/>
        <n v="8597"/>
        <n v="8878"/>
        <n v="5420"/>
        <n v="9901"/>
        <n v="2495"/>
        <n v="8983"/>
        <n v="3347"/>
        <n v="3533"/>
        <n v="1018"/>
        <n v="7"/>
        <n v="3682"/>
        <n v="6130"/>
        <n v="1594"/>
        <n v="6005"/>
        <n v="7238"/>
        <n v="7428"/>
        <n v="7479"/>
        <n v="6202"/>
        <n v="9305"/>
        <n v="8015"/>
        <n v="7593"/>
        <n v="7751"/>
        <n v="2882"/>
        <n v="9517"/>
        <n v="889"/>
        <n v="6953"/>
        <n v="5181"/>
        <n v="8239"/>
        <n v="1249"/>
        <n v="786"/>
        <n v="6115"/>
        <n v="7169"/>
        <n v="8105"/>
        <n v="143"/>
        <n v="7266"/>
        <n v="878"/>
        <n v="4428"/>
        <n v="6152"/>
        <n v="1513"/>
        <n v="488"/>
        <n v="5288"/>
        <n v="7731"/>
        <n v="9543"/>
        <n v="2949"/>
        <n v="2093"/>
        <n v="2759"/>
        <n v="244"/>
        <n v="6618"/>
        <n v="7642"/>
        <n v="9104"/>
        <n v="3190"/>
        <n v="5871"/>
        <n v="7146"/>
        <n v="3356"/>
        <n v="3990"/>
        <n v="809"/>
        <n v="7086"/>
        <n v="6312"/>
        <n v="958"/>
        <n v="5333"/>
        <n v="6273"/>
        <n v="29"/>
        <n v="8341"/>
        <n v="1851"/>
        <n v="823"/>
        <n v="4170"/>
        <n v="5014"/>
        <n v="6823"/>
        <n v="7334"/>
        <n v="3191"/>
        <n v="7992"/>
        <n v="3624"/>
        <n v="9774"/>
        <n v="6931"/>
        <n v="2925"/>
        <n v="1355"/>
        <n v="7327"/>
        <n v="537"/>
        <n v="5137"/>
        <n v="6436"/>
        <n v="8006"/>
        <n v="1192"/>
        <n v="6105"/>
        <n v="2170"/>
        <n v="6971"/>
        <n v="359"/>
        <n v="6355"/>
        <n v="4005"/>
        <n v="4678"/>
        <n v="2232"/>
        <n v="5209"/>
        <n v="2458"/>
        <n v="1293"/>
        <n v="8134"/>
        <n v="3921"/>
        <n v="3593"/>
        <n v="7138"/>
        <n v="9626"/>
        <n v="5677"/>
        <n v="6095"/>
        <n v="7812"/>
        <n v="1702"/>
        <n v="1839"/>
        <n v="9900"/>
        <n v="6485"/>
        <n v="8841"/>
        <n v="8417"/>
        <n v="2545"/>
        <n v="321"/>
        <n v="1423"/>
        <n v="4345"/>
        <n v="592"/>
        <n v="885"/>
        <n v="8808"/>
        <n v="3888"/>
        <n v="4688"/>
        <n v="9495"/>
        <n v="3454"/>
        <n v="2651"/>
        <n v="3264"/>
        <n v="6666"/>
        <n v="294"/>
        <n v="9832"/>
        <n v="6901"/>
        <n v="9500"/>
        <n v="408"/>
        <n v="4367"/>
        <n v="8283"/>
        <n v="2022"/>
        <n v="8764"/>
        <n v="7939"/>
        <n v="7298"/>
        <n v="7108"/>
        <n v="8616"/>
        <n v="9438"/>
        <n v="4680"/>
        <n v="1427"/>
        <n v="9058"/>
        <n v="3119"/>
        <n v="152"/>
        <n v="2463"/>
        <n v="1700"/>
        <n v="9643"/>
        <n v="5079"/>
        <n v="4015"/>
        <n v="800"/>
        <n v="1185"/>
        <n v="2693"/>
        <n v="8371"/>
        <n v="7401"/>
        <n v="7150"/>
        <n v="9599"/>
        <n v="6329"/>
        <n v="8224"/>
        <n v="7202"/>
        <n v="5540"/>
        <n v="3252"/>
        <n v="5286"/>
        <n v="3422"/>
        <n v="7082"/>
        <n v="9171"/>
        <n v="3524"/>
        <n v="7989"/>
        <n v="2926"/>
        <n v="9705"/>
        <n v="3129"/>
        <n v="1642"/>
        <n v="943"/>
        <n v="6673"/>
        <n v="8037"/>
        <n v="934"/>
        <n v="3736"/>
        <n v="2149"/>
        <n v="795"/>
        <n v="9604"/>
        <n v="5793"/>
        <n v="586"/>
        <n v="3982"/>
        <n v="5902"/>
        <n v="6049"/>
        <n v="2317"/>
        <n v="8186"/>
        <n v="2730"/>
        <n v="1588"/>
        <n v="405"/>
        <n v="9818"/>
        <n v="7090"/>
        <n v="1221"/>
        <n v="6700"/>
        <n v="2452"/>
        <n v="8637"/>
        <n v="999"/>
        <n v="3785"/>
        <n v="9628"/>
        <n v="4781"/>
        <n v="8712"/>
        <n v="6144"/>
        <n v="5681"/>
        <n v="7292"/>
        <n v="6067"/>
        <n v="3573"/>
        <n v="445"/>
        <n v="325"/>
        <n v="5973"/>
        <n v="8608"/>
        <n v="6629"/>
        <n v="897"/>
        <n v="8833"/>
        <n v="2032"/>
        <n v="1911"/>
        <n v="7034"/>
        <n v="2626"/>
        <n v="6739"/>
        <n v="3304"/>
        <n v="7578"/>
        <n v="8335"/>
        <n v="2204"/>
        <n v="8495"/>
        <n v="7905"/>
        <n v="6321"/>
        <n v="7083"/>
        <n v="8528"/>
        <n v="9193"/>
        <n v="8464"/>
        <n v="499"/>
        <n v="1405"/>
        <n v="4741"/>
        <n v="8048"/>
        <n v="1392"/>
        <n v="7122"/>
        <n v="6445"/>
        <n v="2358"/>
        <n v="1220"/>
        <n v="8271"/>
        <n v="3979"/>
        <n v="3377"/>
        <n v="9595"/>
        <n v="1768"/>
        <n v="4858"/>
        <n v="6949"/>
        <n v="8400"/>
        <n v="6330"/>
        <n v="4420"/>
        <n v="3789"/>
        <n v="9839"/>
        <n v="4235"/>
        <n v="3001"/>
        <n v="5243"/>
        <n v="2849"/>
        <n v="3437"/>
        <n v="4221"/>
        <n v="8903"/>
        <n v="2534"/>
        <n v="3650"/>
        <n v="1254"/>
        <n v="6168"/>
        <n v="8989"/>
        <n v="1796"/>
        <n v="7758"/>
        <n v="4718"/>
        <n v="3599"/>
        <n v="7576"/>
        <n v="4097"/>
        <n v="1593"/>
        <n v="3971"/>
        <n v="6397"/>
        <n v="8356"/>
        <n v="3090"/>
        <n v="2167"/>
        <n v="6773"/>
        <n v="302"/>
        <n v="1605"/>
        <n v="1679"/>
        <n v="6646"/>
        <n v="6311"/>
        <n v="4198"/>
        <n v="4550"/>
        <n v="9267"/>
        <n v="9790"/>
        <n v="1674"/>
        <n v="3689"/>
        <n v="2328"/>
        <n v="6133"/>
        <n v="8796"/>
        <n v="5277"/>
        <n v="8298"/>
        <n v="6314"/>
        <n v="1280"/>
        <n v="2499"/>
        <n v="7321"/>
        <n v="4769"/>
        <n v="7194"/>
        <n v="155"/>
        <n v="7691"/>
        <n v="8067"/>
        <n v="4414"/>
        <n v="541"/>
        <n v="3891"/>
        <n v="438"/>
        <n v="5901"/>
        <n v="7747"/>
        <n v="6788"/>
        <n v="3004"/>
        <n v="9463"/>
        <n v="8158"/>
        <n v="4690"/>
        <n v="3841"/>
        <n v="5928"/>
        <n v="6487"/>
        <n v="4810"/>
        <n v="6811"/>
        <n v="8671"/>
        <n v="5188"/>
        <n v="5298"/>
      </sharedItems>
    </cacheField>
    <cacheField name="GPA" numFmtId="0">
      <sharedItems containsSemiMixedTypes="0" containsString="0" containsNumber="1" minValue="2" maxValue="4" count="201">
        <n v="2.39"/>
        <n v="3.49"/>
        <n v="3.08"/>
        <n v="3.59"/>
        <n v="3.31"/>
        <n v="3.39"/>
        <n v="2.4500000000000002"/>
        <n v="3.41"/>
        <n v="3.2"/>
        <n v="2.02"/>
        <n v="2.61"/>
        <n v="3.16"/>
        <n v="3.02"/>
        <n v="3.38"/>
        <n v="3.4"/>
        <n v="3.47"/>
        <n v="2.08"/>
        <n v="3.56"/>
        <n v="3.54"/>
        <n v="2.48"/>
        <n v="2.86"/>
        <n v="2.12"/>
        <n v="2.36"/>
        <n v="2.57"/>
        <n v="3.15"/>
        <n v="3.83"/>
        <n v="3.22"/>
        <n v="2.29"/>
        <n v="3.09"/>
        <n v="2.2799999999999998"/>
        <n v="2.78"/>
        <n v="2.82"/>
        <n v="2.76"/>
        <n v="2.75"/>
        <n v="2.65"/>
        <n v="2.13"/>
        <n v="3.8"/>
        <n v="3.17"/>
        <n v="2.31"/>
        <n v="3.33"/>
        <n v="3.85"/>
        <n v="2.91"/>
        <n v="3.61"/>
        <n v="3.1"/>
        <n v="2.34"/>
        <n v="3.78"/>
        <n v="3.88"/>
        <n v="2.4300000000000002"/>
        <n v="2.42"/>
        <n v="2.68"/>
        <n v="2"/>
        <n v="3.53"/>
        <n v="2.23"/>
        <n v="2.67"/>
        <n v="3.93"/>
        <n v="3.57"/>
        <n v="3.64"/>
        <n v="3.35"/>
        <n v="3.89"/>
        <n v="2.79"/>
        <n v="3.37"/>
        <n v="3.34"/>
        <n v="2.38"/>
        <n v="3.66"/>
        <n v="2.64"/>
        <n v="2.27"/>
        <n v="2.4"/>
        <n v="2.92"/>
        <n v="3.25"/>
        <n v="2.06"/>
        <n v="2.2000000000000002"/>
        <n v="2.72"/>
        <n v="3.63"/>
        <n v="3.43"/>
        <n v="3.48"/>
        <n v="3.44"/>
        <n v="3.58"/>
        <n v="2.14"/>
        <n v="2.85"/>
        <n v="2.71"/>
        <n v="3.62"/>
        <n v="3.77"/>
        <n v="2.87"/>
        <n v="2.62"/>
        <n v="3.67"/>
        <n v="3.5"/>
        <n v="3.9"/>
        <n v="2.2400000000000002"/>
        <n v="3.24"/>
        <n v="3.21"/>
        <n v="2.37"/>
        <n v="2.94"/>
        <n v="3.6"/>
        <n v="3.97"/>
        <n v="3.79"/>
        <n v="3.84"/>
        <n v="2.97"/>
        <n v="3.07"/>
        <n v="2.0699999999999998"/>
        <n v="2.54"/>
        <n v="2.17"/>
        <n v="2.3199999999999998"/>
        <n v="3.01"/>
        <n v="2.99"/>
        <n v="2.35"/>
        <n v="2.81"/>
        <n v="2.5299999999999998"/>
        <n v="3.75"/>
        <n v="3.52"/>
        <n v="3.23"/>
        <n v="3.29"/>
        <n v="2.2999999999999998"/>
        <n v="2.66"/>
        <n v="2.46"/>
        <n v="3.3"/>
        <n v="2.2200000000000002"/>
        <n v="2.1"/>
        <n v="2.95"/>
        <n v="2.73"/>
        <n v="2.5099999999999998"/>
        <n v="2.83"/>
        <n v="3.86"/>
        <n v="2.21"/>
        <n v="3"/>
        <n v="2.58"/>
        <n v="2.0299999999999998"/>
        <n v="2.89"/>
        <n v="3.36"/>
        <n v="2.04"/>
        <n v="3.69"/>
        <n v="2.84"/>
        <n v="2.88"/>
        <n v="3.12"/>
        <n v="2.44"/>
        <n v="2.9"/>
        <n v="2.15"/>
        <n v="2.59"/>
        <n v="2.1800000000000002"/>
        <n v="3.06"/>
        <n v="2.11"/>
        <n v="3.14"/>
        <n v="3.42"/>
        <n v="2.6"/>
        <n v="3.7"/>
        <n v="2.93"/>
        <n v="2.2599999999999998"/>
        <n v="2.98"/>
        <n v="3.96"/>
        <n v="3.18"/>
        <n v="2.41"/>
        <n v="3.95"/>
        <n v="3.92"/>
        <n v="3.51"/>
        <n v="3.19"/>
        <n v="2.77"/>
        <n v="3.26"/>
        <n v="3.98"/>
        <n v="3.27"/>
        <n v="3.04"/>
        <n v="3.74"/>
        <n v="3.28"/>
        <n v="3.68"/>
        <n v="3.65"/>
        <n v="2.7"/>
        <n v="3.82"/>
        <n v="2.63"/>
        <n v="3.76"/>
        <n v="3.99"/>
        <n v="3.13"/>
        <n v="2.74"/>
        <n v="3.05"/>
        <n v="3.46"/>
        <n v="2.0499999999999998"/>
        <n v="2.16"/>
        <n v="2.25"/>
        <n v="3.45"/>
        <n v="3.55"/>
        <n v="2.09"/>
        <n v="2.0099999999999998"/>
        <n v="2.69"/>
        <n v="3.94"/>
        <n v="2.4700000000000002"/>
        <n v="3.71"/>
        <n v="3.91"/>
        <n v="3.81"/>
        <n v="2.56"/>
        <n v="4"/>
        <n v="3.73"/>
        <n v="2.19"/>
        <n v="3.11"/>
        <n v="2.33"/>
        <n v="2.8"/>
        <n v="3.87"/>
        <n v="2.52"/>
        <n v="2.4900000000000002"/>
        <n v="2.5"/>
        <n v="3.72"/>
        <n v="2.5499999999999998"/>
        <n v="3.32"/>
        <n v="3.03"/>
        <n v="2.96"/>
      </sharedItems>
    </cacheField>
    <cacheField name="Credits Earned" numFmtId="0">
      <sharedItems containsSemiMixedTypes="0" containsString="0" containsNumber="1" containsInteger="1" minValue="0" maxValue="1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Student_0"/>
    <x v="0"/>
    <x v="0"/>
    <d v="2023-03-28T00:00:00"/>
    <x v="0"/>
    <n v="14714"/>
    <x v="0"/>
    <x v="0"/>
    <n v="89"/>
  </r>
  <r>
    <x v="1"/>
    <s v="Student_1"/>
    <x v="1"/>
    <x v="1"/>
    <d v="2022-10-21T00:00:00"/>
    <x v="1"/>
    <n v="5718"/>
    <x v="1"/>
    <x v="1"/>
    <n v="79"/>
  </r>
  <r>
    <x v="2"/>
    <s v="Student_2"/>
    <x v="2"/>
    <x v="0"/>
    <d v="2023-09-11T00:00:00"/>
    <x v="0"/>
    <n v="5726"/>
    <x v="2"/>
    <x v="2"/>
    <n v="84"/>
  </r>
  <r>
    <x v="3"/>
    <s v="Student_3"/>
    <x v="3"/>
    <x v="1"/>
    <d v="2023-11-23T00:00:00"/>
    <x v="1"/>
    <n v="10846"/>
    <x v="3"/>
    <x v="3"/>
    <n v="9"/>
  </r>
  <r>
    <x v="4"/>
    <s v="Student_4"/>
    <x v="4"/>
    <x v="1"/>
    <d v="2024-04-18T00:00:00"/>
    <x v="0"/>
    <n v="11437"/>
    <x v="4"/>
    <x v="4"/>
    <n v="72"/>
  </r>
  <r>
    <x v="5"/>
    <s v="Student_5"/>
    <x v="1"/>
    <x v="2"/>
    <d v="2022-06-25T00:00:00"/>
    <x v="1"/>
    <n v="13342"/>
    <x v="5"/>
    <x v="5"/>
    <n v="107"/>
  </r>
  <r>
    <x v="6"/>
    <s v="Student_6"/>
    <x v="3"/>
    <x v="0"/>
    <d v="2023-02-19T00:00:00"/>
    <x v="0"/>
    <n v="3831"/>
    <x v="6"/>
    <x v="6"/>
    <n v="70"/>
  </r>
  <r>
    <x v="7"/>
    <s v="Student_7"/>
    <x v="5"/>
    <x v="0"/>
    <d v="2022-06-02T00:00:00"/>
    <x v="0"/>
    <n v="8155"/>
    <x v="7"/>
    <x v="7"/>
    <n v="118"/>
  </r>
  <r>
    <x v="8"/>
    <s v="Student_8"/>
    <x v="4"/>
    <x v="2"/>
    <d v="2023-01-13T00:00:00"/>
    <x v="2"/>
    <n v="4061"/>
    <x v="8"/>
    <x v="8"/>
    <n v="100"/>
  </r>
  <r>
    <x v="9"/>
    <s v="Student_9"/>
    <x v="1"/>
    <x v="0"/>
    <d v="2022-11-16T00:00:00"/>
    <x v="1"/>
    <n v="5718"/>
    <x v="9"/>
    <x v="9"/>
    <n v="38"/>
  </r>
  <r>
    <x v="10"/>
    <s v="Student_10"/>
    <x v="2"/>
    <x v="2"/>
    <d v="2023-03-24T00:00:00"/>
    <x v="0"/>
    <n v="9724"/>
    <x v="10"/>
    <x v="10"/>
    <n v="52"/>
  </r>
  <r>
    <x v="11"/>
    <s v="Student_11"/>
    <x v="4"/>
    <x v="2"/>
    <d v="2022-03-04T00:00:00"/>
    <x v="0"/>
    <n v="6176"/>
    <x v="11"/>
    <x v="11"/>
    <n v="37"/>
  </r>
  <r>
    <x v="12"/>
    <s v="Student_12"/>
    <x v="1"/>
    <x v="1"/>
    <d v="2023-10-20T00:00:00"/>
    <x v="1"/>
    <n v="11085"/>
    <x v="12"/>
    <x v="12"/>
    <n v="107"/>
  </r>
  <r>
    <x v="13"/>
    <s v="Student_13"/>
    <x v="5"/>
    <x v="1"/>
    <d v="2022-11-02T00:00:00"/>
    <x v="1"/>
    <n v="8006"/>
    <x v="13"/>
    <x v="13"/>
    <n v="84"/>
  </r>
  <r>
    <x v="14"/>
    <s v="Student_14"/>
    <x v="5"/>
    <x v="1"/>
    <d v="2023-09-27T00:00:00"/>
    <x v="0"/>
    <n v="14699"/>
    <x v="14"/>
    <x v="14"/>
    <n v="25"/>
  </r>
  <r>
    <x v="15"/>
    <s v="Student_15"/>
    <x v="6"/>
    <x v="2"/>
    <d v="2022-05-04T00:00:00"/>
    <x v="1"/>
    <n v="10985"/>
    <x v="15"/>
    <x v="15"/>
    <n v="18"/>
  </r>
  <r>
    <x v="16"/>
    <s v="Student_16"/>
    <x v="7"/>
    <x v="0"/>
    <d v="2023-07-22T00:00:00"/>
    <x v="0"/>
    <n v="6946"/>
    <x v="16"/>
    <x v="16"/>
    <n v="73"/>
  </r>
  <r>
    <x v="17"/>
    <s v="Student_17"/>
    <x v="2"/>
    <x v="1"/>
    <d v="2023-10-23T00:00:00"/>
    <x v="0"/>
    <n v="5088"/>
    <x v="17"/>
    <x v="17"/>
    <n v="52"/>
  </r>
  <r>
    <x v="18"/>
    <s v="Student_18"/>
    <x v="4"/>
    <x v="3"/>
    <d v="2023-02-04T00:00:00"/>
    <x v="0"/>
    <n v="3188"/>
    <x v="18"/>
    <x v="18"/>
    <n v="67"/>
  </r>
  <r>
    <x v="19"/>
    <s v="Student_19"/>
    <x v="6"/>
    <x v="2"/>
    <d v="2022-07-30T00:00:00"/>
    <x v="1"/>
    <n v="6258"/>
    <x v="19"/>
    <x v="19"/>
    <n v="100"/>
  </r>
  <r>
    <x v="20"/>
    <s v="Student_20"/>
    <x v="3"/>
    <x v="1"/>
    <d v="2023-08-28T00:00:00"/>
    <x v="0"/>
    <n v="12607"/>
    <x v="20"/>
    <x v="20"/>
    <n v="25"/>
  </r>
  <r>
    <x v="21"/>
    <s v="Student_21"/>
    <x v="3"/>
    <x v="2"/>
    <d v="2023-03-19T00:00:00"/>
    <x v="0"/>
    <n v="9303"/>
    <x v="21"/>
    <x v="21"/>
    <n v="119"/>
  </r>
  <r>
    <x v="22"/>
    <s v="Student_22"/>
    <x v="5"/>
    <x v="0"/>
    <d v="2023-01-06T00:00:00"/>
    <x v="1"/>
    <n v="2797"/>
    <x v="22"/>
    <x v="22"/>
    <n v="14"/>
  </r>
  <r>
    <x v="23"/>
    <s v="Student_23"/>
    <x v="0"/>
    <x v="2"/>
    <d v="2023-06-06T00:00:00"/>
    <x v="1"/>
    <n v="6057"/>
    <x v="23"/>
    <x v="23"/>
    <n v="93"/>
  </r>
  <r>
    <x v="24"/>
    <s v="Student_24"/>
    <x v="7"/>
    <x v="2"/>
    <d v="2022-01-03T00:00:00"/>
    <x v="1"/>
    <n v="8791"/>
    <x v="24"/>
    <x v="8"/>
    <n v="14"/>
  </r>
  <r>
    <x v="25"/>
    <s v="Student_25"/>
    <x v="2"/>
    <x v="3"/>
    <d v="2024-06-04T00:00:00"/>
    <x v="0"/>
    <n v="6655"/>
    <x v="25"/>
    <x v="24"/>
    <n v="43"/>
  </r>
  <r>
    <x v="26"/>
    <s v="Student_26"/>
    <x v="0"/>
    <x v="2"/>
    <d v="2023-06-15T00:00:00"/>
    <x v="1"/>
    <n v="5008"/>
    <x v="26"/>
    <x v="25"/>
    <n v="96"/>
  </r>
  <r>
    <x v="27"/>
    <s v="Student_27"/>
    <x v="5"/>
    <x v="1"/>
    <d v="2022-06-25T00:00:00"/>
    <x v="0"/>
    <n v="13997"/>
    <x v="27"/>
    <x v="26"/>
    <n v="87"/>
  </r>
  <r>
    <x v="28"/>
    <s v="Student_28"/>
    <x v="2"/>
    <x v="3"/>
    <d v="2023-06-09T00:00:00"/>
    <x v="0"/>
    <n v="4627"/>
    <x v="28"/>
    <x v="27"/>
    <n v="118"/>
  </r>
  <r>
    <x v="29"/>
    <s v="Student_29"/>
    <x v="0"/>
    <x v="1"/>
    <d v="2024-04-05T00:00:00"/>
    <x v="1"/>
    <n v="6711"/>
    <x v="29"/>
    <x v="8"/>
    <n v="54"/>
  </r>
  <r>
    <x v="30"/>
    <s v="Student_30"/>
    <x v="7"/>
    <x v="1"/>
    <d v="2022-09-27T00:00:00"/>
    <x v="1"/>
    <n v="2173"/>
    <x v="30"/>
    <x v="28"/>
    <n v="97"/>
  </r>
  <r>
    <x v="31"/>
    <s v="Student_31"/>
    <x v="7"/>
    <x v="3"/>
    <d v="2022-02-10T00:00:00"/>
    <x v="0"/>
    <n v="8163"/>
    <x v="31"/>
    <x v="29"/>
    <n v="19"/>
  </r>
  <r>
    <x v="32"/>
    <s v="Student_32"/>
    <x v="4"/>
    <x v="0"/>
    <d v="2022-01-01T00:00:00"/>
    <x v="0"/>
    <n v="14774"/>
    <x v="32"/>
    <x v="30"/>
    <n v="9"/>
  </r>
  <r>
    <x v="33"/>
    <s v="Student_33"/>
    <x v="7"/>
    <x v="2"/>
    <d v="2023-06-14T00:00:00"/>
    <x v="1"/>
    <n v="7783"/>
    <x v="33"/>
    <x v="31"/>
    <n v="115"/>
  </r>
  <r>
    <x v="34"/>
    <s v="Student_34"/>
    <x v="3"/>
    <x v="2"/>
    <d v="2022-03-30T00:00:00"/>
    <x v="1"/>
    <n v="14442"/>
    <x v="34"/>
    <x v="32"/>
    <n v="109"/>
  </r>
  <r>
    <x v="35"/>
    <s v="Student_35"/>
    <x v="6"/>
    <x v="1"/>
    <d v="2023-05-07T00:00:00"/>
    <x v="0"/>
    <n v="4770"/>
    <x v="35"/>
    <x v="33"/>
    <n v="38"/>
  </r>
  <r>
    <x v="36"/>
    <s v="Student_36"/>
    <x v="1"/>
    <x v="0"/>
    <d v="2024-02-06T00:00:00"/>
    <x v="1"/>
    <n v="14761"/>
    <x v="36"/>
    <x v="34"/>
    <n v="2"/>
  </r>
  <r>
    <x v="37"/>
    <s v="Student_37"/>
    <x v="7"/>
    <x v="1"/>
    <d v="2022-02-27T00:00:00"/>
    <x v="1"/>
    <n v="14013"/>
    <x v="37"/>
    <x v="35"/>
    <n v="10"/>
  </r>
  <r>
    <x v="38"/>
    <s v="Student_38"/>
    <x v="3"/>
    <x v="3"/>
    <d v="2024-03-28T00:00:00"/>
    <x v="1"/>
    <n v="8345"/>
    <x v="38"/>
    <x v="36"/>
    <n v="53"/>
  </r>
  <r>
    <x v="39"/>
    <s v="Student_39"/>
    <x v="1"/>
    <x v="1"/>
    <d v="2022-11-18T00:00:00"/>
    <x v="0"/>
    <n v="10449"/>
    <x v="39"/>
    <x v="2"/>
    <n v="2"/>
  </r>
  <r>
    <x v="40"/>
    <s v="Student_40"/>
    <x v="5"/>
    <x v="2"/>
    <d v="2023-02-22T00:00:00"/>
    <x v="0"/>
    <n v="14303"/>
    <x v="40"/>
    <x v="0"/>
    <n v="42"/>
  </r>
  <r>
    <x v="41"/>
    <s v="Student_41"/>
    <x v="6"/>
    <x v="1"/>
    <d v="2022-01-16T00:00:00"/>
    <x v="0"/>
    <n v="5900"/>
    <x v="41"/>
    <x v="37"/>
    <n v="15"/>
  </r>
  <r>
    <x v="42"/>
    <s v="Student_42"/>
    <x v="5"/>
    <x v="1"/>
    <d v="2022-12-20T00:00:00"/>
    <x v="1"/>
    <n v="6128"/>
    <x v="42"/>
    <x v="29"/>
    <n v="115"/>
  </r>
  <r>
    <x v="43"/>
    <s v="Student_43"/>
    <x v="5"/>
    <x v="0"/>
    <d v="2023-03-12T00:00:00"/>
    <x v="0"/>
    <n v="10731"/>
    <x v="43"/>
    <x v="8"/>
    <n v="13"/>
  </r>
  <r>
    <x v="44"/>
    <s v="Student_44"/>
    <x v="6"/>
    <x v="2"/>
    <d v="2022-03-29T00:00:00"/>
    <x v="0"/>
    <n v="12461"/>
    <x v="44"/>
    <x v="38"/>
    <n v="114"/>
  </r>
  <r>
    <x v="45"/>
    <s v="Student_45"/>
    <x v="5"/>
    <x v="0"/>
    <d v="2023-08-22T00:00:00"/>
    <x v="0"/>
    <n v="13677"/>
    <x v="45"/>
    <x v="5"/>
    <n v="74"/>
  </r>
  <r>
    <x v="46"/>
    <s v="Student_46"/>
    <x v="2"/>
    <x v="0"/>
    <d v="2023-09-01T00:00:00"/>
    <x v="0"/>
    <n v="9276"/>
    <x v="46"/>
    <x v="11"/>
    <n v="92"/>
  </r>
  <r>
    <x v="47"/>
    <s v="Student_47"/>
    <x v="0"/>
    <x v="1"/>
    <d v="2023-09-13T00:00:00"/>
    <x v="0"/>
    <n v="2183"/>
    <x v="47"/>
    <x v="39"/>
    <n v="97"/>
  </r>
  <r>
    <x v="48"/>
    <s v="Student_48"/>
    <x v="2"/>
    <x v="0"/>
    <d v="2023-04-26T00:00:00"/>
    <x v="1"/>
    <n v="6227"/>
    <x v="48"/>
    <x v="40"/>
    <n v="75"/>
  </r>
  <r>
    <x v="49"/>
    <s v="Student_49"/>
    <x v="4"/>
    <x v="0"/>
    <d v="2022-02-07T00:00:00"/>
    <x v="0"/>
    <n v="4500"/>
    <x v="49"/>
    <x v="41"/>
    <n v="87"/>
  </r>
  <r>
    <x v="50"/>
    <s v="Student_50"/>
    <x v="5"/>
    <x v="1"/>
    <d v="2024-03-02T00:00:00"/>
    <x v="0"/>
    <n v="4615"/>
    <x v="50"/>
    <x v="42"/>
    <n v="41"/>
  </r>
  <r>
    <x v="51"/>
    <s v="Student_51"/>
    <x v="4"/>
    <x v="3"/>
    <d v="2022-05-24T00:00:00"/>
    <x v="0"/>
    <n v="11879"/>
    <x v="51"/>
    <x v="43"/>
    <n v="7"/>
  </r>
  <r>
    <x v="52"/>
    <s v="Student_52"/>
    <x v="5"/>
    <x v="3"/>
    <d v="2022-11-28T00:00:00"/>
    <x v="0"/>
    <n v="4067"/>
    <x v="52"/>
    <x v="44"/>
    <n v="20"/>
  </r>
  <r>
    <x v="53"/>
    <s v="Student_53"/>
    <x v="3"/>
    <x v="1"/>
    <d v="2023-03-13T00:00:00"/>
    <x v="1"/>
    <n v="4873"/>
    <x v="53"/>
    <x v="45"/>
    <n v="80"/>
  </r>
  <r>
    <x v="54"/>
    <s v="Student_54"/>
    <x v="1"/>
    <x v="3"/>
    <d v="2023-01-04T00:00:00"/>
    <x v="0"/>
    <n v="3391"/>
    <x v="54"/>
    <x v="46"/>
    <n v="59"/>
  </r>
  <r>
    <x v="55"/>
    <s v="Student_55"/>
    <x v="3"/>
    <x v="3"/>
    <d v="2024-01-09T00:00:00"/>
    <x v="0"/>
    <n v="10808"/>
    <x v="55"/>
    <x v="47"/>
    <n v="18"/>
  </r>
  <r>
    <x v="56"/>
    <s v="Student_56"/>
    <x v="6"/>
    <x v="0"/>
    <d v="2022-08-12T00:00:00"/>
    <x v="0"/>
    <n v="5739"/>
    <x v="56"/>
    <x v="48"/>
    <n v="78"/>
  </r>
  <r>
    <x v="57"/>
    <s v="Student_57"/>
    <x v="2"/>
    <x v="2"/>
    <d v="2023-06-09T00:00:00"/>
    <x v="0"/>
    <n v="4317"/>
    <x v="57"/>
    <x v="1"/>
    <n v="107"/>
  </r>
  <r>
    <x v="58"/>
    <s v="Student_58"/>
    <x v="1"/>
    <x v="1"/>
    <d v="2023-11-25T00:00:00"/>
    <x v="2"/>
    <n v="7954"/>
    <x v="58"/>
    <x v="14"/>
    <n v="64"/>
  </r>
  <r>
    <x v="59"/>
    <s v="Student_59"/>
    <x v="6"/>
    <x v="1"/>
    <d v="2022-08-13T00:00:00"/>
    <x v="2"/>
    <n v="10043"/>
    <x v="59"/>
    <x v="49"/>
    <n v="77"/>
  </r>
  <r>
    <x v="60"/>
    <s v="Student_60"/>
    <x v="5"/>
    <x v="3"/>
    <d v="2022-11-05T00:00:00"/>
    <x v="0"/>
    <n v="6418"/>
    <x v="60"/>
    <x v="50"/>
    <n v="93"/>
  </r>
  <r>
    <x v="61"/>
    <s v="Student_61"/>
    <x v="5"/>
    <x v="3"/>
    <d v="2023-11-26T00:00:00"/>
    <x v="0"/>
    <n v="4274"/>
    <x v="61"/>
    <x v="51"/>
    <n v="22"/>
  </r>
  <r>
    <x v="62"/>
    <s v="Student_62"/>
    <x v="3"/>
    <x v="3"/>
    <d v="2022-06-24T00:00:00"/>
    <x v="0"/>
    <n v="14423"/>
    <x v="62"/>
    <x v="21"/>
    <n v="84"/>
  </r>
  <r>
    <x v="63"/>
    <s v="Student_63"/>
    <x v="0"/>
    <x v="1"/>
    <d v="2022-08-28T00:00:00"/>
    <x v="1"/>
    <n v="5263"/>
    <x v="63"/>
    <x v="38"/>
    <n v="45"/>
  </r>
  <r>
    <x v="64"/>
    <s v="Student_64"/>
    <x v="2"/>
    <x v="1"/>
    <d v="2022-11-19T00:00:00"/>
    <x v="0"/>
    <n v="11418"/>
    <x v="64"/>
    <x v="52"/>
    <n v="98"/>
  </r>
  <r>
    <x v="65"/>
    <s v="Student_65"/>
    <x v="1"/>
    <x v="3"/>
    <d v="2023-06-25T00:00:00"/>
    <x v="0"/>
    <n v="12257"/>
    <x v="65"/>
    <x v="53"/>
    <n v="77"/>
  </r>
  <r>
    <x v="66"/>
    <s v="Student_66"/>
    <x v="4"/>
    <x v="2"/>
    <d v="2023-05-15T00:00:00"/>
    <x v="0"/>
    <n v="11963"/>
    <x v="66"/>
    <x v="54"/>
    <n v="15"/>
  </r>
  <r>
    <x v="67"/>
    <s v="Student_67"/>
    <x v="4"/>
    <x v="2"/>
    <d v="2023-09-16T00:00:00"/>
    <x v="0"/>
    <n v="14287"/>
    <x v="67"/>
    <x v="55"/>
    <n v="47"/>
  </r>
  <r>
    <x v="68"/>
    <s v="Student_68"/>
    <x v="2"/>
    <x v="1"/>
    <d v="2023-06-20T00:00:00"/>
    <x v="0"/>
    <n v="13017"/>
    <x v="68"/>
    <x v="56"/>
    <n v="1"/>
  </r>
  <r>
    <x v="69"/>
    <s v="Student_69"/>
    <x v="5"/>
    <x v="0"/>
    <d v="2022-10-24T00:00:00"/>
    <x v="0"/>
    <n v="5312"/>
    <x v="69"/>
    <x v="57"/>
    <n v="66"/>
  </r>
  <r>
    <x v="70"/>
    <s v="Student_70"/>
    <x v="1"/>
    <x v="3"/>
    <d v="2023-08-18T00:00:00"/>
    <x v="0"/>
    <n v="3888"/>
    <x v="70"/>
    <x v="58"/>
    <n v="104"/>
  </r>
  <r>
    <x v="71"/>
    <s v="Student_71"/>
    <x v="1"/>
    <x v="1"/>
    <d v="2022-02-07T00:00:00"/>
    <x v="0"/>
    <n v="5609"/>
    <x v="71"/>
    <x v="33"/>
    <n v="105"/>
  </r>
  <r>
    <x v="72"/>
    <s v="Student_72"/>
    <x v="4"/>
    <x v="1"/>
    <d v="2022-04-21T00:00:00"/>
    <x v="0"/>
    <n v="12778"/>
    <x v="72"/>
    <x v="59"/>
    <n v="109"/>
  </r>
  <r>
    <x v="73"/>
    <s v="Student_73"/>
    <x v="5"/>
    <x v="0"/>
    <d v="2023-11-07T00:00:00"/>
    <x v="1"/>
    <n v="13270"/>
    <x v="73"/>
    <x v="21"/>
    <n v="111"/>
  </r>
  <r>
    <x v="74"/>
    <s v="Student_74"/>
    <x v="3"/>
    <x v="1"/>
    <d v="2022-07-03T00:00:00"/>
    <x v="0"/>
    <n v="13617"/>
    <x v="74"/>
    <x v="60"/>
    <n v="72"/>
  </r>
  <r>
    <x v="75"/>
    <s v="Student_75"/>
    <x v="2"/>
    <x v="2"/>
    <d v="2022-07-08T00:00:00"/>
    <x v="2"/>
    <n v="5155"/>
    <x v="75"/>
    <x v="61"/>
    <n v="18"/>
  </r>
  <r>
    <x v="76"/>
    <s v="Student_76"/>
    <x v="1"/>
    <x v="3"/>
    <d v="2022-12-01T00:00:00"/>
    <x v="0"/>
    <n v="14298"/>
    <x v="76"/>
    <x v="25"/>
    <n v="17"/>
  </r>
  <r>
    <x v="77"/>
    <s v="Student_77"/>
    <x v="1"/>
    <x v="0"/>
    <d v="2023-05-12T00:00:00"/>
    <x v="0"/>
    <n v="4932"/>
    <x v="77"/>
    <x v="62"/>
    <n v="32"/>
  </r>
  <r>
    <x v="78"/>
    <s v="Student_78"/>
    <x v="6"/>
    <x v="1"/>
    <d v="2023-12-27T00:00:00"/>
    <x v="0"/>
    <n v="14685"/>
    <x v="78"/>
    <x v="9"/>
    <n v="27"/>
  </r>
  <r>
    <x v="79"/>
    <s v="Student_79"/>
    <x v="2"/>
    <x v="0"/>
    <d v="2024-05-26T00:00:00"/>
    <x v="0"/>
    <n v="4021"/>
    <x v="79"/>
    <x v="34"/>
    <n v="55"/>
  </r>
  <r>
    <x v="80"/>
    <s v="Student_80"/>
    <x v="2"/>
    <x v="2"/>
    <d v="2023-09-03T00:00:00"/>
    <x v="0"/>
    <n v="14754"/>
    <x v="80"/>
    <x v="58"/>
    <n v="68"/>
  </r>
  <r>
    <x v="81"/>
    <s v="Student_81"/>
    <x v="7"/>
    <x v="3"/>
    <d v="2022-09-20T00:00:00"/>
    <x v="2"/>
    <n v="7359"/>
    <x v="81"/>
    <x v="51"/>
    <n v="35"/>
  </r>
  <r>
    <x v="82"/>
    <s v="Student_82"/>
    <x v="5"/>
    <x v="3"/>
    <d v="2022-04-02T00:00:00"/>
    <x v="0"/>
    <n v="9833"/>
    <x v="82"/>
    <x v="56"/>
    <n v="28"/>
  </r>
  <r>
    <x v="83"/>
    <s v="Student_83"/>
    <x v="3"/>
    <x v="2"/>
    <d v="2023-09-17T00:00:00"/>
    <x v="1"/>
    <n v="9039"/>
    <x v="83"/>
    <x v="23"/>
    <n v="74"/>
  </r>
  <r>
    <x v="84"/>
    <s v="Student_84"/>
    <x v="3"/>
    <x v="0"/>
    <d v="2022-03-07T00:00:00"/>
    <x v="1"/>
    <n v="7072"/>
    <x v="84"/>
    <x v="63"/>
    <n v="82"/>
  </r>
  <r>
    <x v="85"/>
    <s v="Student_85"/>
    <x v="5"/>
    <x v="2"/>
    <d v="2022-11-29T00:00:00"/>
    <x v="0"/>
    <n v="14564"/>
    <x v="85"/>
    <x v="64"/>
    <n v="81"/>
  </r>
  <r>
    <x v="86"/>
    <s v="Student_86"/>
    <x v="6"/>
    <x v="1"/>
    <d v="2022-10-05T00:00:00"/>
    <x v="0"/>
    <n v="9580"/>
    <x v="86"/>
    <x v="65"/>
    <n v="14"/>
  </r>
  <r>
    <x v="87"/>
    <s v="Student_87"/>
    <x v="2"/>
    <x v="3"/>
    <d v="2022-08-28T00:00:00"/>
    <x v="0"/>
    <n v="13295"/>
    <x v="87"/>
    <x v="66"/>
    <n v="41"/>
  </r>
  <r>
    <x v="88"/>
    <s v="Student_88"/>
    <x v="5"/>
    <x v="0"/>
    <d v="2023-05-27T00:00:00"/>
    <x v="0"/>
    <n v="13755"/>
    <x v="88"/>
    <x v="67"/>
    <n v="95"/>
  </r>
  <r>
    <x v="89"/>
    <s v="Student_89"/>
    <x v="2"/>
    <x v="3"/>
    <d v="2023-01-20T00:00:00"/>
    <x v="1"/>
    <n v="5803"/>
    <x v="89"/>
    <x v="17"/>
    <n v="54"/>
  </r>
  <r>
    <x v="90"/>
    <s v="Student_90"/>
    <x v="3"/>
    <x v="0"/>
    <d v="2022-02-28T00:00:00"/>
    <x v="1"/>
    <n v="4425"/>
    <x v="90"/>
    <x v="68"/>
    <n v="88"/>
  </r>
  <r>
    <x v="91"/>
    <s v="Student_91"/>
    <x v="7"/>
    <x v="2"/>
    <d v="2023-03-28T00:00:00"/>
    <x v="0"/>
    <n v="10595"/>
    <x v="91"/>
    <x v="69"/>
    <n v="53"/>
  </r>
  <r>
    <x v="92"/>
    <s v="Student_92"/>
    <x v="6"/>
    <x v="3"/>
    <d v="2022-11-12T00:00:00"/>
    <x v="0"/>
    <n v="4640"/>
    <x v="92"/>
    <x v="70"/>
    <n v="49"/>
  </r>
  <r>
    <x v="93"/>
    <s v="Student_93"/>
    <x v="2"/>
    <x v="1"/>
    <d v="2023-01-08T00:00:00"/>
    <x v="0"/>
    <n v="10193"/>
    <x v="93"/>
    <x v="71"/>
    <n v="65"/>
  </r>
  <r>
    <x v="94"/>
    <s v="Student_94"/>
    <x v="3"/>
    <x v="0"/>
    <d v="2024-01-02T00:00:00"/>
    <x v="1"/>
    <n v="8635"/>
    <x v="94"/>
    <x v="72"/>
    <n v="15"/>
  </r>
  <r>
    <x v="95"/>
    <s v="Student_95"/>
    <x v="5"/>
    <x v="3"/>
    <d v="2022-03-12T00:00:00"/>
    <x v="1"/>
    <n v="14890"/>
    <x v="95"/>
    <x v="37"/>
    <n v="93"/>
  </r>
  <r>
    <x v="96"/>
    <s v="Student_96"/>
    <x v="1"/>
    <x v="3"/>
    <d v="2022-03-10T00:00:00"/>
    <x v="0"/>
    <n v="4942"/>
    <x v="96"/>
    <x v="73"/>
    <n v="39"/>
  </r>
  <r>
    <x v="97"/>
    <s v="Student_97"/>
    <x v="4"/>
    <x v="0"/>
    <d v="2023-10-15T00:00:00"/>
    <x v="0"/>
    <n v="12134"/>
    <x v="97"/>
    <x v="74"/>
    <n v="20"/>
  </r>
  <r>
    <x v="98"/>
    <s v="Student_98"/>
    <x v="5"/>
    <x v="0"/>
    <d v="2023-01-10T00:00:00"/>
    <x v="0"/>
    <n v="5970"/>
    <x v="98"/>
    <x v="26"/>
    <n v="118"/>
  </r>
  <r>
    <x v="99"/>
    <s v="Student_99"/>
    <x v="6"/>
    <x v="2"/>
    <d v="2023-10-01T00:00:00"/>
    <x v="0"/>
    <n v="4576"/>
    <x v="99"/>
    <x v="41"/>
    <n v="111"/>
  </r>
  <r>
    <x v="100"/>
    <s v="Student_100"/>
    <x v="6"/>
    <x v="3"/>
    <d v="2022-04-22T00:00:00"/>
    <x v="1"/>
    <n v="4673"/>
    <x v="100"/>
    <x v="29"/>
    <n v="35"/>
  </r>
  <r>
    <x v="101"/>
    <s v="Student_101"/>
    <x v="2"/>
    <x v="2"/>
    <d v="2022-11-18T00:00:00"/>
    <x v="1"/>
    <n v="11777"/>
    <x v="101"/>
    <x v="26"/>
    <n v="19"/>
  </r>
  <r>
    <x v="102"/>
    <s v="Student_102"/>
    <x v="5"/>
    <x v="1"/>
    <d v="2024-05-03T00:00:00"/>
    <x v="0"/>
    <n v="3948"/>
    <x v="102"/>
    <x v="75"/>
    <n v="101"/>
  </r>
  <r>
    <x v="103"/>
    <s v="Student_103"/>
    <x v="7"/>
    <x v="2"/>
    <d v="2023-08-12T00:00:00"/>
    <x v="1"/>
    <n v="3512"/>
    <x v="103"/>
    <x v="67"/>
    <n v="63"/>
  </r>
  <r>
    <x v="104"/>
    <s v="Student_104"/>
    <x v="1"/>
    <x v="2"/>
    <d v="2024-06-13T00:00:00"/>
    <x v="0"/>
    <n v="4717"/>
    <x v="104"/>
    <x v="76"/>
    <n v="1"/>
  </r>
  <r>
    <x v="105"/>
    <s v="Student_105"/>
    <x v="2"/>
    <x v="0"/>
    <d v="2023-06-15T00:00:00"/>
    <x v="2"/>
    <n v="2717"/>
    <x v="105"/>
    <x v="77"/>
    <n v="11"/>
  </r>
  <r>
    <x v="106"/>
    <s v="Student_106"/>
    <x v="1"/>
    <x v="2"/>
    <d v="2022-02-09T00:00:00"/>
    <x v="1"/>
    <n v="9160"/>
    <x v="106"/>
    <x v="3"/>
    <n v="2"/>
  </r>
  <r>
    <x v="107"/>
    <s v="Student_107"/>
    <x v="7"/>
    <x v="0"/>
    <d v="2023-04-03T00:00:00"/>
    <x v="0"/>
    <n v="3268"/>
    <x v="107"/>
    <x v="78"/>
    <n v="59"/>
  </r>
  <r>
    <x v="108"/>
    <s v="Student_108"/>
    <x v="3"/>
    <x v="2"/>
    <d v="2023-01-06T00:00:00"/>
    <x v="0"/>
    <n v="4636"/>
    <x v="108"/>
    <x v="4"/>
    <n v="60"/>
  </r>
  <r>
    <x v="109"/>
    <s v="Student_109"/>
    <x v="4"/>
    <x v="2"/>
    <d v="2023-10-24T00:00:00"/>
    <x v="0"/>
    <n v="10654"/>
    <x v="109"/>
    <x v="53"/>
    <n v="53"/>
  </r>
  <r>
    <x v="110"/>
    <s v="Student_110"/>
    <x v="4"/>
    <x v="2"/>
    <d v="2023-04-20T00:00:00"/>
    <x v="0"/>
    <n v="9355"/>
    <x v="110"/>
    <x v="12"/>
    <n v="92"/>
  </r>
  <r>
    <x v="111"/>
    <s v="Student_111"/>
    <x v="5"/>
    <x v="1"/>
    <d v="2022-10-30T00:00:00"/>
    <x v="0"/>
    <n v="12309"/>
    <x v="111"/>
    <x v="79"/>
    <n v="116"/>
  </r>
  <r>
    <x v="112"/>
    <s v="Student_112"/>
    <x v="3"/>
    <x v="2"/>
    <d v="2024-02-11T00:00:00"/>
    <x v="0"/>
    <n v="8529"/>
    <x v="112"/>
    <x v="80"/>
    <n v="95"/>
  </r>
  <r>
    <x v="113"/>
    <s v="Student_113"/>
    <x v="0"/>
    <x v="3"/>
    <d v="2022-10-01T00:00:00"/>
    <x v="0"/>
    <n v="7580"/>
    <x v="113"/>
    <x v="81"/>
    <n v="82"/>
  </r>
  <r>
    <x v="114"/>
    <s v="Student_114"/>
    <x v="5"/>
    <x v="3"/>
    <d v="2022-02-02T00:00:00"/>
    <x v="0"/>
    <n v="4713"/>
    <x v="114"/>
    <x v="82"/>
    <n v="98"/>
  </r>
  <r>
    <x v="115"/>
    <s v="Student_115"/>
    <x v="0"/>
    <x v="1"/>
    <d v="2022-02-04T00:00:00"/>
    <x v="0"/>
    <n v="9304"/>
    <x v="115"/>
    <x v="83"/>
    <n v="102"/>
  </r>
  <r>
    <x v="116"/>
    <s v="Student_116"/>
    <x v="2"/>
    <x v="1"/>
    <d v="2024-03-18T00:00:00"/>
    <x v="0"/>
    <n v="2599"/>
    <x v="116"/>
    <x v="80"/>
    <n v="5"/>
  </r>
  <r>
    <x v="117"/>
    <s v="Student_117"/>
    <x v="1"/>
    <x v="3"/>
    <d v="2023-10-03T00:00:00"/>
    <x v="0"/>
    <n v="12572"/>
    <x v="117"/>
    <x v="84"/>
    <n v="14"/>
  </r>
  <r>
    <x v="118"/>
    <s v="Student_118"/>
    <x v="2"/>
    <x v="0"/>
    <d v="2024-02-28T00:00:00"/>
    <x v="0"/>
    <n v="10736"/>
    <x v="118"/>
    <x v="19"/>
    <n v="21"/>
  </r>
  <r>
    <x v="119"/>
    <s v="Student_119"/>
    <x v="6"/>
    <x v="2"/>
    <d v="2022-02-17T00:00:00"/>
    <x v="0"/>
    <n v="11349"/>
    <x v="119"/>
    <x v="85"/>
    <n v="112"/>
  </r>
  <r>
    <x v="120"/>
    <s v="Student_120"/>
    <x v="3"/>
    <x v="0"/>
    <d v="2023-07-11T00:00:00"/>
    <x v="0"/>
    <n v="2073"/>
    <x v="120"/>
    <x v="80"/>
    <n v="0"/>
  </r>
  <r>
    <x v="121"/>
    <s v="Student_121"/>
    <x v="3"/>
    <x v="2"/>
    <d v="2023-11-06T00:00:00"/>
    <x v="1"/>
    <n v="3742"/>
    <x v="121"/>
    <x v="53"/>
    <n v="9"/>
  </r>
  <r>
    <x v="122"/>
    <s v="Student_122"/>
    <x v="1"/>
    <x v="1"/>
    <d v="2024-01-08T00:00:00"/>
    <x v="0"/>
    <n v="5954"/>
    <x v="122"/>
    <x v="31"/>
    <n v="57"/>
  </r>
  <r>
    <x v="123"/>
    <s v="Student_123"/>
    <x v="1"/>
    <x v="0"/>
    <d v="2023-11-26T00:00:00"/>
    <x v="1"/>
    <n v="5513"/>
    <x v="123"/>
    <x v="71"/>
    <n v="79"/>
  </r>
  <r>
    <x v="124"/>
    <s v="Student_124"/>
    <x v="6"/>
    <x v="0"/>
    <d v="2024-03-13T00:00:00"/>
    <x v="1"/>
    <n v="9374"/>
    <x v="124"/>
    <x v="86"/>
    <n v="92"/>
  </r>
  <r>
    <x v="125"/>
    <s v="Student_125"/>
    <x v="6"/>
    <x v="3"/>
    <d v="2022-09-21T00:00:00"/>
    <x v="0"/>
    <n v="13694"/>
    <x v="125"/>
    <x v="87"/>
    <n v="42"/>
  </r>
  <r>
    <x v="126"/>
    <s v="Student_126"/>
    <x v="4"/>
    <x v="3"/>
    <d v="2023-12-11T00:00:00"/>
    <x v="1"/>
    <n v="7401"/>
    <x v="126"/>
    <x v="88"/>
    <n v="1"/>
  </r>
  <r>
    <x v="127"/>
    <s v="Student_127"/>
    <x v="4"/>
    <x v="2"/>
    <d v="2024-03-28T00:00:00"/>
    <x v="0"/>
    <n v="10718"/>
    <x v="127"/>
    <x v="89"/>
    <n v="32"/>
  </r>
  <r>
    <x v="128"/>
    <s v="Student_128"/>
    <x v="5"/>
    <x v="2"/>
    <d v="2022-02-27T00:00:00"/>
    <x v="0"/>
    <n v="8809"/>
    <x v="128"/>
    <x v="67"/>
    <n v="39"/>
  </r>
  <r>
    <x v="129"/>
    <s v="Student_129"/>
    <x v="3"/>
    <x v="3"/>
    <d v="2023-04-21T00:00:00"/>
    <x v="2"/>
    <n v="5590"/>
    <x v="129"/>
    <x v="90"/>
    <n v="4"/>
  </r>
  <r>
    <x v="130"/>
    <s v="Student_130"/>
    <x v="5"/>
    <x v="2"/>
    <d v="2022-06-02T00:00:00"/>
    <x v="1"/>
    <n v="4728"/>
    <x v="130"/>
    <x v="56"/>
    <n v="39"/>
  </r>
  <r>
    <x v="131"/>
    <s v="Student_131"/>
    <x v="4"/>
    <x v="2"/>
    <d v="2022-05-08T00:00:00"/>
    <x v="1"/>
    <n v="9469"/>
    <x v="131"/>
    <x v="91"/>
    <n v="53"/>
  </r>
  <r>
    <x v="132"/>
    <s v="Student_132"/>
    <x v="7"/>
    <x v="3"/>
    <d v="2022-07-31T00:00:00"/>
    <x v="0"/>
    <n v="10140"/>
    <x v="132"/>
    <x v="92"/>
    <n v="115"/>
  </r>
  <r>
    <x v="133"/>
    <s v="Student_133"/>
    <x v="5"/>
    <x v="2"/>
    <d v="2024-01-16T00:00:00"/>
    <x v="0"/>
    <n v="9766"/>
    <x v="133"/>
    <x v="7"/>
    <n v="56"/>
  </r>
  <r>
    <x v="134"/>
    <s v="Student_134"/>
    <x v="2"/>
    <x v="2"/>
    <d v="2023-11-29T00:00:00"/>
    <x v="1"/>
    <n v="3860"/>
    <x v="134"/>
    <x v="24"/>
    <n v="103"/>
  </r>
  <r>
    <x v="135"/>
    <s v="Student_135"/>
    <x v="1"/>
    <x v="0"/>
    <d v="2023-07-02T00:00:00"/>
    <x v="1"/>
    <n v="7810"/>
    <x v="135"/>
    <x v="93"/>
    <n v="63"/>
  </r>
  <r>
    <x v="136"/>
    <s v="Student_136"/>
    <x v="4"/>
    <x v="2"/>
    <d v="2024-03-13T00:00:00"/>
    <x v="2"/>
    <n v="2993"/>
    <x v="136"/>
    <x v="94"/>
    <n v="111"/>
  </r>
  <r>
    <x v="137"/>
    <s v="Student_137"/>
    <x v="4"/>
    <x v="1"/>
    <d v="2022-07-03T00:00:00"/>
    <x v="0"/>
    <n v="2004"/>
    <x v="137"/>
    <x v="95"/>
    <n v="87"/>
  </r>
  <r>
    <x v="138"/>
    <s v="Student_138"/>
    <x v="7"/>
    <x v="0"/>
    <d v="2022-07-14T00:00:00"/>
    <x v="2"/>
    <n v="8745"/>
    <x v="138"/>
    <x v="96"/>
    <n v="31"/>
  </r>
  <r>
    <x v="139"/>
    <s v="Student_139"/>
    <x v="5"/>
    <x v="1"/>
    <d v="2022-03-11T00:00:00"/>
    <x v="0"/>
    <n v="13687"/>
    <x v="139"/>
    <x v="97"/>
    <n v="39"/>
  </r>
  <r>
    <x v="140"/>
    <s v="Student_140"/>
    <x v="6"/>
    <x v="0"/>
    <d v="2022-07-24T00:00:00"/>
    <x v="0"/>
    <n v="14018"/>
    <x v="140"/>
    <x v="98"/>
    <n v="33"/>
  </r>
  <r>
    <x v="141"/>
    <s v="Student_141"/>
    <x v="7"/>
    <x v="2"/>
    <d v="2022-10-07T00:00:00"/>
    <x v="0"/>
    <n v="9817"/>
    <x v="141"/>
    <x v="23"/>
    <n v="48"/>
  </r>
  <r>
    <x v="142"/>
    <s v="Student_142"/>
    <x v="4"/>
    <x v="0"/>
    <d v="2023-03-15T00:00:00"/>
    <x v="1"/>
    <n v="13150"/>
    <x v="142"/>
    <x v="62"/>
    <n v="87"/>
  </r>
  <r>
    <x v="143"/>
    <s v="Student_143"/>
    <x v="4"/>
    <x v="0"/>
    <d v="2023-07-16T00:00:00"/>
    <x v="1"/>
    <n v="14774"/>
    <x v="143"/>
    <x v="45"/>
    <n v="106"/>
  </r>
  <r>
    <x v="144"/>
    <s v="Student_144"/>
    <x v="5"/>
    <x v="2"/>
    <d v="2024-03-17T00:00:00"/>
    <x v="0"/>
    <n v="5340"/>
    <x v="144"/>
    <x v="99"/>
    <n v="59"/>
  </r>
  <r>
    <x v="145"/>
    <s v="Student_145"/>
    <x v="2"/>
    <x v="2"/>
    <d v="2022-01-18T00:00:00"/>
    <x v="1"/>
    <n v="12094"/>
    <x v="145"/>
    <x v="65"/>
    <n v="69"/>
  </r>
  <r>
    <x v="146"/>
    <s v="Student_146"/>
    <x v="6"/>
    <x v="0"/>
    <d v="2023-03-29T00:00:00"/>
    <x v="0"/>
    <n v="14344"/>
    <x v="146"/>
    <x v="61"/>
    <n v="3"/>
  </r>
  <r>
    <x v="147"/>
    <s v="Student_147"/>
    <x v="6"/>
    <x v="1"/>
    <d v="2022-08-21T00:00:00"/>
    <x v="0"/>
    <n v="7247"/>
    <x v="147"/>
    <x v="65"/>
    <n v="109"/>
  </r>
  <r>
    <x v="148"/>
    <s v="Student_148"/>
    <x v="5"/>
    <x v="3"/>
    <d v="2023-07-31T00:00:00"/>
    <x v="0"/>
    <n v="8141"/>
    <x v="148"/>
    <x v="100"/>
    <n v="113"/>
  </r>
  <r>
    <x v="149"/>
    <s v="Student_149"/>
    <x v="6"/>
    <x v="3"/>
    <d v="2022-05-15T00:00:00"/>
    <x v="0"/>
    <n v="9809"/>
    <x v="149"/>
    <x v="66"/>
    <n v="87"/>
  </r>
  <r>
    <x v="150"/>
    <s v="Student_150"/>
    <x v="1"/>
    <x v="1"/>
    <d v="2022-10-04T00:00:00"/>
    <x v="0"/>
    <n v="10454"/>
    <x v="150"/>
    <x v="69"/>
    <n v="29"/>
  </r>
  <r>
    <x v="151"/>
    <s v="Student_151"/>
    <x v="6"/>
    <x v="1"/>
    <d v="2023-08-26T00:00:00"/>
    <x v="0"/>
    <n v="10121"/>
    <x v="151"/>
    <x v="101"/>
    <n v="90"/>
  </r>
  <r>
    <x v="152"/>
    <s v="Student_152"/>
    <x v="5"/>
    <x v="2"/>
    <d v="2024-05-28T00:00:00"/>
    <x v="0"/>
    <n v="4736"/>
    <x v="152"/>
    <x v="102"/>
    <n v="17"/>
  </r>
  <r>
    <x v="153"/>
    <s v="Student_153"/>
    <x v="4"/>
    <x v="2"/>
    <d v="2022-02-26T00:00:00"/>
    <x v="2"/>
    <n v="9014"/>
    <x v="153"/>
    <x v="103"/>
    <n v="45"/>
  </r>
  <r>
    <x v="154"/>
    <s v="Student_154"/>
    <x v="0"/>
    <x v="1"/>
    <d v="2024-06-16T00:00:00"/>
    <x v="0"/>
    <n v="2715"/>
    <x v="154"/>
    <x v="51"/>
    <n v="0"/>
  </r>
  <r>
    <x v="155"/>
    <s v="Student_155"/>
    <x v="0"/>
    <x v="1"/>
    <d v="2023-03-15T00:00:00"/>
    <x v="0"/>
    <n v="13742"/>
    <x v="155"/>
    <x v="104"/>
    <n v="38"/>
  </r>
  <r>
    <x v="156"/>
    <s v="Student_156"/>
    <x v="5"/>
    <x v="3"/>
    <d v="2022-05-12T00:00:00"/>
    <x v="1"/>
    <n v="3617"/>
    <x v="156"/>
    <x v="105"/>
    <n v="5"/>
  </r>
  <r>
    <x v="157"/>
    <s v="Student_157"/>
    <x v="0"/>
    <x v="2"/>
    <d v="2022-05-25T00:00:00"/>
    <x v="1"/>
    <n v="13091"/>
    <x v="157"/>
    <x v="1"/>
    <n v="0"/>
  </r>
  <r>
    <x v="158"/>
    <s v="Student_158"/>
    <x v="4"/>
    <x v="1"/>
    <d v="2024-02-26T00:00:00"/>
    <x v="2"/>
    <n v="11936"/>
    <x v="158"/>
    <x v="106"/>
    <n v="93"/>
  </r>
  <r>
    <x v="159"/>
    <s v="Student_159"/>
    <x v="0"/>
    <x v="0"/>
    <d v="2022-02-13T00:00:00"/>
    <x v="0"/>
    <n v="14162"/>
    <x v="23"/>
    <x v="107"/>
    <n v="115"/>
  </r>
  <r>
    <x v="160"/>
    <s v="Student_160"/>
    <x v="4"/>
    <x v="0"/>
    <d v="2022-01-18T00:00:00"/>
    <x v="0"/>
    <n v="12730"/>
    <x v="159"/>
    <x v="26"/>
    <n v="99"/>
  </r>
  <r>
    <x v="161"/>
    <s v="Student_161"/>
    <x v="7"/>
    <x v="1"/>
    <d v="2023-10-14T00:00:00"/>
    <x v="1"/>
    <n v="12837"/>
    <x v="160"/>
    <x v="108"/>
    <n v="105"/>
  </r>
  <r>
    <x v="162"/>
    <s v="Student_162"/>
    <x v="4"/>
    <x v="2"/>
    <d v="2023-04-09T00:00:00"/>
    <x v="2"/>
    <n v="6301"/>
    <x v="161"/>
    <x v="109"/>
    <n v="117"/>
  </r>
  <r>
    <x v="163"/>
    <s v="Student_163"/>
    <x v="5"/>
    <x v="2"/>
    <d v="2022-05-25T00:00:00"/>
    <x v="0"/>
    <n v="12857"/>
    <x v="162"/>
    <x v="32"/>
    <n v="4"/>
  </r>
  <r>
    <x v="164"/>
    <s v="Student_164"/>
    <x v="3"/>
    <x v="0"/>
    <d v="2022-08-30T00:00:00"/>
    <x v="0"/>
    <n v="10432"/>
    <x v="163"/>
    <x v="2"/>
    <n v="77"/>
  </r>
  <r>
    <x v="165"/>
    <s v="Student_165"/>
    <x v="3"/>
    <x v="1"/>
    <d v="2022-10-04T00:00:00"/>
    <x v="1"/>
    <n v="11825"/>
    <x v="164"/>
    <x v="54"/>
    <n v="43"/>
  </r>
  <r>
    <x v="166"/>
    <s v="Student_166"/>
    <x v="1"/>
    <x v="3"/>
    <d v="2023-12-02T00:00:00"/>
    <x v="0"/>
    <n v="3474"/>
    <x v="165"/>
    <x v="58"/>
    <n v="111"/>
  </r>
  <r>
    <x v="167"/>
    <s v="Student_167"/>
    <x v="2"/>
    <x v="0"/>
    <d v="2022-01-22T00:00:00"/>
    <x v="1"/>
    <n v="14567"/>
    <x v="166"/>
    <x v="87"/>
    <n v="9"/>
  </r>
  <r>
    <x v="168"/>
    <s v="Student_168"/>
    <x v="6"/>
    <x v="2"/>
    <d v="2023-01-07T00:00:00"/>
    <x v="0"/>
    <n v="12381"/>
    <x v="167"/>
    <x v="23"/>
    <n v="104"/>
  </r>
  <r>
    <x v="169"/>
    <s v="Student_169"/>
    <x v="1"/>
    <x v="1"/>
    <d v="2024-04-04T00:00:00"/>
    <x v="0"/>
    <n v="14324"/>
    <x v="168"/>
    <x v="110"/>
    <n v="36"/>
  </r>
  <r>
    <x v="170"/>
    <s v="Student_170"/>
    <x v="4"/>
    <x v="3"/>
    <d v="2023-09-19T00:00:00"/>
    <x v="0"/>
    <n v="12649"/>
    <x v="169"/>
    <x v="111"/>
    <n v="77"/>
  </r>
  <r>
    <x v="171"/>
    <s v="Student_171"/>
    <x v="3"/>
    <x v="0"/>
    <d v="2023-12-22T00:00:00"/>
    <x v="1"/>
    <n v="14074"/>
    <x v="170"/>
    <x v="73"/>
    <n v="82"/>
  </r>
  <r>
    <x v="172"/>
    <s v="Student_172"/>
    <x v="0"/>
    <x v="3"/>
    <d v="2024-02-05T00:00:00"/>
    <x v="1"/>
    <n v="3427"/>
    <x v="171"/>
    <x v="57"/>
    <n v="24"/>
  </r>
  <r>
    <x v="173"/>
    <s v="Student_173"/>
    <x v="1"/>
    <x v="0"/>
    <d v="2022-01-27T00:00:00"/>
    <x v="0"/>
    <n v="12397"/>
    <x v="172"/>
    <x v="18"/>
    <n v="60"/>
  </r>
  <r>
    <x v="174"/>
    <s v="Student_174"/>
    <x v="3"/>
    <x v="1"/>
    <d v="2022-04-17T00:00:00"/>
    <x v="2"/>
    <n v="6795"/>
    <x v="173"/>
    <x v="112"/>
    <n v="64"/>
  </r>
  <r>
    <x v="175"/>
    <s v="Student_175"/>
    <x v="4"/>
    <x v="3"/>
    <d v="2022-05-19T00:00:00"/>
    <x v="1"/>
    <n v="8638"/>
    <x v="174"/>
    <x v="85"/>
    <n v="113"/>
  </r>
  <r>
    <x v="176"/>
    <s v="Student_176"/>
    <x v="1"/>
    <x v="1"/>
    <d v="2023-01-30T00:00:00"/>
    <x v="2"/>
    <n v="7115"/>
    <x v="175"/>
    <x v="113"/>
    <n v="113"/>
  </r>
  <r>
    <x v="177"/>
    <s v="Student_177"/>
    <x v="7"/>
    <x v="3"/>
    <d v="2022-07-03T00:00:00"/>
    <x v="1"/>
    <n v="9350"/>
    <x v="176"/>
    <x v="65"/>
    <n v="42"/>
  </r>
  <r>
    <x v="178"/>
    <s v="Student_178"/>
    <x v="4"/>
    <x v="3"/>
    <d v="2023-11-11T00:00:00"/>
    <x v="0"/>
    <n v="9814"/>
    <x v="177"/>
    <x v="114"/>
    <n v="26"/>
  </r>
  <r>
    <x v="179"/>
    <s v="Student_179"/>
    <x v="5"/>
    <x v="1"/>
    <d v="2024-03-27T00:00:00"/>
    <x v="1"/>
    <n v="3206"/>
    <x v="178"/>
    <x v="115"/>
    <n v="76"/>
  </r>
  <r>
    <x v="180"/>
    <s v="Student_180"/>
    <x v="3"/>
    <x v="1"/>
    <d v="2023-10-08T00:00:00"/>
    <x v="0"/>
    <n v="3198"/>
    <x v="179"/>
    <x v="64"/>
    <n v="69"/>
  </r>
  <r>
    <x v="181"/>
    <s v="Student_181"/>
    <x v="5"/>
    <x v="1"/>
    <d v="2022-07-19T00:00:00"/>
    <x v="0"/>
    <n v="2972"/>
    <x v="180"/>
    <x v="92"/>
    <n v="24"/>
  </r>
  <r>
    <x v="182"/>
    <s v="Student_182"/>
    <x v="1"/>
    <x v="0"/>
    <d v="2024-02-05T00:00:00"/>
    <x v="0"/>
    <n v="8985"/>
    <x v="181"/>
    <x v="116"/>
    <n v="9"/>
  </r>
  <r>
    <x v="183"/>
    <s v="Student_183"/>
    <x v="4"/>
    <x v="0"/>
    <d v="2023-01-08T00:00:00"/>
    <x v="0"/>
    <n v="8434"/>
    <x v="182"/>
    <x v="80"/>
    <n v="50"/>
  </r>
  <r>
    <x v="184"/>
    <s v="Student_184"/>
    <x v="7"/>
    <x v="0"/>
    <d v="2024-04-07T00:00:00"/>
    <x v="2"/>
    <n v="8637"/>
    <x v="183"/>
    <x v="9"/>
    <n v="2"/>
  </r>
  <r>
    <x v="185"/>
    <s v="Student_185"/>
    <x v="2"/>
    <x v="0"/>
    <d v="2022-01-21T00:00:00"/>
    <x v="0"/>
    <n v="7498"/>
    <x v="184"/>
    <x v="112"/>
    <n v="61"/>
  </r>
  <r>
    <x v="186"/>
    <s v="Student_186"/>
    <x v="6"/>
    <x v="0"/>
    <d v="2022-08-24T00:00:00"/>
    <x v="0"/>
    <n v="8592"/>
    <x v="185"/>
    <x v="117"/>
    <n v="113"/>
  </r>
  <r>
    <x v="187"/>
    <s v="Student_187"/>
    <x v="0"/>
    <x v="1"/>
    <d v="2023-01-09T00:00:00"/>
    <x v="0"/>
    <n v="13019"/>
    <x v="186"/>
    <x v="14"/>
    <n v="5"/>
  </r>
  <r>
    <x v="188"/>
    <s v="Student_188"/>
    <x v="4"/>
    <x v="3"/>
    <d v="2024-02-11T00:00:00"/>
    <x v="0"/>
    <n v="4919"/>
    <x v="187"/>
    <x v="113"/>
    <n v="38"/>
  </r>
  <r>
    <x v="189"/>
    <s v="Student_189"/>
    <x v="1"/>
    <x v="3"/>
    <d v="2023-04-22T00:00:00"/>
    <x v="0"/>
    <n v="2581"/>
    <x v="188"/>
    <x v="107"/>
    <n v="22"/>
  </r>
  <r>
    <x v="190"/>
    <s v="Student_190"/>
    <x v="6"/>
    <x v="2"/>
    <d v="2023-03-15T00:00:00"/>
    <x v="0"/>
    <n v="7675"/>
    <x v="189"/>
    <x v="88"/>
    <n v="62"/>
  </r>
  <r>
    <x v="191"/>
    <s v="Student_191"/>
    <x v="4"/>
    <x v="1"/>
    <d v="2023-04-20T00:00:00"/>
    <x v="0"/>
    <n v="3222"/>
    <x v="190"/>
    <x v="62"/>
    <n v="6"/>
  </r>
  <r>
    <x v="192"/>
    <s v="Student_192"/>
    <x v="1"/>
    <x v="1"/>
    <d v="2022-02-14T00:00:00"/>
    <x v="0"/>
    <n v="14952"/>
    <x v="191"/>
    <x v="44"/>
    <n v="77"/>
  </r>
  <r>
    <x v="193"/>
    <s v="Student_193"/>
    <x v="1"/>
    <x v="0"/>
    <d v="2022-04-27T00:00:00"/>
    <x v="0"/>
    <n v="2577"/>
    <x v="134"/>
    <x v="73"/>
    <n v="99"/>
  </r>
  <r>
    <x v="194"/>
    <s v="Student_194"/>
    <x v="7"/>
    <x v="2"/>
    <d v="2022-10-27T00:00:00"/>
    <x v="2"/>
    <n v="8254"/>
    <x v="192"/>
    <x v="114"/>
    <n v="97"/>
  </r>
  <r>
    <x v="195"/>
    <s v="Student_195"/>
    <x v="5"/>
    <x v="2"/>
    <d v="2024-03-17T00:00:00"/>
    <x v="2"/>
    <n v="3770"/>
    <x v="193"/>
    <x v="118"/>
    <n v="23"/>
  </r>
  <r>
    <x v="196"/>
    <s v="Student_196"/>
    <x v="2"/>
    <x v="1"/>
    <d v="2022-02-21T00:00:00"/>
    <x v="0"/>
    <n v="8294"/>
    <x v="194"/>
    <x v="119"/>
    <n v="80"/>
  </r>
  <r>
    <x v="197"/>
    <s v="Student_197"/>
    <x v="4"/>
    <x v="2"/>
    <d v="2022-04-29T00:00:00"/>
    <x v="0"/>
    <n v="11110"/>
    <x v="195"/>
    <x v="120"/>
    <n v="93"/>
  </r>
  <r>
    <x v="198"/>
    <s v="Student_198"/>
    <x v="4"/>
    <x v="3"/>
    <d v="2023-04-15T00:00:00"/>
    <x v="0"/>
    <n v="4826"/>
    <x v="196"/>
    <x v="114"/>
    <n v="48"/>
  </r>
  <r>
    <x v="199"/>
    <s v="Student_199"/>
    <x v="3"/>
    <x v="3"/>
    <d v="2022-01-08T00:00:00"/>
    <x v="0"/>
    <n v="9328"/>
    <x v="197"/>
    <x v="119"/>
    <n v="78"/>
  </r>
  <r>
    <x v="200"/>
    <s v="Student_200"/>
    <x v="2"/>
    <x v="3"/>
    <d v="2023-11-03T00:00:00"/>
    <x v="1"/>
    <n v="10414"/>
    <x v="198"/>
    <x v="22"/>
    <n v="48"/>
  </r>
  <r>
    <x v="201"/>
    <s v="Student_201"/>
    <x v="6"/>
    <x v="3"/>
    <d v="2022-09-09T00:00:00"/>
    <x v="0"/>
    <n v="5868"/>
    <x v="199"/>
    <x v="39"/>
    <n v="47"/>
  </r>
  <r>
    <x v="202"/>
    <s v="Student_202"/>
    <x v="3"/>
    <x v="0"/>
    <d v="2023-05-10T00:00:00"/>
    <x v="0"/>
    <n v="13500"/>
    <x v="200"/>
    <x v="44"/>
    <n v="114"/>
  </r>
  <r>
    <x v="203"/>
    <s v="Student_203"/>
    <x v="2"/>
    <x v="2"/>
    <d v="2022-11-30T00:00:00"/>
    <x v="0"/>
    <n v="5931"/>
    <x v="201"/>
    <x v="121"/>
    <n v="31"/>
  </r>
  <r>
    <x v="204"/>
    <s v="Student_204"/>
    <x v="0"/>
    <x v="1"/>
    <d v="2024-06-11T00:00:00"/>
    <x v="1"/>
    <n v="9066"/>
    <x v="202"/>
    <x v="122"/>
    <n v="26"/>
  </r>
  <r>
    <x v="205"/>
    <s v="Student_205"/>
    <x v="1"/>
    <x v="0"/>
    <d v="2022-06-18T00:00:00"/>
    <x v="0"/>
    <n v="7462"/>
    <x v="203"/>
    <x v="102"/>
    <n v="72"/>
  </r>
  <r>
    <x v="206"/>
    <s v="Student_206"/>
    <x v="4"/>
    <x v="3"/>
    <d v="2023-08-25T00:00:00"/>
    <x v="0"/>
    <n v="13915"/>
    <x v="204"/>
    <x v="123"/>
    <n v="79"/>
  </r>
  <r>
    <x v="207"/>
    <s v="Student_207"/>
    <x v="2"/>
    <x v="3"/>
    <d v="2022-05-02T00:00:00"/>
    <x v="1"/>
    <n v="10682"/>
    <x v="205"/>
    <x v="124"/>
    <n v="34"/>
  </r>
  <r>
    <x v="208"/>
    <s v="Student_208"/>
    <x v="2"/>
    <x v="0"/>
    <d v="2022-01-04T00:00:00"/>
    <x v="0"/>
    <n v="7804"/>
    <x v="206"/>
    <x v="72"/>
    <n v="68"/>
  </r>
  <r>
    <x v="209"/>
    <s v="Student_209"/>
    <x v="5"/>
    <x v="0"/>
    <d v="2024-05-21T00:00:00"/>
    <x v="1"/>
    <n v="14208"/>
    <x v="207"/>
    <x v="66"/>
    <n v="64"/>
  </r>
  <r>
    <x v="210"/>
    <s v="Student_210"/>
    <x v="2"/>
    <x v="1"/>
    <d v="2024-04-18T00:00:00"/>
    <x v="2"/>
    <n v="10912"/>
    <x v="208"/>
    <x v="44"/>
    <n v="43"/>
  </r>
  <r>
    <x v="211"/>
    <s v="Student_211"/>
    <x v="1"/>
    <x v="0"/>
    <d v="2023-11-01T00:00:00"/>
    <x v="0"/>
    <n v="4292"/>
    <x v="209"/>
    <x v="85"/>
    <n v="96"/>
  </r>
  <r>
    <x v="212"/>
    <s v="Student_212"/>
    <x v="4"/>
    <x v="2"/>
    <d v="2023-11-15T00:00:00"/>
    <x v="1"/>
    <n v="13557"/>
    <x v="210"/>
    <x v="125"/>
    <n v="111"/>
  </r>
  <r>
    <x v="213"/>
    <s v="Student_213"/>
    <x v="1"/>
    <x v="3"/>
    <d v="2023-09-06T00:00:00"/>
    <x v="1"/>
    <n v="9626"/>
    <x v="211"/>
    <x v="13"/>
    <n v="17"/>
  </r>
  <r>
    <x v="214"/>
    <s v="Student_214"/>
    <x v="0"/>
    <x v="0"/>
    <d v="2023-08-19T00:00:00"/>
    <x v="0"/>
    <n v="13924"/>
    <x v="212"/>
    <x v="126"/>
    <n v="108"/>
  </r>
  <r>
    <x v="215"/>
    <s v="Student_215"/>
    <x v="1"/>
    <x v="3"/>
    <d v="2022-08-29T00:00:00"/>
    <x v="0"/>
    <n v="11491"/>
    <x v="213"/>
    <x v="117"/>
    <n v="5"/>
  </r>
  <r>
    <x v="216"/>
    <s v="Student_216"/>
    <x v="7"/>
    <x v="1"/>
    <d v="2024-04-06T00:00:00"/>
    <x v="0"/>
    <n v="3781"/>
    <x v="214"/>
    <x v="127"/>
    <n v="6"/>
  </r>
  <r>
    <x v="217"/>
    <s v="Student_217"/>
    <x v="1"/>
    <x v="3"/>
    <d v="2023-11-22T00:00:00"/>
    <x v="1"/>
    <n v="12986"/>
    <x v="215"/>
    <x v="78"/>
    <n v="90"/>
  </r>
  <r>
    <x v="218"/>
    <s v="Student_218"/>
    <x v="7"/>
    <x v="0"/>
    <d v="2022-06-07T00:00:00"/>
    <x v="0"/>
    <n v="5785"/>
    <x v="216"/>
    <x v="107"/>
    <n v="96"/>
  </r>
  <r>
    <x v="219"/>
    <s v="Student_219"/>
    <x v="1"/>
    <x v="3"/>
    <d v="2022-12-29T00:00:00"/>
    <x v="0"/>
    <n v="6786"/>
    <x v="217"/>
    <x v="23"/>
    <n v="28"/>
  </r>
  <r>
    <x v="220"/>
    <s v="Student_220"/>
    <x v="4"/>
    <x v="2"/>
    <d v="2022-10-09T00:00:00"/>
    <x v="0"/>
    <n v="6615"/>
    <x v="218"/>
    <x v="128"/>
    <n v="38"/>
  </r>
  <r>
    <x v="221"/>
    <s v="Student_221"/>
    <x v="6"/>
    <x v="1"/>
    <d v="2024-06-06T00:00:00"/>
    <x v="0"/>
    <n v="9625"/>
    <x v="219"/>
    <x v="129"/>
    <n v="6"/>
  </r>
  <r>
    <x v="222"/>
    <s v="Student_222"/>
    <x v="7"/>
    <x v="3"/>
    <d v="2023-09-23T00:00:00"/>
    <x v="0"/>
    <n v="13304"/>
    <x v="220"/>
    <x v="88"/>
    <n v="96"/>
  </r>
  <r>
    <x v="223"/>
    <s v="Student_223"/>
    <x v="6"/>
    <x v="0"/>
    <d v="2023-07-09T00:00:00"/>
    <x v="0"/>
    <n v="4559"/>
    <x v="221"/>
    <x v="84"/>
    <n v="105"/>
  </r>
  <r>
    <x v="224"/>
    <s v="Student_224"/>
    <x v="7"/>
    <x v="2"/>
    <d v="2022-08-04T00:00:00"/>
    <x v="0"/>
    <n v="4418"/>
    <x v="222"/>
    <x v="21"/>
    <n v="65"/>
  </r>
  <r>
    <x v="225"/>
    <s v="Student_225"/>
    <x v="4"/>
    <x v="1"/>
    <d v="2022-10-08T00:00:00"/>
    <x v="0"/>
    <n v="11433"/>
    <x v="223"/>
    <x v="82"/>
    <n v="55"/>
  </r>
  <r>
    <x v="226"/>
    <s v="Student_226"/>
    <x v="4"/>
    <x v="3"/>
    <d v="2023-08-11T00:00:00"/>
    <x v="0"/>
    <n v="10920"/>
    <x v="224"/>
    <x v="106"/>
    <n v="35"/>
  </r>
  <r>
    <x v="227"/>
    <s v="Student_227"/>
    <x v="5"/>
    <x v="0"/>
    <d v="2022-03-24T00:00:00"/>
    <x v="1"/>
    <n v="7532"/>
    <x v="209"/>
    <x v="130"/>
    <n v="53"/>
  </r>
  <r>
    <x v="228"/>
    <s v="Student_228"/>
    <x v="4"/>
    <x v="3"/>
    <d v="2023-10-27T00:00:00"/>
    <x v="0"/>
    <n v="4365"/>
    <x v="225"/>
    <x v="28"/>
    <n v="24"/>
  </r>
  <r>
    <x v="229"/>
    <s v="Student_229"/>
    <x v="6"/>
    <x v="0"/>
    <d v="2022-01-07T00:00:00"/>
    <x v="1"/>
    <n v="8437"/>
    <x v="226"/>
    <x v="10"/>
    <n v="78"/>
  </r>
  <r>
    <x v="230"/>
    <s v="Student_230"/>
    <x v="6"/>
    <x v="3"/>
    <d v="2023-02-28T00:00:00"/>
    <x v="0"/>
    <n v="8696"/>
    <x v="227"/>
    <x v="131"/>
    <n v="83"/>
  </r>
  <r>
    <x v="231"/>
    <s v="Student_231"/>
    <x v="2"/>
    <x v="3"/>
    <d v="2022-05-01T00:00:00"/>
    <x v="1"/>
    <n v="11639"/>
    <x v="228"/>
    <x v="88"/>
    <n v="43"/>
  </r>
  <r>
    <x v="232"/>
    <s v="Student_232"/>
    <x v="4"/>
    <x v="1"/>
    <d v="2023-12-20T00:00:00"/>
    <x v="1"/>
    <n v="14104"/>
    <x v="229"/>
    <x v="132"/>
    <n v="119"/>
  </r>
  <r>
    <x v="233"/>
    <s v="Student_233"/>
    <x v="3"/>
    <x v="1"/>
    <d v="2023-09-12T00:00:00"/>
    <x v="2"/>
    <n v="8577"/>
    <x v="230"/>
    <x v="122"/>
    <n v="47"/>
  </r>
  <r>
    <x v="234"/>
    <s v="Student_234"/>
    <x v="3"/>
    <x v="0"/>
    <d v="2023-01-29T00:00:00"/>
    <x v="1"/>
    <n v="9465"/>
    <x v="231"/>
    <x v="133"/>
    <n v="62"/>
  </r>
  <r>
    <x v="235"/>
    <s v="Student_235"/>
    <x v="7"/>
    <x v="0"/>
    <d v="2022-06-24T00:00:00"/>
    <x v="0"/>
    <n v="11825"/>
    <x v="232"/>
    <x v="77"/>
    <n v="90"/>
  </r>
  <r>
    <x v="236"/>
    <s v="Student_236"/>
    <x v="7"/>
    <x v="3"/>
    <d v="2023-12-08T00:00:00"/>
    <x v="0"/>
    <n v="12026"/>
    <x v="233"/>
    <x v="56"/>
    <n v="15"/>
  </r>
  <r>
    <x v="237"/>
    <s v="Student_237"/>
    <x v="5"/>
    <x v="0"/>
    <d v="2023-05-09T00:00:00"/>
    <x v="0"/>
    <n v="12137"/>
    <x v="234"/>
    <x v="39"/>
    <n v="59"/>
  </r>
  <r>
    <x v="238"/>
    <s v="Student_238"/>
    <x v="6"/>
    <x v="1"/>
    <d v="2024-01-25T00:00:00"/>
    <x v="0"/>
    <n v="13153"/>
    <x v="235"/>
    <x v="57"/>
    <n v="4"/>
  </r>
  <r>
    <x v="239"/>
    <s v="Student_239"/>
    <x v="6"/>
    <x v="2"/>
    <d v="2024-03-26T00:00:00"/>
    <x v="0"/>
    <n v="8445"/>
    <x v="236"/>
    <x v="112"/>
    <n v="106"/>
  </r>
  <r>
    <x v="240"/>
    <s v="Student_240"/>
    <x v="3"/>
    <x v="3"/>
    <d v="2022-10-13T00:00:00"/>
    <x v="1"/>
    <n v="6582"/>
    <x v="64"/>
    <x v="134"/>
    <n v="68"/>
  </r>
  <r>
    <x v="241"/>
    <s v="Student_241"/>
    <x v="5"/>
    <x v="3"/>
    <d v="2023-04-10T00:00:00"/>
    <x v="1"/>
    <n v="9924"/>
    <x v="237"/>
    <x v="59"/>
    <n v="25"/>
  </r>
  <r>
    <x v="242"/>
    <s v="Student_242"/>
    <x v="5"/>
    <x v="0"/>
    <d v="2024-01-01T00:00:00"/>
    <x v="1"/>
    <n v="9436"/>
    <x v="238"/>
    <x v="65"/>
    <n v="69"/>
  </r>
  <r>
    <x v="243"/>
    <s v="Student_243"/>
    <x v="4"/>
    <x v="2"/>
    <d v="2023-02-25T00:00:00"/>
    <x v="0"/>
    <n v="11021"/>
    <x v="239"/>
    <x v="16"/>
    <n v="13"/>
  </r>
  <r>
    <x v="244"/>
    <s v="Student_244"/>
    <x v="1"/>
    <x v="3"/>
    <d v="2023-08-09T00:00:00"/>
    <x v="2"/>
    <n v="5204"/>
    <x v="240"/>
    <x v="29"/>
    <n v="29"/>
  </r>
  <r>
    <x v="245"/>
    <s v="Student_245"/>
    <x v="1"/>
    <x v="3"/>
    <d v="2024-05-11T00:00:00"/>
    <x v="0"/>
    <n v="2031"/>
    <x v="241"/>
    <x v="30"/>
    <n v="49"/>
  </r>
  <r>
    <x v="246"/>
    <s v="Student_246"/>
    <x v="5"/>
    <x v="3"/>
    <d v="2024-02-12T00:00:00"/>
    <x v="0"/>
    <n v="9136"/>
    <x v="242"/>
    <x v="135"/>
    <n v="53"/>
  </r>
  <r>
    <x v="247"/>
    <s v="Student_247"/>
    <x v="4"/>
    <x v="3"/>
    <d v="2022-11-29T00:00:00"/>
    <x v="0"/>
    <n v="7624"/>
    <x v="243"/>
    <x v="104"/>
    <n v="21"/>
  </r>
  <r>
    <x v="248"/>
    <s v="Student_248"/>
    <x v="6"/>
    <x v="1"/>
    <d v="2023-07-30T00:00:00"/>
    <x v="0"/>
    <n v="14896"/>
    <x v="244"/>
    <x v="103"/>
    <n v="19"/>
  </r>
  <r>
    <x v="249"/>
    <s v="Student_249"/>
    <x v="2"/>
    <x v="1"/>
    <d v="2023-01-16T00:00:00"/>
    <x v="0"/>
    <n v="9944"/>
    <x v="245"/>
    <x v="70"/>
    <n v="74"/>
  </r>
  <r>
    <x v="250"/>
    <s v="Student_250"/>
    <x v="0"/>
    <x v="3"/>
    <d v="2024-04-09T00:00:00"/>
    <x v="0"/>
    <n v="4101"/>
    <x v="246"/>
    <x v="136"/>
    <n v="77"/>
  </r>
  <r>
    <x v="251"/>
    <s v="Student_251"/>
    <x v="4"/>
    <x v="0"/>
    <d v="2023-03-31T00:00:00"/>
    <x v="0"/>
    <n v="2923"/>
    <x v="247"/>
    <x v="86"/>
    <n v="116"/>
  </r>
  <r>
    <x v="252"/>
    <s v="Student_252"/>
    <x v="0"/>
    <x v="2"/>
    <d v="2022-06-13T00:00:00"/>
    <x v="0"/>
    <n v="6135"/>
    <x v="248"/>
    <x v="137"/>
    <n v="52"/>
  </r>
  <r>
    <x v="253"/>
    <s v="Student_253"/>
    <x v="6"/>
    <x v="3"/>
    <d v="2023-06-07T00:00:00"/>
    <x v="2"/>
    <n v="5429"/>
    <x v="249"/>
    <x v="104"/>
    <n v="18"/>
  </r>
  <r>
    <x v="254"/>
    <s v="Student_254"/>
    <x v="4"/>
    <x v="3"/>
    <d v="2024-02-18T00:00:00"/>
    <x v="0"/>
    <n v="9722"/>
    <x v="250"/>
    <x v="13"/>
    <n v="35"/>
  </r>
  <r>
    <x v="255"/>
    <s v="Student_255"/>
    <x v="0"/>
    <x v="2"/>
    <d v="2022-01-24T00:00:00"/>
    <x v="0"/>
    <n v="8231"/>
    <x v="251"/>
    <x v="52"/>
    <n v="106"/>
  </r>
  <r>
    <x v="256"/>
    <s v="Student_256"/>
    <x v="3"/>
    <x v="0"/>
    <d v="2023-09-20T00:00:00"/>
    <x v="0"/>
    <n v="6740"/>
    <x v="252"/>
    <x v="138"/>
    <n v="88"/>
  </r>
  <r>
    <x v="257"/>
    <s v="Student_257"/>
    <x v="6"/>
    <x v="2"/>
    <d v="2022-10-23T00:00:00"/>
    <x v="1"/>
    <n v="3472"/>
    <x v="253"/>
    <x v="65"/>
    <n v="70"/>
  </r>
  <r>
    <x v="258"/>
    <s v="Student_258"/>
    <x v="4"/>
    <x v="2"/>
    <d v="2024-03-10T00:00:00"/>
    <x v="2"/>
    <n v="14136"/>
    <x v="254"/>
    <x v="69"/>
    <n v="81"/>
  </r>
  <r>
    <x v="259"/>
    <s v="Student_259"/>
    <x v="6"/>
    <x v="0"/>
    <d v="2023-01-11T00:00:00"/>
    <x v="1"/>
    <n v="8110"/>
    <x v="255"/>
    <x v="75"/>
    <n v="55"/>
  </r>
  <r>
    <x v="260"/>
    <s v="Student_260"/>
    <x v="4"/>
    <x v="1"/>
    <d v="2023-03-10T00:00:00"/>
    <x v="1"/>
    <n v="4090"/>
    <x v="256"/>
    <x v="117"/>
    <n v="60"/>
  </r>
  <r>
    <x v="261"/>
    <s v="Student_261"/>
    <x v="5"/>
    <x v="0"/>
    <d v="2023-01-26T00:00:00"/>
    <x v="0"/>
    <n v="2654"/>
    <x v="257"/>
    <x v="75"/>
    <n v="78"/>
  </r>
  <r>
    <x v="262"/>
    <s v="Student_262"/>
    <x v="0"/>
    <x v="3"/>
    <d v="2023-12-16T00:00:00"/>
    <x v="0"/>
    <n v="14036"/>
    <x v="41"/>
    <x v="37"/>
    <n v="85"/>
  </r>
  <r>
    <x v="263"/>
    <s v="Student_263"/>
    <x v="0"/>
    <x v="2"/>
    <d v="2022-02-27T00:00:00"/>
    <x v="1"/>
    <n v="9912"/>
    <x v="258"/>
    <x v="139"/>
    <n v="10"/>
  </r>
  <r>
    <x v="264"/>
    <s v="Student_264"/>
    <x v="3"/>
    <x v="0"/>
    <d v="2022-12-27T00:00:00"/>
    <x v="1"/>
    <n v="6111"/>
    <x v="259"/>
    <x v="115"/>
    <n v="48"/>
  </r>
  <r>
    <x v="265"/>
    <s v="Student_265"/>
    <x v="3"/>
    <x v="3"/>
    <d v="2024-03-09T00:00:00"/>
    <x v="0"/>
    <n v="12375"/>
    <x v="260"/>
    <x v="99"/>
    <n v="40"/>
  </r>
  <r>
    <x v="266"/>
    <s v="Student_266"/>
    <x v="6"/>
    <x v="1"/>
    <d v="2022-12-11T00:00:00"/>
    <x v="0"/>
    <n v="5864"/>
    <x v="261"/>
    <x v="140"/>
    <n v="79"/>
  </r>
  <r>
    <x v="267"/>
    <s v="Student_267"/>
    <x v="3"/>
    <x v="0"/>
    <d v="2022-03-17T00:00:00"/>
    <x v="0"/>
    <n v="14547"/>
    <x v="262"/>
    <x v="138"/>
    <n v="67"/>
  </r>
  <r>
    <x v="268"/>
    <s v="Student_268"/>
    <x v="4"/>
    <x v="0"/>
    <d v="2022-03-27T00:00:00"/>
    <x v="1"/>
    <n v="12862"/>
    <x v="263"/>
    <x v="129"/>
    <n v="85"/>
  </r>
  <r>
    <x v="269"/>
    <s v="Student_269"/>
    <x v="2"/>
    <x v="0"/>
    <d v="2023-11-04T00:00:00"/>
    <x v="0"/>
    <n v="3181"/>
    <x v="264"/>
    <x v="115"/>
    <n v="110"/>
  </r>
  <r>
    <x v="270"/>
    <s v="Student_270"/>
    <x v="1"/>
    <x v="3"/>
    <d v="2022-07-17T00:00:00"/>
    <x v="1"/>
    <n v="7961"/>
    <x v="265"/>
    <x v="129"/>
    <n v="12"/>
  </r>
  <r>
    <x v="271"/>
    <s v="Student_271"/>
    <x v="6"/>
    <x v="1"/>
    <d v="2022-12-14T00:00:00"/>
    <x v="1"/>
    <n v="3134"/>
    <x v="266"/>
    <x v="9"/>
    <n v="112"/>
  </r>
  <r>
    <x v="272"/>
    <s v="Student_272"/>
    <x v="7"/>
    <x v="1"/>
    <d v="2023-05-14T00:00:00"/>
    <x v="1"/>
    <n v="13777"/>
    <x v="267"/>
    <x v="57"/>
    <n v="22"/>
  </r>
  <r>
    <x v="273"/>
    <s v="Student_273"/>
    <x v="7"/>
    <x v="0"/>
    <d v="2024-04-05T00:00:00"/>
    <x v="0"/>
    <n v="13439"/>
    <x v="268"/>
    <x v="119"/>
    <n v="104"/>
  </r>
  <r>
    <x v="274"/>
    <s v="Student_274"/>
    <x v="6"/>
    <x v="1"/>
    <d v="2023-01-18T00:00:00"/>
    <x v="1"/>
    <n v="7518"/>
    <x v="269"/>
    <x v="3"/>
    <n v="48"/>
  </r>
  <r>
    <x v="275"/>
    <s v="Student_275"/>
    <x v="5"/>
    <x v="2"/>
    <d v="2023-05-27T00:00:00"/>
    <x v="0"/>
    <n v="13408"/>
    <x v="270"/>
    <x v="135"/>
    <n v="22"/>
  </r>
  <r>
    <x v="276"/>
    <s v="Student_276"/>
    <x v="0"/>
    <x v="0"/>
    <d v="2024-06-07T00:00:00"/>
    <x v="0"/>
    <n v="8007"/>
    <x v="271"/>
    <x v="48"/>
    <n v="37"/>
  </r>
  <r>
    <x v="277"/>
    <s v="Student_277"/>
    <x v="0"/>
    <x v="3"/>
    <d v="2023-09-14T00:00:00"/>
    <x v="1"/>
    <n v="9757"/>
    <x v="272"/>
    <x v="127"/>
    <n v="103"/>
  </r>
  <r>
    <x v="278"/>
    <s v="Student_278"/>
    <x v="3"/>
    <x v="3"/>
    <d v="2023-03-04T00:00:00"/>
    <x v="1"/>
    <n v="5923"/>
    <x v="273"/>
    <x v="29"/>
    <n v="65"/>
  </r>
  <r>
    <x v="279"/>
    <s v="Student_279"/>
    <x v="6"/>
    <x v="2"/>
    <d v="2023-10-11T00:00:00"/>
    <x v="1"/>
    <n v="11940"/>
    <x v="274"/>
    <x v="9"/>
    <n v="30"/>
  </r>
  <r>
    <x v="280"/>
    <s v="Student_280"/>
    <x v="5"/>
    <x v="0"/>
    <d v="2023-08-17T00:00:00"/>
    <x v="1"/>
    <n v="12216"/>
    <x v="275"/>
    <x v="141"/>
    <n v="5"/>
  </r>
  <r>
    <x v="281"/>
    <s v="Student_281"/>
    <x v="6"/>
    <x v="2"/>
    <d v="2022-12-15T00:00:00"/>
    <x v="0"/>
    <n v="8332"/>
    <x v="276"/>
    <x v="142"/>
    <n v="53"/>
  </r>
  <r>
    <x v="282"/>
    <s v="Student_282"/>
    <x v="6"/>
    <x v="2"/>
    <d v="2022-11-04T00:00:00"/>
    <x v="0"/>
    <n v="8893"/>
    <x v="277"/>
    <x v="143"/>
    <n v="51"/>
  </r>
  <r>
    <x v="283"/>
    <s v="Student_283"/>
    <x v="4"/>
    <x v="2"/>
    <d v="2022-06-13T00:00:00"/>
    <x v="2"/>
    <n v="9981"/>
    <x v="278"/>
    <x v="21"/>
    <n v="53"/>
  </r>
  <r>
    <x v="284"/>
    <s v="Student_284"/>
    <x v="2"/>
    <x v="2"/>
    <d v="2023-11-24T00:00:00"/>
    <x v="1"/>
    <n v="9881"/>
    <x v="279"/>
    <x v="144"/>
    <n v="90"/>
  </r>
  <r>
    <x v="285"/>
    <s v="Student_285"/>
    <x v="0"/>
    <x v="0"/>
    <d v="2023-09-09T00:00:00"/>
    <x v="0"/>
    <n v="2709"/>
    <x v="280"/>
    <x v="145"/>
    <n v="50"/>
  </r>
  <r>
    <x v="286"/>
    <s v="Student_286"/>
    <x v="1"/>
    <x v="2"/>
    <d v="2022-01-19T00:00:00"/>
    <x v="0"/>
    <n v="11935"/>
    <x v="281"/>
    <x v="22"/>
    <n v="31"/>
  </r>
  <r>
    <x v="287"/>
    <s v="Student_287"/>
    <x v="3"/>
    <x v="2"/>
    <d v="2024-06-09T00:00:00"/>
    <x v="0"/>
    <n v="11303"/>
    <x v="282"/>
    <x v="71"/>
    <n v="60"/>
  </r>
  <r>
    <x v="288"/>
    <s v="Student_288"/>
    <x v="7"/>
    <x v="3"/>
    <d v="2022-11-07T00:00:00"/>
    <x v="1"/>
    <n v="14396"/>
    <x v="283"/>
    <x v="69"/>
    <n v="34"/>
  </r>
  <r>
    <x v="289"/>
    <s v="Student_289"/>
    <x v="5"/>
    <x v="0"/>
    <d v="2023-02-23T00:00:00"/>
    <x v="1"/>
    <n v="7215"/>
    <x v="284"/>
    <x v="146"/>
    <n v="47"/>
  </r>
  <r>
    <x v="290"/>
    <s v="Student_290"/>
    <x v="7"/>
    <x v="3"/>
    <d v="2022-05-17T00:00:00"/>
    <x v="0"/>
    <n v="5255"/>
    <x v="285"/>
    <x v="56"/>
    <n v="86"/>
  </r>
  <r>
    <x v="291"/>
    <s v="Student_291"/>
    <x v="6"/>
    <x v="0"/>
    <d v="2024-05-21T00:00:00"/>
    <x v="2"/>
    <n v="9805"/>
    <x v="286"/>
    <x v="86"/>
    <n v="83"/>
  </r>
  <r>
    <x v="292"/>
    <s v="Student_292"/>
    <x v="3"/>
    <x v="1"/>
    <d v="2023-01-07T00:00:00"/>
    <x v="1"/>
    <n v="4492"/>
    <x v="287"/>
    <x v="45"/>
    <n v="58"/>
  </r>
  <r>
    <x v="293"/>
    <s v="Student_293"/>
    <x v="5"/>
    <x v="3"/>
    <d v="2022-05-10T00:00:00"/>
    <x v="0"/>
    <n v="14426"/>
    <x v="288"/>
    <x v="59"/>
    <n v="87"/>
  </r>
  <r>
    <x v="294"/>
    <s v="Student_294"/>
    <x v="7"/>
    <x v="3"/>
    <d v="2022-12-19T00:00:00"/>
    <x v="1"/>
    <n v="5148"/>
    <x v="289"/>
    <x v="147"/>
    <n v="32"/>
  </r>
  <r>
    <x v="295"/>
    <s v="Student_295"/>
    <x v="2"/>
    <x v="1"/>
    <d v="2023-11-10T00:00:00"/>
    <x v="0"/>
    <n v="11170"/>
    <x v="290"/>
    <x v="69"/>
    <n v="112"/>
  </r>
  <r>
    <x v="296"/>
    <s v="Student_296"/>
    <x v="7"/>
    <x v="3"/>
    <d v="2022-07-23T00:00:00"/>
    <x v="0"/>
    <n v="12190"/>
    <x v="291"/>
    <x v="14"/>
    <n v="5"/>
  </r>
  <r>
    <x v="297"/>
    <s v="Student_297"/>
    <x v="4"/>
    <x v="3"/>
    <d v="2022-10-06T00:00:00"/>
    <x v="1"/>
    <n v="11788"/>
    <x v="292"/>
    <x v="148"/>
    <n v="23"/>
  </r>
  <r>
    <x v="298"/>
    <s v="Student_298"/>
    <x v="7"/>
    <x v="3"/>
    <d v="2024-02-18T00:00:00"/>
    <x v="0"/>
    <n v="7884"/>
    <x v="293"/>
    <x v="116"/>
    <n v="40"/>
  </r>
  <r>
    <x v="299"/>
    <s v="Student_299"/>
    <x v="2"/>
    <x v="2"/>
    <d v="2023-03-26T00:00:00"/>
    <x v="1"/>
    <n v="3515"/>
    <x v="294"/>
    <x v="149"/>
    <n v="115"/>
  </r>
  <r>
    <x v="300"/>
    <s v="Student_300"/>
    <x v="7"/>
    <x v="3"/>
    <d v="2022-07-30T00:00:00"/>
    <x v="1"/>
    <n v="11803"/>
    <x v="295"/>
    <x v="91"/>
    <n v="116"/>
  </r>
  <r>
    <x v="301"/>
    <s v="Student_301"/>
    <x v="2"/>
    <x v="0"/>
    <d v="2022-05-10T00:00:00"/>
    <x v="0"/>
    <n v="5515"/>
    <x v="296"/>
    <x v="40"/>
    <n v="65"/>
  </r>
  <r>
    <x v="302"/>
    <s v="Student_302"/>
    <x v="3"/>
    <x v="3"/>
    <d v="2022-09-08T00:00:00"/>
    <x v="0"/>
    <n v="12810"/>
    <x v="297"/>
    <x v="150"/>
    <n v="58"/>
  </r>
  <r>
    <x v="303"/>
    <s v="Student_303"/>
    <x v="3"/>
    <x v="2"/>
    <d v="2022-10-05T00:00:00"/>
    <x v="0"/>
    <n v="4155"/>
    <x v="298"/>
    <x v="56"/>
    <n v="25"/>
  </r>
  <r>
    <x v="304"/>
    <s v="Student_304"/>
    <x v="1"/>
    <x v="3"/>
    <d v="2024-03-21T00:00:00"/>
    <x v="0"/>
    <n v="7723"/>
    <x v="299"/>
    <x v="28"/>
    <n v="23"/>
  </r>
  <r>
    <x v="305"/>
    <s v="Student_305"/>
    <x v="5"/>
    <x v="1"/>
    <d v="2022-11-18T00:00:00"/>
    <x v="1"/>
    <n v="6777"/>
    <x v="300"/>
    <x v="27"/>
    <n v="47"/>
  </r>
  <r>
    <x v="306"/>
    <s v="Student_306"/>
    <x v="0"/>
    <x v="0"/>
    <d v="2022-01-23T00:00:00"/>
    <x v="1"/>
    <n v="8267"/>
    <x v="301"/>
    <x v="151"/>
    <n v="56"/>
  </r>
  <r>
    <x v="307"/>
    <s v="Student_307"/>
    <x v="0"/>
    <x v="3"/>
    <d v="2023-01-14T00:00:00"/>
    <x v="0"/>
    <n v="9602"/>
    <x v="302"/>
    <x v="152"/>
    <n v="103"/>
  </r>
  <r>
    <x v="308"/>
    <s v="Student_308"/>
    <x v="2"/>
    <x v="2"/>
    <d v="2023-04-01T00:00:00"/>
    <x v="0"/>
    <n v="7771"/>
    <x v="303"/>
    <x v="85"/>
    <n v="44"/>
  </r>
  <r>
    <x v="309"/>
    <s v="Student_309"/>
    <x v="6"/>
    <x v="3"/>
    <d v="2022-06-16T00:00:00"/>
    <x v="0"/>
    <n v="6051"/>
    <x v="304"/>
    <x v="131"/>
    <n v="73"/>
  </r>
  <r>
    <x v="310"/>
    <s v="Student_310"/>
    <x v="2"/>
    <x v="2"/>
    <d v="2023-05-22T00:00:00"/>
    <x v="1"/>
    <n v="10432"/>
    <x v="305"/>
    <x v="153"/>
    <n v="34"/>
  </r>
  <r>
    <x v="311"/>
    <s v="Student_311"/>
    <x v="7"/>
    <x v="1"/>
    <d v="2022-04-05T00:00:00"/>
    <x v="1"/>
    <n v="13615"/>
    <x v="306"/>
    <x v="111"/>
    <n v="26"/>
  </r>
  <r>
    <x v="312"/>
    <s v="Student_312"/>
    <x v="4"/>
    <x v="1"/>
    <d v="2022-01-18T00:00:00"/>
    <x v="0"/>
    <n v="11152"/>
    <x v="307"/>
    <x v="90"/>
    <n v="27"/>
  </r>
  <r>
    <x v="313"/>
    <s v="Student_313"/>
    <x v="6"/>
    <x v="2"/>
    <d v="2024-02-06T00:00:00"/>
    <x v="0"/>
    <n v="6901"/>
    <x v="308"/>
    <x v="131"/>
    <n v="83"/>
  </r>
  <r>
    <x v="314"/>
    <s v="Student_314"/>
    <x v="0"/>
    <x v="0"/>
    <d v="2022-06-18T00:00:00"/>
    <x v="0"/>
    <n v="8130"/>
    <x v="309"/>
    <x v="61"/>
    <n v="13"/>
  </r>
  <r>
    <x v="315"/>
    <s v="Student_315"/>
    <x v="2"/>
    <x v="0"/>
    <d v="2023-01-08T00:00:00"/>
    <x v="1"/>
    <n v="3221"/>
    <x v="310"/>
    <x v="84"/>
    <n v="48"/>
  </r>
  <r>
    <x v="316"/>
    <s v="Student_316"/>
    <x v="1"/>
    <x v="3"/>
    <d v="2022-09-06T00:00:00"/>
    <x v="1"/>
    <n v="14917"/>
    <x v="311"/>
    <x v="154"/>
    <n v="23"/>
  </r>
  <r>
    <x v="317"/>
    <s v="Student_317"/>
    <x v="5"/>
    <x v="3"/>
    <d v="2022-11-28T00:00:00"/>
    <x v="0"/>
    <n v="12168"/>
    <x v="312"/>
    <x v="33"/>
    <n v="24"/>
  </r>
  <r>
    <x v="318"/>
    <s v="Student_318"/>
    <x v="6"/>
    <x v="2"/>
    <d v="2022-06-13T00:00:00"/>
    <x v="1"/>
    <n v="10039"/>
    <x v="313"/>
    <x v="155"/>
    <n v="63"/>
  </r>
  <r>
    <x v="319"/>
    <s v="Student_319"/>
    <x v="6"/>
    <x v="3"/>
    <d v="2022-02-09T00:00:00"/>
    <x v="0"/>
    <n v="3870"/>
    <x v="314"/>
    <x v="16"/>
    <n v="65"/>
  </r>
  <r>
    <x v="320"/>
    <s v="Student_320"/>
    <x v="5"/>
    <x v="3"/>
    <d v="2022-11-12T00:00:00"/>
    <x v="1"/>
    <n v="5914"/>
    <x v="152"/>
    <x v="139"/>
    <n v="71"/>
  </r>
  <r>
    <x v="321"/>
    <s v="Student_321"/>
    <x v="1"/>
    <x v="3"/>
    <d v="2024-06-01T00:00:00"/>
    <x v="0"/>
    <n v="2084"/>
    <x v="315"/>
    <x v="59"/>
    <n v="46"/>
  </r>
  <r>
    <x v="322"/>
    <s v="Student_322"/>
    <x v="0"/>
    <x v="3"/>
    <d v="2022-02-24T00:00:00"/>
    <x v="0"/>
    <n v="9739"/>
    <x v="316"/>
    <x v="140"/>
    <n v="50"/>
  </r>
  <r>
    <x v="323"/>
    <s v="Student_323"/>
    <x v="5"/>
    <x v="1"/>
    <d v="2023-12-01T00:00:00"/>
    <x v="1"/>
    <n v="5005"/>
    <x v="317"/>
    <x v="80"/>
    <n v="31"/>
  </r>
  <r>
    <x v="324"/>
    <s v="Student_324"/>
    <x v="6"/>
    <x v="1"/>
    <d v="2024-01-06T00:00:00"/>
    <x v="1"/>
    <n v="5480"/>
    <x v="318"/>
    <x v="108"/>
    <n v="111"/>
  </r>
  <r>
    <x v="325"/>
    <s v="Student_325"/>
    <x v="2"/>
    <x v="3"/>
    <d v="2024-03-27T00:00:00"/>
    <x v="0"/>
    <n v="12926"/>
    <x v="319"/>
    <x v="80"/>
    <n v="13"/>
  </r>
  <r>
    <x v="326"/>
    <s v="Student_326"/>
    <x v="0"/>
    <x v="0"/>
    <d v="2024-05-18T00:00:00"/>
    <x v="2"/>
    <n v="11564"/>
    <x v="320"/>
    <x v="35"/>
    <n v="68"/>
  </r>
  <r>
    <x v="327"/>
    <s v="Student_327"/>
    <x v="6"/>
    <x v="3"/>
    <d v="2022-04-08T00:00:00"/>
    <x v="0"/>
    <n v="8396"/>
    <x v="321"/>
    <x v="108"/>
    <n v="8"/>
  </r>
  <r>
    <x v="328"/>
    <s v="Student_328"/>
    <x v="6"/>
    <x v="1"/>
    <d v="2023-02-12T00:00:00"/>
    <x v="0"/>
    <n v="10998"/>
    <x v="322"/>
    <x v="9"/>
    <n v="113"/>
  </r>
  <r>
    <x v="329"/>
    <s v="Student_329"/>
    <x v="4"/>
    <x v="2"/>
    <d v="2022-01-17T00:00:00"/>
    <x v="0"/>
    <n v="8399"/>
    <x v="323"/>
    <x v="67"/>
    <n v="54"/>
  </r>
  <r>
    <x v="330"/>
    <s v="Student_330"/>
    <x v="7"/>
    <x v="2"/>
    <d v="2022-03-20T00:00:00"/>
    <x v="0"/>
    <n v="14659"/>
    <x v="324"/>
    <x v="86"/>
    <n v="4"/>
  </r>
  <r>
    <x v="331"/>
    <s v="Student_331"/>
    <x v="1"/>
    <x v="1"/>
    <d v="2023-07-25T00:00:00"/>
    <x v="1"/>
    <n v="11038"/>
    <x v="325"/>
    <x v="9"/>
    <n v="16"/>
  </r>
  <r>
    <x v="332"/>
    <s v="Student_332"/>
    <x v="0"/>
    <x v="0"/>
    <d v="2023-05-29T00:00:00"/>
    <x v="1"/>
    <n v="3155"/>
    <x v="326"/>
    <x v="35"/>
    <n v="60"/>
  </r>
  <r>
    <x v="333"/>
    <s v="Student_333"/>
    <x v="7"/>
    <x v="0"/>
    <d v="2023-02-18T00:00:00"/>
    <x v="0"/>
    <n v="9857"/>
    <x v="327"/>
    <x v="32"/>
    <n v="6"/>
  </r>
  <r>
    <x v="334"/>
    <s v="Student_334"/>
    <x v="4"/>
    <x v="3"/>
    <d v="2022-02-15T00:00:00"/>
    <x v="0"/>
    <n v="3419"/>
    <x v="328"/>
    <x v="156"/>
    <n v="57"/>
  </r>
  <r>
    <x v="335"/>
    <s v="Student_335"/>
    <x v="2"/>
    <x v="1"/>
    <d v="2022-10-03T00:00:00"/>
    <x v="0"/>
    <n v="10227"/>
    <x v="329"/>
    <x v="113"/>
    <n v="40"/>
  </r>
  <r>
    <x v="336"/>
    <s v="Student_336"/>
    <x v="7"/>
    <x v="3"/>
    <d v="2023-12-09T00:00:00"/>
    <x v="0"/>
    <n v="5425"/>
    <x v="330"/>
    <x v="113"/>
    <n v="17"/>
  </r>
  <r>
    <x v="337"/>
    <s v="Student_337"/>
    <x v="0"/>
    <x v="1"/>
    <d v="2024-01-15T00:00:00"/>
    <x v="0"/>
    <n v="3010"/>
    <x v="331"/>
    <x v="157"/>
    <n v="9"/>
  </r>
  <r>
    <x v="338"/>
    <s v="Student_338"/>
    <x v="7"/>
    <x v="2"/>
    <d v="2022-10-20T00:00:00"/>
    <x v="0"/>
    <n v="8290"/>
    <x v="332"/>
    <x v="79"/>
    <n v="72"/>
  </r>
  <r>
    <x v="339"/>
    <s v="Student_339"/>
    <x v="5"/>
    <x v="3"/>
    <d v="2023-05-16T00:00:00"/>
    <x v="0"/>
    <n v="3151"/>
    <x v="333"/>
    <x v="62"/>
    <n v="51"/>
  </r>
  <r>
    <x v="340"/>
    <s v="Student_340"/>
    <x v="1"/>
    <x v="0"/>
    <d v="2023-04-27T00:00:00"/>
    <x v="0"/>
    <n v="3317"/>
    <x v="334"/>
    <x v="16"/>
    <n v="85"/>
  </r>
  <r>
    <x v="341"/>
    <s v="Student_341"/>
    <x v="4"/>
    <x v="3"/>
    <d v="2022-02-19T00:00:00"/>
    <x v="0"/>
    <n v="4447"/>
    <x v="335"/>
    <x v="73"/>
    <n v="67"/>
  </r>
  <r>
    <x v="342"/>
    <s v="Student_342"/>
    <x v="3"/>
    <x v="1"/>
    <d v="2024-01-30T00:00:00"/>
    <x v="0"/>
    <n v="4390"/>
    <x v="336"/>
    <x v="158"/>
    <n v="119"/>
  </r>
  <r>
    <x v="343"/>
    <s v="Student_343"/>
    <x v="1"/>
    <x v="1"/>
    <d v="2023-01-19T00:00:00"/>
    <x v="0"/>
    <n v="12226"/>
    <x v="337"/>
    <x v="74"/>
    <n v="46"/>
  </r>
  <r>
    <x v="344"/>
    <s v="Student_344"/>
    <x v="7"/>
    <x v="0"/>
    <d v="2024-06-17T00:00:00"/>
    <x v="0"/>
    <n v="10765"/>
    <x v="338"/>
    <x v="148"/>
    <n v="109"/>
  </r>
  <r>
    <x v="345"/>
    <s v="Student_345"/>
    <x v="1"/>
    <x v="3"/>
    <d v="2023-09-14T00:00:00"/>
    <x v="0"/>
    <n v="6631"/>
    <x v="339"/>
    <x v="135"/>
    <n v="93"/>
  </r>
  <r>
    <x v="346"/>
    <s v="Student_346"/>
    <x v="4"/>
    <x v="0"/>
    <d v="2022-11-19T00:00:00"/>
    <x v="0"/>
    <n v="12250"/>
    <x v="340"/>
    <x v="60"/>
    <n v="23"/>
  </r>
  <r>
    <x v="347"/>
    <s v="Student_347"/>
    <x v="0"/>
    <x v="0"/>
    <d v="2022-03-21T00:00:00"/>
    <x v="0"/>
    <n v="8028"/>
    <x v="341"/>
    <x v="105"/>
    <n v="4"/>
  </r>
  <r>
    <x v="348"/>
    <s v="Student_348"/>
    <x v="0"/>
    <x v="3"/>
    <d v="2024-01-25T00:00:00"/>
    <x v="1"/>
    <n v="4948"/>
    <x v="342"/>
    <x v="2"/>
    <n v="119"/>
  </r>
  <r>
    <x v="349"/>
    <s v="Student_349"/>
    <x v="2"/>
    <x v="1"/>
    <d v="2024-03-31T00:00:00"/>
    <x v="0"/>
    <n v="5751"/>
    <x v="343"/>
    <x v="128"/>
    <n v="58"/>
  </r>
  <r>
    <x v="350"/>
    <s v="Student_350"/>
    <x v="3"/>
    <x v="1"/>
    <d v="2022-07-18T00:00:00"/>
    <x v="2"/>
    <n v="8271"/>
    <x v="344"/>
    <x v="13"/>
    <n v="101"/>
  </r>
  <r>
    <x v="351"/>
    <s v="Student_351"/>
    <x v="1"/>
    <x v="2"/>
    <d v="2024-01-21T00:00:00"/>
    <x v="0"/>
    <n v="11568"/>
    <x v="345"/>
    <x v="159"/>
    <n v="104"/>
  </r>
  <r>
    <x v="352"/>
    <s v="Student_352"/>
    <x v="0"/>
    <x v="1"/>
    <d v="2023-07-31T00:00:00"/>
    <x v="0"/>
    <n v="10825"/>
    <x v="346"/>
    <x v="159"/>
    <n v="3"/>
  </r>
  <r>
    <x v="353"/>
    <s v="Student_353"/>
    <x v="6"/>
    <x v="2"/>
    <d v="2022-07-06T00:00:00"/>
    <x v="1"/>
    <n v="7978"/>
    <x v="347"/>
    <x v="42"/>
    <n v="32"/>
  </r>
  <r>
    <x v="354"/>
    <s v="Student_354"/>
    <x v="2"/>
    <x v="0"/>
    <d v="2022-10-03T00:00:00"/>
    <x v="1"/>
    <n v="11708"/>
    <x v="348"/>
    <x v="131"/>
    <n v="49"/>
  </r>
  <r>
    <x v="355"/>
    <s v="Student_355"/>
    <x v="4"/>
    <x v="1"/>
    <d v="2022-01-01T00:00:00"/>
    <x v="0"/>
    <n v="14323"/>
    <x v="349"/>
    <x v="143"/>
    <n v="48"/>
  </r>
  <r>
    <x v="356"/>
    <s v="Student_356"/>
    <x v="6"/>
    <x v="0"/>
    <d v="2023-01-13T00:00:00"/>
    <x v="0"/>
    <n v="3253"/>
    <x v="350"/>
    <x v="59"/>
    <n v="69"/>
  </r>
  <r>
    <x v="357"/>
    <s v="Student_357"/>
    <x v="4"/>
    <x v="3"/>
    <d v="2023-08-30T00:00:00"/>
    <x v="0"/>
    <n v="14408"/>
    <x v="351"/>
    <x v="98"/>
    <n v="74"/>
  </r>
  <r>
    <x v="358"/>
    <s v="Student_358"/>
    <x v="7"/>
    <x v="0"/>
    <d v="2022-10-26T00:00:00"/>
    <x v="0"/>
    <n v="9948"/>
    <x v="352"/>
    <x v="6"/>
    <n v="9"/>
  </r>
  <r>
    <x v="359"/>
    <s v="Student_359"/>
    <x v="6"/>
    <x v="1"/>
    <d v="2023-12-29T00:00:00"/>
    <x v="2"/>
    <n v="8535"/>
    <x v="353"/>
    <x v="97"/>
    <n v="28"/>
  </r>
  <r>
    <x v="360"/>
    <s v="Student_360"/>
    <x v="4"/>
    <x v="2"/>
    <d v="2022-06-17T00:00:00"/>
    <x v="0"/>
    <n v="3685"/>
    <x v="354"/>
    <x v="23"/>
    <n v="5"/>
  </r>
  <r>
    <x v="361"/>
    <s v="Student_361"/>
    <x v="7"/>
    <x v="3"/>
    <d v="2024-05-26T00:00:00"/>
    <x v="2"/>
    <n v="13540"/>
    <x v="355"/>
    <x v="129"/>
    <n v="62"/>
  </r>
  <r>
    <x v="362"/>
    <s v="Student_362"/>
    <x v="3"/>
    <x v="1"/>
    <d v="2024-05-09T00:00:00"/>
    <x v="1"/>
    <n v="14073"/>
    <x v="356"/>
    <x v="47"/>
    <n v="3"/>
  </r>
  <r>
    <x v="363"/>
    <s v="Student_363"/>
    <x v="7"/>
    <x v="2"/>
    <d v="2023-12-05T00:00:00"/>
    <x v="1"/>
    <n v="6665"/>
    <x v="357"/>
    <x v="160"/>
    <n v="66"/>
  </r>
  <r>
    <x v="364"/>
    <s v="Student_364"/>
    <x v="2"/>
    <x v="3"/>
    <d v="2022-02-22T00:00:00"/>
    <x v="0"/>
    <n v="7095"/>
    <x v="358"/>
    <x v="101"/>
    <n v="98"/>
  </r>
  <r>
    <x v="365"/>
    <s v="Student_365"/>
    <x v="3"/>
    <x v="3"/>
    <d v="2022-09-22T00:00:00"/>
    <x v="0"/>
    <n v="14571"/>
    <x v="359"/>
    <x v="22"/>
    <n v="33"/>
  </r>
  <r>
    <x v="366"/>
    <s v="Student_366"/>
    <x v="3"/>
    <x v="2"/>
    <d v="2024-06-10T00:00:00"/>
    <x v="2"/>
    <n v="10830"/>
    <x v="360"/>
    <x v="115"/>
    <n v="83"/>
  </r>
  <r>
    <x v="367"/>
    <s v="Student_367"/>
    <x v="0"/>
    <x v="1"/>
    <d v="2023-11-11T00:00:00"/>
    <x v="2"/>
    <n v="8519"/>
    <x v="361"/>
    <x v="78"/>
    <n v="109"/>
  </r>
  <r>
    <x v="368"/>
    <s v="Student_368"/>
    <x v="4"/>
    <x v="1"/>
    <d v="2022-06-09T00:00:00"/>
    <x v="0"/>
    <n v="3664"/>
    <x v="362"/>
    <x v="109"/>
    <n v="112"/>
  </r>
  <r>
    <x v="369"/>
    <s v="Student_369"/>
    <x v="0"/>
    <x v="1"/>
    <d v="2022-09-29T00:00:00"/>
    <x v="0"/>
    <n v="2185"/>
    <x v="363"/>
    <x v="116"/>
    <n v="21"/>
  </r>
  <r>
    <x v="370"/>
    <s v="Student_370"/>
    <x v="1"/>
    <x v="2"/>
    <d v="2023-01-31T00:00:00"/>
    <x v="0"/>
    <n v="14842"/>
    <x v="364"/>
    <x v="51"/>
    <n v="5"/>
  </r>
  <r>
    <x v="371"/>
    <s v="Student_371"/>
    <x v="0"/>
    <x v="2"/>
    <d v="2022-05-24T00:00:00"/>
    <x v="1"/>
    <n v="4085"/>
    <x v="365"/>
    <x v="161"/>
    <n v="118"/>
  </r>
  <r>
    <x v="372"/>
    <s v="Student_372"/>
    <x v="0"/>
    <x v="3"/>
    <d v="2024-04-26T00:00:00"/>
    <x v="2"/>
    <n v="10083"/>
    <x v="366"/>
    <x v="162"/>
    <n v="51"/>
  </r>
  <r>
    <x v="373"/>
    <s v="Student_373"/>
    <x v="4"/>
    <x v="2"/>
    <d v="2022-09-14T00:00:00"/>
    <x v="0"/>
    <n v="7207"/>
    <x v="367"/>
    <x v="163"/>
    <n v="13"/>
  </r>
  <r>
    <x v="374"/>
    <s v="Student_374"/>
    <x v="6"/>
    <x v="1"/>
    <d v="2022-09-22T00:00:00"/>
    <x v="1"/>
    <n v="5212"/>
    <x v="368"/>
    <x v="95"/>
    <n v="107"/>
  </r>
  <r>
    <x v="375"/>
    <s v="Student_375"/>
    <x v="0"/>
    <x v="2"/>
    <d v="2022-03-10T00:00:00"/>
    <x v="0"/>
    <n v="9737"/>
    <x v="369"/>
    <x v="73"/>
    <n v="47"/>
  </r>
  <r>
    <x v="376"/>
    <s v="Student_376"/>
    <x v="5"/>
    <x v="3"/>
    <d v="2022-02-24T00:00:00"/>
    <x v="2"/>
    <n v="3123"/>
    <x v="370"/>
    <x v="164"/>
    <n v="48"/>
  </r>
  <r>
    <x v="377"/>
    <s v="Student_377"/>
    <x v="7"/>
    <x v="0"/>
    <d v="2023-07-15T00:00:00"/>
    <x v="0"/>
    <n v="2497"/>
    <x v="371"/>
    <x v="63"/>
    <n v="56"/>
  </r>
  <r>
    <x v="378"/>
    <s v="Student_378"/>
    <x v="1"/>
    <x v="1"/>
    <d v="2024-06-10T00:00:00"/>
    <x v="1"/>
    <n v="13114"/>
    <x v="372"/>
    <x v="30"/>
    <n v="67"/>
  </r>
  <r>
    <x v="379"/>
    <s v="Student_379"/>
    <x v="7"/>
    <x v="3"/>
    <d v="2022-03-20T00:00:00"/>
    <x v="0"/>
    <n v="12549"/>
    <x v="373"/>
    <x v="127"/>
    <n v="38"/>
  </r>
  <r>
    <x v="380"/>
    <s v="Student_380"/>
    <x v="0"/>
    <x v="2"/>
    <d v="2023-05-15T00:00:00"/>
    <x v="0"/>
    <n v="11461"/>
    <x v="374"/>
    <x v="131"/>
    <n v="73"/>
  </r>
  <r>
    <x v="381"/>
    <s v="Student_381"/>
    <x v="0"/>
    <x v="2"/>
    <d v="2023-05-22T00:00:00"/>
    <x v="2"/>
    <n v="13551"/>
    <x v="375"/>
    <x v="121"/>
    <n v="5"/>
  </r>
  <r>
    <x v="382"/>
    <s v="Student_382"/>
    <x v="2"/>
    <x v="0"/>
    <d v="2023-02-10T00:00:00"/>
    <x v="2"/>
    <n v="13139"/>
    <x v="376"/>
    <x v="165"/>
    <n v="119"/>
  </r>
  <r>
    <x v="383"/>
    <s v="Student_383"/>
    <x v="5"/>
    <x v="0"/>
    <d v="2023-08-25T00:00:00"/>
    <x v="0"/>
    <n v="4092"/>
    <x v="377"/>
    <x v="74"/>
    <n v="69"/>
  </r>
  <r>
    <x v="384"/>
    <s v="Student_384"/>
    <x v="4"/>
    <x v="3"/>
    <d v="2022-06-14T00:00:00"/>
    <x v="1"/>
    <n v="2153"/>
    <x v="378"/>
    <x v="166"/>
    <n v="30"/>
  </r>
  <r>
    <x v="385"/>
    <s v="Student_385"/>
    <x v="5"/>
    <x v="2"/>
    <d v="2022-04-25T00:00:00"/>
    <x v="0"/>
    <n v="8339"/>
    <x v="379"/>
    <x v="44"/>
    <n v="116"/>
  </r>
  <r>
    <x v="386"/>
    <s v="Student_386"/>
    <x v="6"/>
    <x v="0"/>
    <d v="2022-03-09T00:00:00"/>
    <x v="0"/>
    <n v="11121"/>
    <x v="380"/>
    <x v="103"/>
    <n v="42"/>
  </r>
  <r>
    <x v="387"/>
    <s v="Student_387"/>
    <x v="7"/>
    <x v="2"/>
    <d v="2022-06-29T00:00:00"/>
    <x v="0"/>
    <n v="7432"/>
    <x v="381"/>
    <x v="56"/>
    <n v="8"/>
  </r>
  <r>
    <x v="388"/>
    <s v="Student_388"/>
    <x v="5"/>
    <x v="3"/>
    <d v="2022-11-08T00:00:00"/>
    <x v="0"/>
    <n v="3537"/>
    <x v="382"/>
    <x v="82"/>
    <n v="19"/>
  </r>
  <r>
    <x v="389"/>
    <s v="Student_389"/>
    <x v="4"/>
    <x v="2"/>
    <d v="2022-04-17T00:00:00"/>
    <x v="0"/>
    <n v="9228"/>
    <x v="383"/>
    <x v="66"/>
    <n v="81"/>
  </r>
  <r>
    <x v="390"/>
    <s v="Student_390"/>
    <x v="5"/>
    <x v="0"/>
    <d v="2022-12-23T00:00:00"/>
    <x v="1"/>
    <n v="13877"/>
    <x v="384"/>
    <x v="44"/>
    <n v="69"/>
  </r>
  <r>
    <x v="391"/>
    <s v="Student_391"/>
    <x v="5"/>
    <x v="1"/>
    <d v="2023-07-05T00:00:00"/>
    <x v="0"/>
    <n v="10582"/>
    <x v="385"/>
    <x v="149"/>
    <n v="10"/>
  </r>
  <r>
    <x v="392"/>
    <s v="Student_392"/>
    <x v="7"/>
    <x v="0"/>
    <d v="2024-02-02T00:00:00"/>
    <x v="0"/>
    <n v="11913"/>
    <x v="386"/>
    <x v="150"/>
    <n v="92"/>
  </r>
  <r>
    <x v="393"/>
    <s v="Student_393"/>
    <x v="1"/>
    <x v="3"/>
    <d v="2023-06-25T00:00:00"/>
    <x v="0"/>
    <n v="4298"/>
    <x v="387"/>
    <x v="14"/>
    <n v="5"/>
  </r>
  <r>
    <x v="394"/>
    <s v="Student_394"/>
    <x v="7"/>
    <x v="0"/>
    <d v="2022-01-15T00:00:00"/>
    <x v="0"/>
    <n v="4756"/>
    <x v="388"/>
    <x v="167"/>
    <n v="105"/>
  </r>
  <r>
    <x v="395"/>
    <s v="Student_395"/>
    <x v="5"/>
    <x v="0"/>
    <d v="2022-11-17T00:00:00"/>
    <x v="0"/>
    <n v="3656"/>
    <x v="389"/>
    <x v="168"/>
    <n v="100"/>
  </r>
  <r>
    <x v="396"/>
    <s v="Student_396"/>
    <x v="6"/>
    <x v="3"/>
    <d v="2022-10-12T00:00:00"/>
    <x v="1"/>
    <n v="10433"/>
    <x v="390"/>
    <x v="110"/>
    <n v="108"/>
  </r>
  <r>
    <x v="397"/>
    <s v="Student_397"/>
    <x v="0"/>
    <x v="3"/>
    <d v="2023-01-19T00:00:00"/>
    <x v="0"/>
    <n v="7176"/>
    <x v="391"/>
    <x v="169"/>
    <n v="8"/>
  </r>
  <r>
    <x v="398"/>
    <s v="Student_398"/>
    <x v="0"/>
    <x v="2"/>
    <d v="2023-10-10T00:00:00"/>
    <x v="1"/>
    <n v="4923"/>
    <x v="392"/>
    <x v="117"/>
    <n v="47"/>
  </r>
  <r>
    <x v="399"/>
    <s v="Student_399"/>
    <x v="3"/>
    <x v="1"/>
    <d v="2023-08-31T00:00:00"/>
    <x v="0"/>
    <n v="11530"/>
    <x v="393"/>
    <x v="67"/>
    <n v="39"/>
  </r>
  <r>
    <x v="400"/>
    <s v="Student_400"/>
    <x v="5"/>
    <x v="1"/>
    <d v="2022-11-17T00:00:00"/>
    <x v="0"/>
    <n v="8885"/>
    <x v="394"/>
    <x v="170"/>
    <n v="90"/>
  </r>
  <r>
    <x v="401"/>
    <s v="Student_401"/>
    <x v="6"/>
    <x v="2"/>
    <d v="2024-06-08T00:00:00"/>
    <x v="0"/>
    <n v="10284"/>
    <x v="395"/>
    <x v="131"/>
    <n v="39"/>
  </r>
  <r>
    <x v="402"/>
    <s v="Student_402"/>
    <x v="5"/>
    <x v="3"/>
    <d v="2023-03-10T00:00:00"/>
    <x v="1"/>
    <n v="3783"/>
    <x v="396"/>
    <x v="160"/>
    <n v="88"/>
  </r>
  <r>
    <x v="403"/>
    <s v="Student_403"/>
    <x v="7"/>
    <x v="2"/>
    <d v="2023-12-03T00:00:00"/>
    <x v="2"/>
    <n v="2286"/>
    <x v="397"/>
    <x v="105"/>
    <n v="111"/>
  </r>
  <r>
    <x v="404"/>
    <s v="Student_404"/>
    <x v="4"/>
    <x v="0"/>
    <d v="2022-12-21T00:00:00"/>
    <x v="0"/>
    <n v="6531"/>
    <x v="398"/>
    <x v="121"/>
    <n v="36"/>
  </r>
  <r>
    <x v="405"/>
    <s v="Student_405"/>
    <x v="4"/>
    <x v="0"/>
    <d v="2022-04-23T00:00:00"/>
    <x v="0"/>
    <n v="5496"/>
    <x v="399"/>
    <x v="25"/>
    <n v="71"/>
  </r>
  <r>
    <x v="406"/>
    <s v="Student_406"/>
    <x v="6"/>
    <x v="0"/>
    <d v="2022-04-30T00:00:00"/>
    <x v="0"/>
    <n v="8341"/>
    <x v="400"/>
    <x v="24"/>
    <n v="39"/>
  </r>
  <r>
    <x v="407"/>
    <s v="Student_407"/>
    <x v="6"/>
    <x v="1"/>
    <d v="2022-07-25T00:00:00"/>
    <x v="1"/>
    <n v="3900"/>
    <x v="401"/>
    <x v="171"/>
    <n v="1"/>
  </r>
  <r>
    <x v="408"/>
    <s v="Student_408"/>
    <x v="4"/>
    <x v="0"/>
    <d v="2024-06-08T00:00:00"/>
    <x v="1"/>
    <n v="10931"/>
    <x v="402"/>
    <x v="114"/>
    <n v="97"/>
  </r>
  <r>
    <x v="409"/>
    <s v="Student_409"/>
    <x v="4"/>
    <x v="0"/>
    <d v="2023-09-30T00:00:00"/>
    <x v="0"/>
    <n v="13786"/>
    <x v="403"/>
    <x v="172"/>
    <n v="59"/>
  </r>
  <r>
    <x v="410"/>
    <s v="Student_410"/>
    <x v="4"/>
    <x v="3"/>
    <d v="2024-03-08T00:00:00"/>
    <x v="1"/>
    <n v="7556"/>
    <x v="404"/>
    <x v="83"/>
    <n v="109"/>
  </r>
  <r>
    <x v="411"/>
    <s v="Student_411"/>
    <x v="0"/>
    <x v="3"/>
    <d v="2023-06-11T00:00:00"/>
    <x v="0"/>
    <n v="2531"/>
    <x v="405"/>
    <x v="134"/>
    <n v="20"/>
  </r>
  <r>
    <x v="412"/>
    <s v="Student_412"/>
    <x v="3"/>
    <x v="3"/>
    <d v="2023-08-01T00:00:00"/>
    <x v="0"/>
    <n v="11002"/>
    <x v="406"/>
    <x v="81"/>
    <n v="43"/>
  </r>
  <r>
    <x v="413"/>
    <s v="Student_413"/>
    <x v="5"/>
    <x v="0"/>
    <d v="2023-01-24T00:00:00"/>
    <x v="0"/>
    <n v="11863"/>
    <x v="407"/>
    <x v="156"/>
    <n v="31"/>
  </r>
  <r>
    <x v="414"/>
    <s v="Student_414"/>
    <x v="1"/>
    <x v="0"/>
    <d v="2022-12-11T00:00:00"/>
    <x v="0"/>
    <n v="2264"/>
    <x v="408"/>
    <x v="173"/>
    <n v="73"/>
  </r>
  <r>
    <x v="415"/>
    <s v="Student_415"/>
    <x v="2"/>
    <x v="2"/>
    <d v="2022-12-04T00:00:00"/>
    <x v="0"/>
    <n v="10950"/>
    <x v="409"/>
    <x v="33"/>
    <n v="103"/>
  </r>
  <r>
    <x v="416"/>
    <s v="Student_416"/>
    <x v="6"/>
    <x v="1"/>
    <d v="2022-09-22T00:00:00"/>
    <x v="0"/>
    <n v="14054"/>
    <x v="410"/>
    <x v="11"/>
    <n v="72"/>
  </r>
  <r>
    <x v="417"/>
    <s v="Student_417"/>
    <x v="1"/>
    <x v="0"/>
    <d v="2022-09-18T00:00:00"/>
    <x v="0"/>
    <n v="3844"/>
    <x v="411"/>
    <x v="38"/>
    <n v="57"/>
  </r>
  <r>
    <x v="418"/>
    <s v="Student_418"/>
    <x v="1"/>
    <x v="3"/>
    <d v="2022-03-07T00:00:00"/>
    <x v="1"/>
    <n v="5442"/>
    <x v="412"/>
    <x v="120"/>
    <n v="23"/>
  </r>
  <r>
    <x v="419"/>
    <s v="Student_419"/>
    <x v="4"/>
    <x v="1"/>
    <d v="2022-07-03T00:00:00"/>
    <x v="0"/>
    <n v="6199"/>
    <x v="6"/>
    <x v="14"/>
    <n v="118"/>
  </r>
  <r>
    <x v="420"/>
    <s v="Student_420"/>
    <x v="3"/>
    <x v="1"/>
    <d v="2024-04-12T00:00:00"/>
    <x v="0"/>
    <n v="14814"/>
    <x v="413"/>
    <x v="108"/>
    <n v="109"/>
  </r>
  <r>
    <x v="421"/>
    <s v="Student_421"/>
    <x v="0"/>
    <x v="3"/>
    <d v="2023-11-17T00:00:00"/>
    <x v="1"/>
    <n v="7031"/>
    <x v="414"/>
    <x v="74"/>
    <n v="25"/>
  </r>
  <r>
    <x v="422"/>
    <s v="Student_422"/>
    <x v="5"/>
    <x v="0"/>
    <d v="2022-07-16T00:00:00"/>
    <x v="0"/>
    <n v="12388"/>
    <x v="415"/>
    <x v="48"/>
    <n v="93"/>
  </r>
  <r>
    <x v="423"/>
    <s v="Student_423"/>
    <x v="6"/>
    <x v="0"/>
    <d v="2024-01-12T00:00:00"/>
    <x v="1"/>
    <n v="12003"/>
    <x v="416"/>
    <x v="94"/>
    <n v="69"/>
  </r>
  <r>
    <x v="424"/>
    <s v="Student_424"/>
    <x v="1"/>
    <x v="2"/>
    <d v="2023-07-12T00:00:00"/>
    <x v="0"/>
    <n v="11667"/>
    <x v="417"/>
    <x v="9"/>
    <n v="45"/>
  </r>
  <r>
    <x v="425"/>
    <s v="Student_425"/>
    <x v="3"/>
    <x v="3"/>
    <d v="2022-06-02T00:00:00"/>
    <x v="0"/>
    <n v="12437"/>
    <x v="418"/>
    <x v="174"/>
    <n v="3"/>
  </r>
  <r>
    <x v="426"/>
    <s v="Student_426"/>
    <x v="4"/>
    <x v="1"/>
    <d v="2024-05-30T00:00:00"/>
    <x v="0"/>
    <n v="7135"/>
    <x v="419"/>
    <x v="2"/>
    <n v="66"/>
  </r>
  <r>
    <x v="427"/>
    <s v="Student_427"/>
    <x v="3"/>
    <x v="0"/>
    <d v="2023-02-12T00:00:00"/>
    <x v="2"/>
    <n v="13450"/>
    <x v="420"/>
    <x v="135"/>
    <n v="45"/>
  </r>
  <r>
    <x v="428"/>
    <s v="Student_428"/>
    <x v="3"/>
    <x v="0"/>
    <d v="2023-02-11T00:00:00"/>
    <x v="1"/>
    <n v="4844"/>
    <x v="421"/>
    <x v="51"/>
    <n v="42"/>
  </r>
  <r>
    <x v="429"/>
    <s v="Student_429"/>
    <x v="4"/>
    <x v="1"/>
    <d v="2023-03-16T00:00:00"/>
    <x v="0"/>
    <n v="6230"/>
    <x v="422"/>
    <x v="26"/>
    <n v="54"/>
  </r>
  <r>
    <x v="430"/>
    <s v="Student_430"/>
    <x v="3"/>
    <x v="1"/>
    <d v="2022-01-16T00:00:00"/>
    <x v="0"/>
    <n v="8045"/>
    <x v="423"/>
    <x v="143"/>
    <n v="112"/>
  </r>
  <r>
    <x v="431"/>
    <s v="Student_431"/>
    <x v="3"/>
    <x v="2"/>
    <d v="2023-05-14T00:00:00"/>
    <x v="0"/>
    <n v="14341"/>
    <x v="424"/>
    <x v="175"/>
    <n v="34"/>
  </r>
  <r>
    <x v="432"/>
    <s v="Student_432"/>
    <x v="0"/>
    <x v="0"/>
    <d v="2023-09-17T00:00:00"/>
    <x v="2"/>
    <n v="12361"/>
    <x v="425"/>
    <x v="90"/>
    <n v="62"/>
  </r>
  <r>
    <x v="433"/>
    <s v="Student_433"/>
    <x v="1"/>
    <x v="1"/>
    <d v="2023-06-23T00:00:00"/>
    <x v="0"/>
    <n v="5539"/>
    <x v="426"/>
    <x v="69"/>
    <n v="41"/>
  </r>
  <r>
    <x v="434"/>
    <s v="Student_434"/>
    <x v="2"/>
    <x v="1"/>
    <d v="2023-07-04T00:00:00"/>
    <x v="1"/>
    <n v="9848"/>
    <x v="427"/>
    <x v="15"/>
    <n v="24"/>
  </r>
  <r>
    <x v="435"/>
    <s v="Student_435"/>
    <x v="3"/>
    <x v="2"/>
    <d v="2022-07-21T00:00:00"/>
    <x v="0"/>
    <n v="3572"/>
    <x v="428"/>
    <x v="124"/>
    <n v="15"/>
  </r>
  <r>
    <x v="436"/>
    <s v="Student_436"/>
    <x v="6"/>
    <x v="2"/>
    <d v="2024-03-31T00:00:00"/>
    <x v="0"/>
    <n v="10473"/>
    <x v="429"/>
    <x v="69"/>
    <n v="89"/>
  </r>
  <r>
    <x v="437"/>
    <s v="Student_437"/>
    <x v="6"/>
    <x v="0"/>
    <d v="2024-04-02T00:00:00"/>
    <x v="0"/>
    <n v="14206"/>
    <x v="430"/>
    <x v="144"/>
    <n v="107"/>
  </r>
  <r>
    <x v="438"/>
    <s v="Student_438"/>
    <x v="4"/>
    <x v="0"/>
    <d v="2023-04-11T00:00:00"/>
    <x v="0"/>
    <n v="13152"/>
    <x v="431"/>
    <x v="176"/>
    <n v="32"/>
  </r>
  <r>
    <x v="439"/>
    <s v="Student_439"/>
    <x v="7"/>
    <x v="1"/>
    <d v="2023-07-29T00:00:00"/>
    <x v="0"/>
    <n v="4765"/>
    <x v="432"/>
    <x v="8"/>
    <n v="98"/>
  </r>
  <r>
    <x v="440"/>
    <s v="Student_440"/>
    <x v="0"/>
    <x v="3"/>
    <d v="2022-11-20T00:00:00"/>
    <x v="0"/>
    <n v="5955"/>
    <x v="433"/>
    <x v="177"/>
    <n v="28"/>
  </r>
  <r>
    <x v="441"/>
    <s v="Student_441"/>
    <x v="6"/>
    <x v="2"/>
    <d v="2024-05-03T00:00:00"/>
    <x v="0"/>
    <n v="7836"/>
    <x v="434"/>
    <x v="152"/>
    <n v="21"/>
  </r>
  <r>
    <x v="442"/>
    <s v="Student_442"/>
    <x v="6"/>
    <x v="2"/>
    <d v="2023-11-14T00:00:00"/>
    <x v="2"/>
    <n v="5721"/>
    <x v="435"/>
    <x v="34"/>
    <n v="95"/>
  </r>
  <r>
    <x v="443"/>
    <s v="Student_443"/>
    <x v="1"/>
    <x v="2"/>
    <d v="2023-04-04T00:00:00"/>
    <x v="0"/>
    <n v="11681"/>
    <x v="436"/>
    <x v="122"/>
    <n v="116"/>
  </r>
  <r>
    <x v="444"/>
    <s v="Student_444"/>
    <x v="7"/>
    <x v="0"/>
    <d v="2022-12-17T00:00:00"/>
    <x v="0"/>
    <n v="12943"/>
    <x v="437"/>
    <x v="178"/>
    <n v="47"/>
  </r>
  <r>
    <x v="445"/>
    <s v="Student_445"/>
    <x v="7"/>
    <x v="0"/>
    <d v="2024-06-01T00:00:00"/>
    <x v="2"/>
    <n v="5062"/>
    <x v="438"/>
    <x v="179"/>
    <n v="20"/>
  </r>
  <r>
    <x v="446"/>
    <s v="Student_446"/>
    <x v="4"/>
    <x v="0"/>
    <d v="2023-05-09T00:00:00"/>
    <x v="0"/>
    <n v="12038"/>
    <x v="439"/>
    <x v="12"/>
    <n v="117"/>
  </r>
  <r>
    <x v="447"/>
    <s v="Student_447"/>
    <x v="2"/>
    <x v="3"/>
    <d v="2022-03-07T00:00:00"/>
    <x v="0"/>
    <n v="12484"/>
    <x v="440"/>
    <x v="144"/>
    <n v="41"/>
  </r>
  <r>
    <x v="448"/>
    <s v="Student_448"/>
    <x v="1"/>
    <x v="1"/>
    <d v="2022-06-18T00:00:00"/>
    <x v="0"/>
    <n v="10278"/>
    <x v="441"/>
    <x v="86"/>
    <n v="105"/>
  </r>
  <r>
    <x v="449"/>
    <s v="Student_449"/>
    <x v="5"/>
    <x v="3"/>
    <d v="2024-04-25T00:00:00"/>
    <x v="1"/>
    <n v="14666"/>
    <x v="442"/>
    <x v="176"/>
    <n v="22"/>
  </r>
  <r>
    <x v="450"/>
    <s v="Student_450"/>
    <x v="7"/>
    <x v="3"/>
    <d v="2023-04-11T00:00:00"/>
    <x v="0"/>
    <n v="5773"/>
    <x v="443"/>
    <x v="26"/>
    <n v="1"/>
  </r>
  <r>
    <x v="451"/>
    <s v="Student_451"/>
    <x v="1"/>
    <x v="0"/>
    <d v="2023-07-28T00:00:00"/>
    <x v="1"/>
    <n v="14561"/>
    <x v="444"/>
    <x v="30"/>
    <n v="73"/>
  </r>
  <r>
    <x v="452"/>
    <s v="Student_452"/>
    <x v="1"/>
    <x v="3"/>
    <d v="2022-04-14T00:00:00"/>
    <x v="0"/>
    <n v="10266"/>
    <x v="445"/>
    <x v="22"/>
    <n v="97"/>
  </r>
  <r>
    <x v="453"/>
    <s v="Student_453"/>
    <x v="7"/>
    <x v="3"/>
    <d v="2023-09-08T00:00:00"/>
    <x v="0"/>
    <n v="7631"/>
    <x v="446"/>
    <x v="95"/>
    <n v="84"/>
  </r>
  <r>
    <x v="454"/>
    <s v="Student_454"/>
    <x v="1"/>
    <x v="0"/>
    <d v="2022-02-14T00:00:00"/>
    <x v="2"/>
    <n v="8113"/>
    <x v="447"/>
    <x v="35"/>
    <n v="23"/>
  </r>
  <r>
    <x v="455"/>
    <s v="Student_455"/>
    <x v="6"/>
    <x v="2"/>
    <d v="2022-01-20T00:00:00"/>
    <x v="2"/>
    <n v="8188"/>
    <x v="448"/>
    <x v="180"/>
    <n v="48"/>
  </r>
  <r>
    <x v="456"/>
    <s v="Student_456"/>
    <x v="5"/>
    <x v="0"/>
    <d v="2024-04-15T00:00:00"/>
    <x v="0"/>
    <n v="11072"/>
    <x v="449"/>
    <x v="181"/>
    <n v="2"/>
  </r>
  <r>
    <x v="457"/>
    <s v="Student_457"/>
    <x v="3"/>
    <x v="2"/>
    <d v="2024-02-16T00:00:00"/>
    <x v="0"/>
    <n v="10070"/>
    <x v="450"/>
    <x v="22"/>
    <n v="111"/>
  </r>
  <r>
    <x v="458"/>
    <s v="Student_458"/>
    <x v="3"/>
    <x v="1"/>
    <d v="2022-03-28T00:00:00"/>
    <x v="1"/>
    <n v="10311"/>
    <x v="451"/>
    <x v="32"/>
    <n v="104"/>
  </r>
  <r>
    <x v="459"/>
    <s v="Student_459"/>
    <x v="5"/>
    <x v="2"/>
    <d v="2024-01-17T00:00:00"/>
    <x v="0"/>
    <n v="7796"/>
    <x v="452"/>
    <x v="48"/>
    <n v="102"/>
  </r>
  <r>
    <x v="460"/>
    <s v="Student_460"/>
    <x v="1"/>
    <x v="1"/>
    <d v="2024-03-15T00:00:00"/>
    <x v="0"/>
    <n v="3923"/>
    <x v="453"/>
    <x v="127"/>
    <n v="63"/>
  </r>
  <r>
    <x v="461"/>
    <s v="Student_461"/>
    <x v="7"/>
    <x v="1"/>
    <d v="2023-02-11T00:00:00"/>
    <x v="1"/>
    <n v="11697"/>
    <x v="454"/>
    <x v="10"/>
    <n v="3"/>
  </r>
  <r>
    <x v="462"/>
    <s v="Student_462"/>
    <x v="4"/>
    <x v="1"/>
    <d v="2024-05-28T00:00:00"/>
    <x v="0"/>
    <n v="2666"/>
    <x v="455"/>
    <x v="91"/>
    <n v="10"/>
  </r>
  <r>
    <x v="463"/>
    <s v="Student_463"/>
    <x v="0"/>
    <x v="3"/>
    <d v="2022-03-30T00:00:00"/>
    <x v="0"/>
    <n v="7947"/>
    <x v="456"/>
    <x v="68"/>
    <n v="60"/>
  </r>
  <r>
    <x v="464"/>
    <s v="Student_464"/>
    <x v="2"/>
    <x v="2"/>
    <d v="2023-02-26T00:00:00"/>
    <x v="1"/>
    <n v="10596"/>
    <x v="457"/>
    <x v="173"/>
    <n v="118"/>
  </r>
  <r>
    <x v="465"/>
    <s v="Student_465"/>
    <x v="6"/>
    <x v="2"/>
    <d v="2022-09-03T00:00:00"/>
    <x v="0"/>
    <n v="8634"/>
    <x v="458"/>
    <x v="75"/>
    <n v="41"/>
  </r>
  <r>
    <x v="466"/>
    <s v="Student_466"/>
    <x v="4"/>
    <x v="2"/>
    <d v="2023-05-14T00:00:00"/>
    <x v="1"/>
    <n v="10367"/>
    <x v="459"/>
    <x v="88"/>
    <n v="110"/>
  </r>
  <r>
    <x v="467"/>
    <s v="Student_467"/>
    <x v="1"/>
    <x v="0"/>
    <d v="2022-07-23T00:00:00"/>
    <x v="1"/>
    <n v="10339"/>
    <x v="460"/>
    <x v="67"/>
    <n v="49"/>
  </r>
  <r>
    <x v="468"/>
    <s v="Student_468"/>
    <x v="7"/>
    <x v="0"/>
    <d v="2024-02-17T00:00:00"/>
    <x v="1"/>
    <n v="5503"/>
    <x v="461"/>
    <x v="147"/>
    <n v="35"/>
  </r>
  <r>
    <x v="469"/>
    <s v="Student_469"/>
    <x v="3"/>
    <x v="1"/>
    <d v="2023-03-12T00:00:00"/>
    <x v="1"/>
    <n v="7289"/>
    <x v="462"/>
    <x v="25"/>
    <n v="73"/>
  </r>
  <r>
    <x v="470"/>
    <s v="Student_470"/>
    <x v="3"/>
    <x v="0"/>
    <d v="2022-05-03T00:00:00"/>
    <x v="0"/>
    <n v="11474"/>
    <x v="285"/>
    <x v="171"/>
    <n v="91"/>
  </r>
  <r>
    <x v="471"/>
    <s v="Student_471"/>
    <x v="4"/>
    <x v="0"/>
    <d v="2024-05-04T00:00:00"/>
    <x v="2"/>
    <n v="10970"/>
    <x v="463"/>
    <x v="152"/>
    <n v="9"/>
  </r>
  <r>
    <x v="472"/>
    <s v="Student_472"/>
    <x v="3"/>
    <x v="0"/>
    <d v="2023-11-30T00:00:00"/>
    <x v="1"/>
    <n v="10927"/>
    <x v="464"/>
    <x v="153"/>
    <n v="31"/>
  </r>
  <r>
    <x v="473"/>
    <s v="Student_473"/>
    <x v="5"/>
    <x v="3"/>
    <d v="2022-07-23T00:00:00"/>
    <x v="0"/>
    <n v="8469"/>
    <x v="465"/>
    <x v="182"/>
    <n v="9"/>
  </r>
  <r>
    <x v="474"/>
    <s v="Student_474"/>
    <x v="7"/>
    <x v="2"/>
    <d v="2022-07-03T00:00:00"/>
    <x v="0"/>
    <n v="13334"/>
    <x v="466"/>
    <x v="93"/>
    <n v="57"/>
  </r>
  <r>
    <x v="475"/>
    <s v="Student_475"/>
    <x v="3"/>
    <x v="3"/>
    <d v="2022-11-16T00:00:00"/>
    <x v="0"/>
    <n v="11400"/>
    <x v="467"/>
    <x v="32"/>
    <n v="0"/>
  </r>
  <r>
    <x v="476"/>
    <s v="Student_476"/>
    <x v="0"/>
    <x v="1"/>
    <d v="2022-11-11T00:00:00"/>
    <x v="0"/>
    <n v="11931"/>
    <x v="468"/>
    <x v="147"/>
    <n v="8"/>
  </r>
  <r>
    <x v="477"/>
    <s v="Student_477"/>
    <x v="2"/>
    <x v="3"/>
    <d v="2022-10-29T00:00:00"/>
    <x v="0"/>
    <n v="12019"/>
    <x v="469"/>
    <x v="93"/>
    <n v="12"/>
  </r>
  <r>
    <x v="478"/>
    <s v="Student_478"/>
    <x v="7"/>
    <x v="2"/>
    <d v="2022-07-14T00:00:00"/>
    <x v="0"/>
    <n v="6419"/>
    <x v="470"/>
    <x v="96"/>
    <n v="93"/>
  </r>
  <r>
    <x v="479"/>
    <s v="Student_479"/>
    <x v="3"/>
    <x v="2"/>
    <d v="2023-05-24T00:00:00"/>
    <x v="1"/>
    <n v="3561"/>
    <x v="471"/>
    <x v="9"/>
    <n v="63"/>
  </r>
  <r>
    <x v="480"/>
    <s v="Student_480"/>
    <x v="1"/>
    <x v="2"/>
    <d v="2022-08-26T00:00:00"/>
    <x v="1"/>
    <n v="3683"/>
    <x v="311"/>
    <x v="38"/>
    <n v="102"/>
  </r>
  <r>
    <x v="481"/>
    <s v="Student_481"/>
    <x v="2"/>
    <x v="3"/>
    <d v="2024-05-12T00:00:00"/>
    <x v="0"/>
    <n v="6365"/>
    <x v="472"/>
    <x v="8"/>
    <n v="20"/>
  </r>
  <r>
    <x v="482"/>
    <s v="Student_482"/>
    <x v="0"/>
    <x v="2"/>
    <d v="2022-10-25T00:00:00"/>
    <x v="1"/>
    <n v="9763"/>
    <x v="473"/>
    <x v="68"/>
    <n v="69"/>
  </r>
  <r>
    <x v="483"/>
    <s v="Student_483"/>
    <x v="2"/>
    <x v="0"/>
    <d v="2022-07-23T00:00:00"/>
    <x v="0"/>
    <n v="8244"/>
    <x v="474"/>
    <x v="168"/>
    <n v="20"/>
  </r>
  <r>
    <x v="484"/>
    <s v="Student_484"/>
    <x v="3"/>
    <x v="1"/>
    <d v="2022-01-21T00:00:00"/>
    <x v="1"/>
    <n v="14276"/>
    <x v="475"/>
    <x v="183"/>
    <n v="1"/>
  </r>
  <r>
    <x v="485"/>
    <s v="Student_485"/>
    <x v="4"/>
    <x v="3"/>
    <d v="2022-06-24T00:00:00"/>
    <x v="1"/>
    <n v="5843"/>
    <x v="476"/>
    <x v="177"/>
    <n v="28"/>
  </r>
  <r>
    <x v="486"/>
    <s v="Student_486"/>
    <x v="0"/>
    <x v="0"/>
    <d v="2023-08-02T00:00:00"/>
    <x v="0"/>
    <n v="10937"/>
    <x v="477"/>
    <x v="179"/>
    <n v="109"/>
  </r>
  <r>
    <x v="487"/>
    <s v="Student_487"/>
    <x v="0"/>
    <x v="3"/>
    <d v="2023-08-08T00:00:00"/>
    <x v="0"/>
    <n v="4056"/>
    <x v="478"/>
    <x v="184"/>
    <n v="97"/>
  </r>
  <r>
    <x v="488"/>
    <s v="Student_488"/>
    <x v="3"/>
    <x v="1"/>
    <d v="2022-01-31T00:00:00"/>
    <x v="0"/>
    <n v="10757"/>
    <x v="479"/>
    <x v="110"/>
    <n v="93"/>
  </r>
  <r>
    <x v="489"/>
    <s v="Student_489"/>
    <x v="5"/>
    <x v="1"/>
    <d v="2023-10-21T00:00:00"/>
    <x v="0"/>
    <n v="5023"/>
    <x v="480"/>
    <x v="3"/>
    <n v="11"/>
  </r>
  <r>
    <x v="490"/>
    <s v="Student_490"/>
    <x v="5"/>
    <x v="2"/>
    <d v="2024-02-11T00:00:00"/>
    <x v="1"/>
    <n v="6821"/>
    <x v="481"/>
    <x v="9"/>
    <n v="70"/>
  </r>
  <r>
    <x v="491"/>
    <s v="Student_491"/>
    <x v="6"/>
    <x v="3"/>
    <d v="2024-05-13T00:00:00"/>
    <x v="0"/>
    <n v="3545"/>
    <x v="482"/>
    <x v="82"/>
    <n v="12"/>
  </r>
  <r>
    <x v="492"/>
    <s v="Student_492"/>
    <x v="1"/>
    <x v="2"/>
    <d v="2022-11-19T00:00:00"/>
    <x v="0"/>
    <n v="14219"/>
    <x v="483"/>
    <x v="163"/>
    <n v="98"/>
  </r>
  <r>
    <x v="493"/>
    <s v="Student_493"/>
    <x v="4"/>
    <x v="3"/>
    <d v="2022-10-29T00:00:00"/>
    <x v="2"/>
    <n v="3235"/>
    <x v="484"/>
    <x v="47"/>
    <n v="119"/>
  </r>
  <r>
    <x v="494"/>
    <s v="Student_494"/>
    <x v="5"/>
    <x v="2"/>
    <d v="2022-09-13T00:00:00"/>
    <x v="0"/>
    <n v="12764"/>
    <x v="485"/>
    <x v="90"/>
    <n v="108"/>
  </r>
  <r>
    <x v="495"/>
    <s v="Student_495"/>
    <x v="4"/>
    <x v="0"/>
    <d v="2023-11-26T00:00:00"/>
    <x v="1"/>
    <n v="7033"/>
    <x v="486"/>
    <x v="152"/>
    <n v="7"/>
  </r>
  <r>
    <x v="496"/>
    <s v="Student_496"/>
    <x v="3"/>
    <x v="2"/>
    <d v="2022-03-29T00:00:00"/>
    <x v="2"/>
    <n v="13290"/>
    <x v="487"/>
    <x v="0"/>
    <n v="75"/>
  </r>
  <r>
    <x v="497"/>
    <s v="Student_497"/>
    <x v="0"/>
    <x v="0"/>
    <d v="2022-07-15T00:00:00"/>
    <x v="0"/>
    <n v="12663"/>
    <x v="488"/>
    <x v="3"/>
    <n v="110"/>
  </r>
  <r>
    <x v="498"/>
    <s v="Student_498"/>
    <x v="7"/>
    <x v="3"/>
    <d v="2023-08-11T00:00:00"/>
    <x v="1"/>
    <n v="3630"/>
    <x v="489"/>
    <x v="118"/>
    <n v="67"/>
  </r>
  <r>
    <x v="499"/>
    <s v="Student_499"/>
    <x v="7"/>
    <x v="3"/>
    <d v="2023-03-06T00:00:00"/>
    <x v="0"/>
    <n v="14263"/>
    <x v="490"/>
    <x v="36"/>
    <n v="53"/>
  </r>
  <r>
    <x v="500"/>
    <s v="Student_500"/>
    <x v="2"/>
    <x v="2"/>
    <d v="2023-06-20T00:00:00"/>
    <x v="1"/>
    <n v="12155"/>
    <x v="491"/>
    <x v="160"/>
    <n v="21"/>
  </r>
  <r>
    <x v="501"/>
    <s v="Student_501"/>
    <x v="4"/>
    <x v="1"/>
    <d v="2024-02-06T00:00:00"/>
    <x v="1"/>
    <n v="4867"/>
    <x v="492"/>
    <x v="108"/>
    <n v="1"/>
  </r>
  <r>
    <x v="502"/>
    <s v="Student_502"/>
    <x v="5"/>
    <x v="1"/>
    <d v="2022-01-17T00:00:00"/>
    <x v="1"/>
    <n v="13284"/>
    <x v="493"/>
    <x v="174"/>
    <n v="48"/>
  </r>
  <r>
    <x v="503"/>
    <s v="Student_503"/>
    <x v="1"/>
    <x v="3"/>
    <d v="2022-05-10T00:00:00"/>
    <x v="0"/>
    <n v="10971"/>
    <x v="494"/>
    <x v="73"/>
    <n v="67"/>
  </r>
  <r>
    <x v="504"/>
    <s v="Student_504"/>
    <x v="5"/>
    <x v="2"/>
    <d v="2023-06-14T00:00:00"/>
    <x v="0"/>
    <n v="10845"/>
    <x v="495"/>
    <x v="88"/>
    <n v="73"/>
  </r>
  <r>
    <x v="505"/>
    <s v="Student_505"/>
    <x v="4"/>
    <x v="2"/>
    <d v="2022-05-18T00:00:00"/>
    <x v="2"/>
    <n v="3925"/>
    <x v="496"/>
    <x v="83"/>
    <n v="73"/>
  </r>
  <r>
    <x v="506"/>
    <s v="Student_506"/>
    <x v="2"/>
    <x v="1"/>
    <d v="2023-12-14T00:00:00"/>
    <x v="1"/>
    <n v="9717"/>
    <x v="497"/>
    <x v="86"/>
    <n v="15"/>
  </r>
  <r>
    <x v="507"/>
    <s v="Student_507"/>
    <x v="1"/>
    <x v="1"/>
    <d v="2023-10-12T00:00:00"/>
    <x v="1"/>
    <n v="9611"/>
    <x v="498"/>
    <x v="114"/>
    <n v="94"/>
  </r>
  <r>
    <x v="508"/>
    <s v="Student_508"/>
    <x v="6"/>
    <x v="1"/>
    <d v="2023-12-29T00:00:00"/>
    <x v="1"/>
    <n v="7850"/>
    <x v="499"/>
    <x v="124"/>
    <n v="14"/>
  </r>
  <r>
    <x v="509"/>
    <s v="Student_509"/>
    <x v="0"/>
    <x v="0"/>
    <d v="2023-02-24T00:00:00"/>
    <x v="0"/>
    <n v="13973"/>
    <x v="500"/>
    <x v="116"/>
    <n v="10"/>
  </r>
  <r>
    <x v="510"/>
    <s v="Student_510"/>
    <x v="6"/>
    <x v="2"/>
    <d v="2024-01-27T00:00:00"/>
    <x v="0"/>
    <n v="9294"/>
    <x v="501"/>
    <x v="13"/>
    <n v="57"/>
  </r>
  <r>
    <x v="511"/>
    <s v="Student_511"/>
    <x v="4"/>
    <x v="0"/>
    <d v="2022-07-29T00:00:00"/>
    <x v="1"/>
    <n v="9133"/>
    <x v="502"/>
    <x v="78"/>
    <n v="42"/>
  </r>
  <r>
    <x v="512"/>
    <s v="Student_512"/>
    <x v="4"/>
    <x v="0"/>
    <d v="2024-04-18T00:00:00"/>
    <x v="2"/>
    <n v="9782"/>
    <x v="503"/>
    <x v="22"/>
    <n v="66"/>
  </r>
  <r>
    <x v="513"/>
    <s v="Student_513"/>
    <x v="0"/>
    <x v="0"/>
    <d v="2024-06-13T00:00:00"/>
    <x v="1"/>
    <n v="5574"/>
    <x v="504"/>
    <x v="31"/>
    <n v="1"/>
  </r>
  <r>
    <x v="514"/>
    <s v="Student_514"/>
    <x v="1"/>
    <x v="3"/>
    <d v="2022-01-17T00:00:00"/>
    <x v="0"/>
    <n v="6629"/>
    <x v="505"/>
    <x v="25"/>
    <n v="31"/>
  </r>
  <r>
    <x v="515"/>
    <s v="Student_515"/>
    <x v="4"/>
    <x v="1"/>
    <d v="2022-11-24T00:00:00"/>
    <x v="0"/>
    <n v="10972"/>
    <x v="506"/>
    <x v="185"/>
    <n v="15"/>
  </r>
  <r>
    <x v="516"/>
    <s v="Student_516"/>
    <x v="2"/>
    <x v="1"/>
    <d v="2022-01-31T00:00:00"/>
    <x v="1"/>
    <n v="14926"/>
    <x v="507"/>
    <x v="186"/>
    <n v="97"/>
  </r>
  <r>
    <x v="517"/>
    <s v="Student_517"/>
    <x v="5"/>
    <x v="2"/>
    <d v="2024-03-25T00:00:00"/>
    <x v="0"/>
    <n v="4128"/>
    <x v="508"/>
    <x v="74"/>
    <n v="32"/>
  </r>
  <r>
    <x v="518"/>
    <s v="Student_518"/>
    <x v="6"/>
    <x v="3"/>
    <d v="2024-03-23T00:00:00"/>
    <x v="0"/>
    <n v="3774"/>
    <x v="509"/>
    <x v="57"/>
    <n v="63"/>
  </r>
  <r>
    <x v="519"/>
    <s v="Student_519"/>
    <x v="6"/>
    <x v="3"/>
    <d v="2022-10-24T00:00:00"/>
    <x v="0"/>
    <n v="9643"/>
    <x v="510"/>
    <x v="92"/>
    <n v="26"/>
  </r>
  <r>
    <x v="520"/>
    <s v="Student_520"/>
    <x v="3"/>
    <x v="3"/>
    <d v="2022-06-20T00:00:00"/>
    <x v="1"/>
    <n v="9016"/>
    <x v="511"/>
    <x v="88"/>
    <n v="62"/>
  </r>
  <r>
    <x v="521"/>
    <s v="Student_521"/>
    <x v="7"/>
    <x v="1"/>
    <d v="2024-06-15T00:00:00"/>
    <x v="0"/>
    <n v="6221"/>
    <x v="512"/>
    <x v="13"/>
    <n v="103"/>
  </r>
  <r>
    <x v="522"/>
    <s v="Student_522"/>
    <x v="3"/>
    <x v="3"/>
    <d v="2022-04-10T00:00:00"/>
    <x v="0"/>
    <n v="3532"/>
    <x v="513"/>
    <x v="74"/>
    <n v="115"/>
  </r>
  <r>
    <x v="523"/>
    <s v="Student_523"/>
    <x v="5"/>
    <x v="2"/>
    <d v="2024-06-05T00:00:00"/>
    <x v="0"/>
    <n v="9455"/>
    <x v="514"/>
    <x v="146"/>
    <n v="15"/>
  </r>
  <r>
    <x v="524"/>
    <s v="Student_524"/>
    <x v="0"/>
    <x v="2"/>
    <d v="2024-06-09T00:00:00"/>
    <x v="1"/>
    <n v="4219"/>
    <x v="515"/>
    <x v="47"/>
    <n v="79"/>
  </r>
  <r>
    <x v="525"/>
    <s v="Student_525"/>
    <x v="5"/>
    <x v="1"/>
    <d v="2022-06-01T00:00:00"/>
    <x v="0"/>
    <n v="2395"/>
    <x v="516"/>
    <x v="44"/>
    <n v="53"/>
  </r>
  <r>
    <x v="526"/>
    <s v="Student_526"/>
    <x v="4"/>
    <x v="2"/>
    <d v="2023-11-19T00:00:00"/>
    <x v="2"/>
    <n v="9775"/>
    <x v="517"/>
    <x v="8"/>
    <n v="32"/>
  </r>
  <r>
    <x v="527"/>
    <s v="Student_527"/>
    <x v="1"/>
    <x v="3"/>
    <d v="2022-01-21T00:00:00"/>
    <x v="0"/>
    <n v="4629"/>
    <x v="518"/>
    <x v="13"/>
    <n v="34"/>
  </r>
  <r>
    <x v="528"/>
    <s v="Student_528"/>
    <x v="2"/>
    <x v="2"/>
    <d v="2022-01-09T00:00:00"/>
    <x v="0"/>
    <n v="7248"/>
    <x v="519"/>
    <x v="163"/>
    <n v="49"/>
  </r>
  <r>
    <x v="529"/>
    <s v="Student_529"/>
    <x v="0"/>
    <x v="3"/>
    <d v="2023-09-25T00:00:00"/>
    <x v="1"/>
    <n v="4602"/>
    <x v="520"/>
    <x v="92"/>
    <n v="67"/>
  </r>
  <r>
    <x v="530"/>
    <s v="Student_530"/>
    <x v="6"/>
    <x v="2"/>
    <d v="2024-03-03T00:00:00"/>
    <x v="0"/>
    <n v="10379"/>
    <x v="521"/>
    <x v="85"/>
    <n v="76"/>
  </r>
  <r>
    <x v="531"/>
    <s v="Student_531"/>
    <x v="5"/>
    <x v="0"/>
    <d v="2022-09-20T00:00:00"/>
    <x v="1"/>
    <n v="11404"/>
    <x v="522"/>
    <x v="134"/>
    <n v="81"/>
  </r>
  <r>
    <x v="532"/>
    <s v="Student_532"/>
    <x v="2"/>
    <x v="3"/>
    <d v="2022-09-17T00:00:00"/>
    <x v="0"/>
    <n v="2748"/>
    <x v="523"/>
    <x v="187"/>
    <n v="89"/>
  </r>
  <r>
    <x v="533"/>
    <s v="Student_533"/>
    <x v="5"/>
    <x v="2"/>
    <d v="2023-08-20T00:00:00"/>
    <x v="0"/>
    <n v="14781"/>
    <x v="524"/>
    <x v="26"/>
    <n v="79"/>
  </r>
  <r>
    <x v="534"/>
    <s v="Student_534"/>
    <x v="6"/>
    <x v="3"/>
    <d v="2023-10-16T00:00:00"/>
    <x v="0"/>
    <n v="8468"/>
    <x v="525"/>
    <x v="169"/>
    <n v="117"/>
  </r>
  <r>
    <x v="535"/>
    <s v="Student_535"/>
    <x v="2"/>
    <x v="3"/>
    <d v="2022-10-30T00:00:00"/>
    <x v="2"/>
    <n v="3482"/>
    <x v="526"/>
    <x v="84"/>
    <n v="62"/>
  </r>
  <r>
    <x v="536"/>
    <s v="Student_536"/>
    <x v="0"/>
    <x v="1"/>
    <d v="2022-09-12T00:00:00"/>
    <x v="1"/>
    <n v="10273"/>
    <x v="527"/>
    <x v="134"/>
    <n v="59"/>
  </r>
  <r>
    <x v="537"/>
    <s v="Student_537"/>
    <x v="6"/>
    <x v="0"/>
    <d v="2022-11-13T00:00:00"/>
    <x v="0"/>
    <n v="3359"/>
    <x v="528"/>
    <x v="172"/>
    <n v="73"/>
  </r>
  <r>
    <x v="538"/>
    <s v="Student_538"/>
    <x v="2"/>
    <x v="2"/>
    <d v="2024-03-21T00:00:00"/>
    <x v="0"/>
    <n v="12403"/>
    <x v="529"/>
    <x v="135"/>
    <n v="48"/>
  </r>
  <r>
    <x v="539"/>
    <s v="Student_539"/>
    <x v="6"/>
    <x v="1"/>
    <d v="2023-08-18T00:00:00"/>
    <x v="2"/>
    <n v="14781"/>
    <x v="530"/>
    <x v="48"/>
    <n v="16"/>
  </r>
  <r>
    <x v="540"/>
    <s v="Student_540"/>
    <x v="3"/>
    <x v="1"/>
    <d v="2022-01-15T00:00:00"/>
    <x v="2"/>
    <n v="11844"/>
    <x v="531"/>
    <x v="34"/>
    <n v="115"/>
  </r>
  <r>
    <x v="541"/>
    <s v="Student_541"/>
    <x v="3"/>
    <x v="3"/>
    <d v="2022-07-11T00:00:00"/>
    <x v="0"/>
    <n v="13562"/>
    <x v="532"/>
    <x v="131"/>
    <n v="83"/>
  </r>
  <r>
    <x v="542"/>
    <s v="Student_542"/>
    <x v="4"/>
    <x v="1"/>
    <d v="2022-01-24T00:00:00"/>
    <x v="0"/>
    <n v="6188"/>
    <x v="6"/>
    <x v="84"/>
    <n v="45"/>
  </r>
  <r>
    <x v="543"/>
    <s v="Student_543"/>
    <x v="6"/>
    <x v="3"/>
    <d v="2023-12-16T00:00:00"/>
    <x v="0"/>
    <n v="9594"/>
    <x v="533"/>
    <x v="116"/>
    <n v="96"/>
  </r>
  <r>
    <x v="544"/>
    <s v="Student_544"/>
    <x v="6"/>
    <x v="0"/>
    <d v="2023-06-05T00:00:00"/>
    <x v="2"/>
    <n v="11109"/>
    <x v="534"/>
    <x v="15"/>
    <n v="109"/>
  </r>
  <r>
    <x v="545"/>
    <s v="Student_545"/>
    <x v="4"/>
    <x v="1"/>
    <d v="2023-05-31T00:00:00"/>
    <x v="0"/>
    <n v="13950"/>
    <x v="535"/>
    <x v="90"/>
    <n v="103"/>
  </r>
  <r>
    <x v="546"/>
    <s v="Student_546"/>
    <x v="3"/>
    <x v="1"/>
    <d v="2023-03-04T00:00:00"/>
    <x v="0"/>
    <n v="13070"/>
    <x v="536"/>
    <x v="188"/>
    <n v="94"/>
  </r>
  <r>
    <x v="547"/>
    <s v="Student_547"/>
    <x v="7"/>
    <x v="2"/>
    <d v="2022-04-22T00:00:00"/>
    <x v="2"/>
    <n v="6161"/>
    <x v="537"/>
    <x v="130"/>
    <n v="50"/>
  </r>
  <r>
    <x v="548"/>
    <s v="Student_548"/>
    <x v="4"/>
    <x v="0"/>
    <d v="2023-05-06T00:00:00"/>
    <x v="1"/>
    <n v="14816"/>
    <x v="538"/>
    <x v="129"/>
    <n v="31"/>
  </r>
  <r>
    <x v="549"/>
    <s v="Student_549"/>
    <x v="1"/>
    <x v="1"/>
    <d v="2024-02-28T00:00:00"/>
    <x v="1"/>
    <n v="4781"/>
    <x v="539"/>
    <x v="189"/>
    <n v="32"/>
  </r>
  <r>
    <x v="550"/>
    <s v="Student_550"/>
    <x v="0"/>
    <x v="0"/>
    <d v="2024-05-16T00:00:00"/>
    <x v="2"/>
    <n v="9289"/>
    <x v="540"/>
    <x v="145"/>
    <n v="105"/>
  </r>
  <r>
    <x v="551"/>
    <s v="Student_551"/>
    <x v="1"/>
    <x v="2"/>
    <d v="2024-03-19T00:00:00"/>
    <x v="0"/>
    <n v="4151"/>
    <x v="541"/>
    <x v="132"/>
    <n v="45"/>
  </r>
  <r>
    <x v="552"/>
    <s v="Student_552"/>
    <x v="3"/>
    <x v="1"/>
    <d v="2023-02-09T00:00:00"/>
    <x v="1"/>
    <n v="13343"/>
    <x v="542"/>
    <x v="154"/>
    <n v="39"/>
  </r>
  <r>
    <x v="553"/>
    <s v="Student_553"/>
    <x v="3"/>
    <x v="2"/>
    <d v="2023-07-08T00:00:00"/>
    <x v="0"/>
    <n v="2460"/>
    <x v="543"/>
    <x v="36"/>
    <n v="62"/>
  </r>
  <r>
    <x v="554"/>
    <s v="Student_554"/>
    <x v="4"/>
    <x v="0"/>
    <d v="2023-10-05T00:00:00"/>
    <x v="1"/>
    <n v="10553"/>
    <x v="544"/>
    <x v="90"/>
    <n v="3"/>
  </r>
  <r>
    <x v="555"/>
    <s v="Student_555"/>
    <x v="4"/>
    <x v="2"/>
    <d v="2023-05-14T00:00:00"/>
    <x v="1"/>
    <n v="5975"/>
    <x v="545"/>
    <x v="69"/>
    <n v="96"/>
  </r>
  <r>
    <x v="556"/>
    <s v="Student_556"/>
    <x v="4"/>
    <x v="0"/>
    <d v="2024-05-10T00:00:00"/>
    <x v="0"/>
    <n v="9200"/>
    <x v="546"/>
    <x v="117"/>
    <n v="97"/>
  </r>
  <r>
    <x v="557"/>
    <s v="Student_557"/>
    <x v="0"/>
    <x v="0"/>
    <d v="2023-05-19T00:00:00"/>
    <x v="1"/>
    <n v="7875"/>
    <x v="547"/>
    <x v="177"/>
    <n v="90"/>
  </r>
  <r>
    <x v="558"/>
    <s v="Student_558"/>
    <x v="6"/>
    <x v="3"/>
    <d v="2022-06-13T00:00:00"/>
    <x v="0"/>
    <n v="9704"/>
    <x v="548"/>
    <x v="190"/>
    <n v="101"/>
  </r>
  <r>
    <x v="559"/>
    <s v="Student_559"/>
    <x v="7"/>
    <x v="2"/>
    <d v="2022-10-24T00:00:00"/>
    <x v="0"/>
    <n v="13578"/>
    <x v="549"/>
    <x v="11"/>
    <n v="33"/>
  </r>
  <r>
    <x v="560"/>
    <s v="Student_560"/>
    <x v="6"/>
    <x v="0"/>
    <d v="2022-07-10T00:00:00"/>
    <x v="2"/>
    <n v="3192"/>
    <x v="550"/>
    <x v="79"/>
    <n v="86"/>
  </r>
  <r>
    <x v="561"/>
    <s v="Student_561"/>
    <x v="1"/>
    <x v="1"/>
    <d v="2023-08-22T00:00:00"/>
    <x v="0"/>
    <n v="7449"/>
    <x v="551"/>
    <x v="131"/>
    <n v="77"/>
  </r>
  <r>
    <x v="562"/>
    <s v="Student_562"/>
    <x v="5"/>
    <x v="2"/>
    <d v="2023-12-06T00:00:00"/>
    <x v="0"/>
    <n v="2638"/>
    <x v="552"/>
    <x v="123"/>
    <n v="20"/>
  </r>
  <r>
    <x v="563"/>
    <s v="Student_563"/>
    <x v="3"/>
    <x v="3"/>
    <d v="2022-07-10T00:00:00"/>
    <x v="1"/>
    <n v="4665"/>
    <x v="553"/>
    <x v="73"/>
    <n v="81"/>
  </r>
  <r>
    <x v="564"/>
    <s v="Student_564"/>
    <x v="0"/>
    <x v="2"/>
    <d v="2024-01-25T00:00:00"/>
    <x v="2"/>
    <n v="6305"/>
    <x v="554"/>
    <x v="11"/>
    <n v="104"/>
  </r>
  <r>
    <x v="565"/>
    <s v="Student_565"/>
    <x v="0"/>
    <x v="0"/>
    <d v="2022-12-24T00:00:00"/>
    <x v="0"/>
    <n v="5186"/>
    <x v="555"/>
    <x v="44"/>
    <n v="3"/>
  </r>
  <r>
    <x v="566"/>
    <s v="Student_566"/>
    <x v="3"/>
    <x v="3"/>
    <d v="2022-07-30T00:00:00"/>
    <x v="2"/>
    <n v="11323"/>
    <x v="556"/>
    <x v="189"/>
    <n v="89"/>
  </r>
  <r>
    <x v="567"/>
    <s v="Student_567"/>
    <x v="6"/>
    <x v="3"/>
    <d v="2022-07-13T00:00:00"/>
    <x v="0"/>
    <n v="6456"/>
    <x v="557"/>
    <x v="182"/>
    <n v="15"/>
  </r>
  <r>
    <x v="568"/>
    <s v="Student_568"/>
    <x v="3"/>
    <x v="3"/>
    <d v="2022-09-20T00:00:00"/>
    <x v="1"/>
    <n v="3925"/>
    <x v="558"/>
    <x v="135"/>
    <n v="95"/>
  </r>
  <r>
    <x v="569"/>
    <s v="Student_569"/>
    <x v="2"/>
    <x v="2"/>
    <d v="2023-10-04T00:00:00"/>
    <x v="0"/>
    <n v="11329"/>
    <x v="559"/>
    <x v="104"/>
    <n v="35"/>
  </r>
  <r>
    <x v="570"/>
    <s v="Student_570"/>
    <x v="6"/>
    <x v="3"/>
    <d v="2024-03-17T00:00:00"/>
    <x v="0"/>
    <n v="5357"/>
    <x v="560"/>
    <x v="147"/>
    <n v="23"/>
  </r>
  <r>
    <x v="571"/>
    <s v="Student_571"/>
    <x v="2"/>
    <x v="0"/>
    <d v="2023-06-11T00:00:00"/>
    <x v="1"/>
    <n v="10853"/>
    <x v="561"/>
    <x v="108"/>
    <n v="12"/>
  </r>
  <r>
    <x v="572"/>
    <s v="Student_572"/>
    <x v="1"/>
    <x v="0"/>
    <d v="2024-03-11T00:00:00"/>
    <x v="1"/>
    <n v="3136"/>
    <x v="562"/>
    <x v="167"/>
    <n v="94"/>
  </r>
  <r>
    <x v="573"/>
    <s v="Student_573"/>
    <x v="2"/>
    <x v="0"/>
    <d v="2024-02-01T00:00:00"/>
    <x v="0"/>
    <n v="12521"/>
    <x v="563"/>
    <x v="44"/>
    <n v="105"/>
  </r>
  <r>
    <x v="574"/>
    <s v="Student_574"/>
    <x v="2"/>
    <x v="1"/>
    <d v="2023-06-01T00:00:00"/>
    <x v="0"/>
    <n v="8123"/>
    <x v="564"/>
    <x v="27"/>
    <n v="5"/>
  </r>
  <r>
    <x v="575"/>
    <s v="Student_575"/>
    <x v="4"/>
    <x v="3"/>
    <d v="2023-03-22T00:00:00"/>
    <x v="0"/>
    <n v="11134"/>
    <x v="565"/>
    <x v="6"/>
    <n v="67"/>
  </r>
  <r>
    <x v="576"/>
    <s v="Student_576"/>
    <x v="5"/>
    <x v="3"/>
    <d v="2024-02-06T00:00:00"/>
    <x v="1"/>
    <n v="5281"/>
    <x v="566"/>
    <x v="163"/>
    <n v="20"/>
  </r>
  <r>
    <x v="577"/>
    <s v="Student_577"/>
    <x v="3"/>
    <x v="1"/>
    <d v="2023-05-05T00:00:00"/>
    <x v="0"/>
    <n v="6006"/>
    <x v="567"/>
    <x v="42"/>
    <n v="28"/>
  </r>
  <r>
    <x v="578"/>
    <s v="Student_578"/>
    <x v="4"/>
    <x v="3"/>
    <d v="2024-02-11T00:00:00"/>
    <x v="0"/>
    <n v="12212"/>
    <x v="568"/>
    <x v="172"/>
    <n v="69"/>
  </r>
  <r>
    <x v="579"/>
    <s v="Student_579"/>
    <x v="4"/>
    <x v="3"/>
    <d v="2024-03-29T00:00:00"/>
    <x v="0"/>
    <n v="6847"/>
    <x v="569"/>
    <x v="180"/>
    <n v="49"/>
  </r>
  <r>
    <x v="580"/>
    <s v="Student_580"/>
    <x v="0"/>
    <x v="0"/>
    <d v="2023-12-08T00:00:00"/>
    <x v="0"/>
    <n v="6408"/>
    <x v="570"/>
    <x v="53"/>
    <n v="110"/>
  </r>
  <r>
    <x v="581"/>
    <s v="Student_581"/>
    <x v="0"/>
    <x v="2"/>
    <d v="2022-10-12T00:00:00"/>
    <x v="1"/>
    <n v="6458"/>
    <x v="571"/>
    <x v="5"/>
    <n v="52"/>
  </r>
  <r>
    <x v="582"/>
    <s v="Student_582"/>
    <x v="4"/>
    <x v="1"/>
    <d v="2023-07-21T00:00:00"/>
    <x v="0"/>
    <n v="4352"/>
    <x v="572"/>
    <x v="155"/>
    <n v="87"/>
  </r>
  <r>
    <x v="583"/>
    <s v="Student_583"/>
    <x v="0"/>
    <x v="0"/>
    <d v="2024-03-10T00:00:00"/>
    <x v="1"/>
    <n v="4096"/>
    <x v="573"/>
    <x v="9"/>
    <n v="49"/>
  </r>
  <r>
    <x v="584"/>
    <s v="Student_584"/>
    <x v="3"/>
    <x v="2"/>
    <d v="2022-10-23T00:00:00"/>
    <x v="0"/>
    <n v="3042"/>
    <x v="335"/>
    <x v="145"/>
    <n v="31"/>
  </r>
  <r>
    <x v="585"/>
    <s v="Student_585"/>
    <x v="6"/>
    <x v="2"/>
    <d v="2024-01-16T00:00:00"/>
    <x v="1"/>
    <n v="8295"/>
    <x v="574"/>
    <x v="185"/>
    <n v="1"/>
  </r>
  <r>
    <x v="586"/>
    <s v="Student_586"/>
    <x v="3"/>
    <x v="3"/>
    <d v="2023-08-19T00:00:00"/>
    <x v="1"/>
    <n v="2625"/>
    <x v="575"/>
    <x v="164"/>
    <n v="95"/>
  </r>
  <r>
    <x v="587"/>
    <s v="Student_587"/>
    <x v="2"/>
    <x v="2"/>
    <d v="2023-04-05T00:00:00"/>
    <x v="0"/>
    <n v="14579"/>
    <x v="576"/>
    <x v="191"/>
    <n v="89"/>
  </r>
  <r>
    <x v="588"/>
    <s v="Student_588"/>
    <x v="1"/>
    <x v="3"/>
    <d v="2022-05-31T00:00:00"/>
    <x v="1"/>
    <n v="3331"/>
    <x v="577"/>
    <x v="132"/>
    <n v="57"/>
  </r>
  <r>
    <x v="589"/>
    <s v="Student_589"/>
    <x v="2"/>
    <x v="2"/>
    <d v="2024-04-10T00:00:00"/>
    <x v="1"/>
    <n v="13756"/>
    <x v="578"/>
    <x v="95"/>
    <n v="0"/>
  </r>
  <r>
    <x v="590"/>
    <s v="Student_590"/>
    <x v="6"/>
    <x v="2"/>
    <d v="2023-01-14T00:00:00"/>
    <x v="0"/>
    <n v="2069"/>
    <x v="579"/>
    <x v="66"/>
    <n v="60"/>
  </r>
  <r>
    <x v="591"/>
    <s v="Student_591"/>
    <x v="3"/>
    <x v="0"/>
    <d v="2024-05-29T00:00:00"/>
    <x v="0"/>
    <n v="12736"/>
    <x v="580"/>
    <x v="108"/>
    <n v="30"/>
  </r>
  <r>
    <x v="592"/>
    <s v="Student_592"/>
    <x v="3"/>
    <x v="3"/>
    <d v="2023-12-16T00:00:00"/>
    <x v="0"/>
    <n v="9002"/>
    <x v="581"/>
    <x v="4"/>
    <n v="25"/>
  </r>
  <r>
    <x v="593"/>
    <s v="Student_593"/>
    <x v="5"/>
    <x v="1"/>
    <d v="2023-09-14T00:00:00"/>
    <x v="2"/>
    <n v="10702"/>
    <x v="582"/>
    <x v="5"/>
    <n v="6"/>
  </r>
  <r>
    <x v="594"/>
    <s v="Student_594"/>
    <x v="1"/>
    <x v="3"/>
    <d v="2022-09-18T00:00:00"/>
    <x v="1"/>
    <n v="13535"/>
    <x v="163"/>
    <x v="37"/>
    <n v="73"/>
  </r>
  <r>
    <x v="595"/>
    <s v="Student_595"/>
    <x v="0"/>
    <x v="1"/>
    <d v="2022-06-28T00:00:00"/>
    <x v="0"/>
    <n v="11144"/>
    <x v="583"/>
    <x v="126"/>
    <n v="98"/>
  </r>
  <r>
    <x v="596"/>
    <s v="Student_596"/>
    <x v="5"/>
    <x v="1"/>
    <d v="2023-04-03T00:00:00"/>
    <x v="1"/>
    <n v="9401"/>
    <x v="584"/>
    <x v="191"/>
    <n v="78"/>
  </r>
  <r>
    <x v="597"/>
    <s v="Student_597"/>
    <x v="5"/>
    <x v="3"/>
    <d v="2023-10-28T00:00:00"/>
    <x v="2"/>
    <n v="6027"/>
    <x v="585"/>
    <x v="32"/>
    <n v="50"/>
  </r>
  <r>
    <x v="598"/>
    <s v="Student_598"/>
    <x v="5"/>
    <x v="1"/>
    <d v="2022-06-22T00:00:00"/>
    <x v="2"/>
    <n v="14933"/>
    <x v="586"/>
    <x v="36"/>
    <n v="71"/>
  </r>
  <r>
    <x v="599"/>
    <s v="Student_599"/>
    <x v="5"/>
    <x v="0"/>
    <d v="2022-10-14T00:00:00"/>
    <x v="0"/>
    <n v="4556"/>
    <x v="587"/>
    <x v="15"/>
    <n v="13"/>
  </r>
  <r>
    <x v="600"/>
    <s v="Student_600"/>
    <x v="5"/>
    <x v="3"/>
    <d v="2023-12-01T00:00:00"/>
    <x v="0"/>
    <n v="6572"/>
    <x v="588"/>
    <x v="73"/>
    <n v="9"/>
  </r>
  <r>
    <x v="601"/>
    <s v="Student_601"/>
    <x v="0"/>
    <x v="3"/>
    <d v="2023-09-15T00:00:00"/>
    <x v="0"/>
    <n v="2372"/>
    <x v="589"/>
    <x v="191"/>
    <n v="51"/>
  </r>
  <r>
    <x v="602"/>
    <s v="Student_602"/>
    <x v="5"/>
    <x v="2"/>
    <d v="2023-07-18T00:00:00"/>
    <x v="0"/>
    <n v="10692"/>
    <x v="590"/>
    <x v="40"/>
    <n v="90"/>
  </r>
  <r>
    <x v="603"/>
    <s v="Student_603"/>
    <x v="6"/>
    <x v="2"/>
    <d v="2024-05-20T00:00:00"/>
    <x v="0"/>
    <n v="13268"/>
    <x v="0"/>
    <x v="72"/>
    <n v="105"/>
  </r>
  <r>
    <x v="604"/>
    <s v="Student_604"/>
    <x v="5"/>
    <x v="1"/>
    <d v="2023-12-10T00:00:00"/>
    <x v="1"/>
    <n v="13205"/>
    <x v="591"/>
    <x v="192"/>
    <n v="55"/>
  </r>
  <r>
    <x v="605"/>
    <s v="Student_605"/>
    <x v="7"/>
    <x v="0"/>
    <d v="2022-12-10T00:00:00"/>
    <x v="1"/>
    <n v="14226"/>
    <x v="592"/>
    <x v="191"/>
    <n v="77"/>
  </r>
  <r>
    <x v="606"/>
    <s v="Student_606"/>
    <x v="2"/>
    <x v="1"/>
    <d v="2023-03-08T00:00:00"/>
    <x v="0"/>
    <n v="8513"/>
    <x v="593"/>
    <x v="62"/>
    <n v="32"/>
  </r>
  <r>
    <x v="607"/>
    <s v="Student_607"/>
    <x v="6"/>
    <x v="0"/>
    <d v="2023-03-28T00:00:00"/>
    <x v="0"/>
    <n v="11839"/>
    <x v="587"/>
    <x v="91"/>
    <n v="9"/>
  </r>
  <r>
    <x v="608"/>
    <s v="Student_608"/>
    <x v="2"/>
    <x v="3"/>
    <d v="2023-06-28T00:00:00"/>
    <x v="0"/>
    <n v="11789"/>
    <x v="594"/>
    <x v="172"/>
    <n v="103"/>
  </r>
  <r>
    <x v="609"/>
    <s v="Student_609"/>
    <x v="6"/>
    <x v="1"/>
    <d v="2024-05-23T00:00:00"/>
    <x v="0"/>
    <n v="8777"/>
    <x v="595"/>
    <x v="151"/>
    <n v="44"/>
  </r>
  <r>
    <x v="610"/>
    <s v="Student_610"/>
    <x v="6"/>
    <x v="3"/>
    <d v="2023-04-08T00:00:00"/>
    <x v="2"/>
    <n v="14001"/>
    <x v="596"/>
    <x v="112"/>
    <n v="83"/>
  </r>
  <r>
    <x v="611"/>
    <s v="Student_611"/>
    <x v="5"/>
    <x v="0"/>
    <d v="2022-11-30T00:00:00"/>
    <x v="2"/>
    <n v="10096"/>
    <x v="597"/>
    <x v="124"/>
    <n v="99"/>
  </r>
  <r>
    <x v="612"/>
    <s v="Student_612"/>
    <x v="2"/>
    <x v="0"/>
    <d v="2023-11-07T00:00:00"/>
    <x v="0"/>
    <n v="12350"/>
    <x v="598"/>
    <x v="20"/>
    <n v="31"/>
  </r>
  <r>
    <x v="613"/>
    <s v="Student_613"/>
    <x v="6"/>
    <x v="1"/>
    <d v="2024-03-11T00:00:00"/>
    <x v="0"/>
    <n v="7322"/>
    <x v="599"/>
    <x v="173"/>
    <n v="38"/>
  </r>
  <r>
    <x v="614"/>
    <s v="Student_614"/>
    <x v="4"/>
    <x v="2"/>
    <d v="2024-04-12T00:00:00"/>
    <x v="0"/>
    <n v="5312"/>
    <x v="600"/>
    <x v="30"/>
    <n v="25"/>
  </r>
  <r>
    <x v="615"/>
    <s v="Student_615"/>
    <x v="2"/>
    <x v="3"/>
    <d v="2024-01-02T00:00:00"/>
    <x v="0"/>
    <n v="6373"/>
    <x v="601"/>
    <x v="39"/>
    <n v="54"/>
  </r>
  <r>
    <x v="616"/>
    <s v="Student_616"/>
    <x v="7"/>
    <x v="2"/>
    <d v="2023-09-15T00:00:00"/>
    <x v="0"/>
    <n v="4233"/>
    <x v="179"/>
    <x v="117"/>
    <n v="25"/>
  </r>
  <r>
    <x v="617"/>
    <s v="Student_617"/>
    <x v="0"/>
    <x v="3"/>
    <d v="2023-05-26T00:00:00"/>
    <x v="1"/>
    <n v="13229"/>
    <x v="602"/>
    <x v="92"/>
    <n v="93"/>
  </r>
  <r>
    <x v="618"/>
    <s v="Student_618"/>
    <x v="7"/>
    <x v="1"/>
    <d v="2024-02-23T00:00:00"/>
    <x v="0"/>
    <n v="3758"/>
    <x v="603"/>
    <x v="173"/>
    <n v="57"/>
  </r>
  <r>
    <x v="619"/>
    <s v="Student_619"/>
    <x v="2"/>
    <x v="0"/>
    <d v="2022-04-18T00:00:00"/>
    <x v="1"/>
    <n v="12721"/>
    <x v="604"/>
    <x v="56"/>
    <n v="7"/>
  </r>
  <r>
    <x v="620"/>
    <s v="Student_620"/>
    <x v="7"/>
    <x v="1"/>
    <d v="2023-07-15T00:00:00"/>
    <x v="0"/>
    <n v="4337"/>
    <x v="605"/>
    <x v="171"/>
    <n v="45"/>
  </r>
  <r>
    <x v="621"/>
    <s v="Student_621"/>
    <x v="3"/>
    <x v="0"/>
    <d v="2023-03-21T00:00:00"/>
    <x v="0"/>
    <n v="10462"/>
    <x v="606"/>
    <x v="95"/>
    <n v="100"/>
  </r>
  <r>
    <x v="622"/>
    <s v="Student_622"/>
    <x v="7"/>
    <x v="0"/>
    <d v="2022-04-06T00:00:00"/>
    <x v="0"/>
    <n v="3395"/>
    <x v="607"/>
    <x v="24"/>
    <n v="111"/>
  </r>
  <r>
    <x v="623"/>
    <s v="Student_623"/>
    <x v="2"/>
    <x v="0"/>
    <d v="2023-11-23T00:00:00"/>
    <x v="1"/>
    <n v="4517"/>
    <x v="608"/>
    <x v="111"/>
    <n v="10"/>
  </r>
  <r>
    <x v="624"/>
    <s v="Student_624"/>
    <x v="5"/>
    <x v="1"/>
    <d v="2024-06-15T00:00:00"/>
    <x v="0"/>
    <n v="13029"/>
    <x v="609"/>
    <x v="85"/>
    <n v="38"/>
  </r>
  <r>
    <x v="625"/>
    <s v="Student_625"/>
    <x v="4"/>
    <x v="3"/>
    <d v="2023-05-06T00:00:00"/>
    <x v="1"/>
    <n v="10361"/>
    <x v="610"/>
    <x v="193"/>
    <n v="19"/>
  </r>
  <r>
    <x v="626"/>
    <s v="Student_626"/>
    <x v="6"/>
    <x v="2"/>
    <d v="2023-06-24T00:00:00"/>
    <x v="0"/>
    <n v="9360"/>
    <x v="611"/>
    <x v="101"/>
    <n v="114"/>
  </r>
  <r>
    <x v="627"/>
    <s v="Student_627"/>
    <x v="4"/>
    <x v="2"/>
    <d v="2023-08-24T00:00:00"/>
    <x v="1"/>
    <n v="8250"/>
    <x v="612"/>
    <x v="15"/>
    <n v="98"/>
  </r>
  <r>
    <x v="628"/>
    <s v="Student_628"/>
    <x v="4"/>
    <x v="1"/>
    <d v="2023-04-30T00:00:00"/>
    <x v="0"/>
    <n v="6986"/>
    <x v="613"/>
    <x v="132"/>
    <n v="106"/>
  </r>
  <r>
    <x v="629"/>
    <s v="Student_629"/>
    <x v="5"/>
    <x v="1"/>
    <d v="2023-01-01T00:00:00"/>
    <x v="1"/>
    <n v="14012"/>
    <x v="614"/>
    <x v="27"/>
    <n v="86"/>
  </r>
  <r>
    <x v="630"/>
    <s v="Student_630"/>
    <x v="5"/>
    <x v="0"/>
    <d v="2023-02-22T00:00:00"/>
    <x v="0"/>
    <n v="6769"/>
    <x v="615"/>
    <x v="111"/>
    <n v="57"/>
  </r>
  <r>
    <x v="631"/>
    <s v="Student_631"/>
    <x v="1"/>
    <x v="0"/>
    <d v="2024-06-10T00:00:00"/>
    <x v="0"/>
    <n v="3621"/>
    <x v="616"/>
    <x v="175"/>
    <n v="16"/>
  </r>
  <r>
    <x v="632"/>
    <s v="Student_632"/>
    <x v="6"/>
    <x v="2"/>
    <d v="2022-05-20T00:00:00"/>
    <x v="2"/>
    <n v="14499"/>
    <x v="617"/>
    <x v="66"/>
    <n v="21"/>
  </r>
  <r>
    <x v="633"/>
    <s v="Student_633"/>
    <x v="1"/>
    <x v="3"/>
    <d v="2023-06-19T00:00:00"/>
    <x v="0"/>
    <n v="4859"/>
    <x v="618"/>
    <x v="155"/>
    <n v="99"/>
  </r>
  <r>
    <x v="634"/>
    <s v="Student_634"/>
    <x v="4"/>
    <x v="0"/>
    <d v="2022-09-23T00:00:00"/>
    <x v="1"/>
    <n v="3080"/>
    <x v="619"/>
    <x v="190"/>
    <n v="94"/>
  </r>
  <r>
    <x v="635"/>
    <s v="Student_635"/>
    <x v="6"/>
    <x v="2"/>
    <d v="2023-01-07T00:00:00"/>
    <x v="1"/>
    <n v="10910"/>
    <x v="620"/>
    <x v="12"/>
    <n v="70"/>
  </r>
  <r>
    <x v="636"/>
    <s v="Student_636"/>
    <x v="4"/>
    <x v="0"/>
    <d v="2022-11-29T00:00:00"/>
    <x v="0"/>
    <n v="12516"/>
    <x v="621"/>
    <x v="121"/>
    <n v="98"/>
  </r>
  <r>
    <x v="637"/>
    <s v="Student_637"/>
    <x v="4"/>
    <x v="2"/>
    <d v="2023-10-25T00:00:00"/>
    <x v="0"/>
    <n v="3587"/>
    <x v="622"/>
    <x v="44"/>
    <n v="57"/>
  </r>
  <r>
    <x v="638"/>
    <s v="Student_638"/>
    <x v="6"/>
    <x v="3"/>
    <d v="2024-02-20T00:00:00"/>
    <x v="1"/>
    <n v="13307"/>
    <x v="623"/>
    <x v="194"/>
    <n v="99"/>
  </r>
  <r>
    <x v="639"/>
    <s v="Student_639"/>
    <x v="5"/>
    <x v="1"/>
    <d v="2022-12-25T00:00:00"/>
    <x v="1"/>
    <n v="4132"/>
    <x v="624"/>
    <x v="165"/>
    <n v="114"/>
  </r>
  <r>
    <x v="640"/>
    <s v="Student_640"/>
    <x v="6"/>
    <x v="1"/>
    <d v="2022-05-12T00:00:00"/>
    <x v="0"/>
    <n v="5391"/>
    <x v="625"/>
    <x v="42"/>
    <n v="37"/>
  </r>
  <r>
    <x v="641"/>
    <s v="Student_641"/>
    <x v="7"/>
    <x v="1"/>
    <d v="2022-10-01T00:00:00"/>
    <x v="1"/>
    <n v="4790"/>
    <x v="169"/>
    <x v="139"/>
    <n v="52"/>
  </r>
  <r>
    <x v="642"/>
    <s v="Student_642"/>
    <x v="5"/>
    <x v="3"/>
    <d v="2022-12-09T00:00:00"/>
    <x v="0"/>
    <n v="13302"/>
    <x v="626"/>
    <x v="195"/>
    <n v="98"/>
  </r>
  <r>
    <x v="643"/>
    <s v="Student_643"/>
    <x v="6"/>
    <x v="0"/>
    <d v="2024-05-23T00:00:00"/>
    <x v="0"/>
    <n v="9424"/>
    <x v="627"/>
    <x v="195"/>
    <n v="86"/>
  </r>
  <r>
    <x v="644"/>
    <s v="Student_644"/>
    <x v="0"/>
    <x v="2"/>
    <d v="2023-03-07T00:00:00"/>
    <x v="0"/>
    <n v="13660"/>
    <x v="628"/>
    <x v="138"/>
    <n v="98"/>
  </r>
  <r>
    <x v="645"/>
    <s v="Student_645"/>
    <x v="1"/>
    <x v="1"/>
    <d v="2023-04-22T00:00:00"/>
    <x v="0"/>
    <n v="2789"/>
    <x v="629"/>
    <x v="54"/>
    <n v="22"/>
  </r>
  <r>
    <x v="646"/>
    <s v="Student_646"/>
    <x v="6"/>
    <x v="3"/>
    <d v="2022-06-06T00:00:00"/>
    <x v="1"/>
    <n v="14573"/>
    <x v="630"/>
    <x v="53"/>
    <n v="115"/>
  </r>
  <r>
    <x v="647"/>
    <s v="Student_647"/>
    <x v="2"/>
    <x v="2"/>
    <d v="2022-03-05T00:00:00"/>
    <x v="0"/>
    <n v="4580"/>
    <x v="631"/>
    <x v="9"/>
    <n v="100"/>
  </r>
  <r>
    <x v="648"/>
    <s v="Student_648"/>
    <x v="6"/>
    <x v="0"/>
    <d v="2022-06-28T00:00:00"/>
    <x v="0"/>
    <n v="8254"/>
    <x v="632"/>
    <x v="145"/>
    <n v="5"/>
  </r>
  <r>
    <x v="649"/>
    <s v="Student_649"/>
    <x v="4"/>
    <x v="1"/>
    <d v="2023-01-12T00:00:00"/>
    <x v="2"/>
    <n v="5234"/>
    <x v="633"/>
    <x v="3"/>
    <n v="100"/>
  </r>
  <r>
    <x v="650"/>
    <s v="Student_650"/>
    <x v="3"/>
    <x v="2"/>
    <d v="2022-12-21T00:00:00"/>
    <x v="0"/>
    <n v="5237"/>
    <x v="634"/>
    <x v="97"/>
    <n v="65"/>
  </r>
  <r>
    <x v="651"/>
    <s v="Student_651"/>
    <x v="6"/>
    <x v="3"/>
    <d v="2022-09-14T00:00:00"/>
    <x v="1"/>
    <n v="6803"/>
    <x v="635"/>
    <x v="126"/>
    <n v="35"/>
  </r>
  <r>
    <x v="652"/>
    <s v="Student_652"/>
    <x v="1"/>
    <x v="1"/>
    <d v="2022-01-02T00:00:00"/>
    <x v="0"/>
    <n v="3355"/>
    <x v="636"/>
    <x v="1"/>
    <n v="102"/>
  </r>
  <r>
    <x v="653"/>
    <s v="Student_653"/>
    <x v="6"/>
    <x v="1"/>
    <d v="2022-12-28T00:00:00"/>
    <x v="1"/>
    <n v="13586"/>
    <x v="637"/>
    <x v="53"/>
    <n v="118"/>
  </r>
  <r>
    <x v="654"/>
    <s v="Student_654"/>
    <x v="7"/>
    <x v="2"/>
    <d v="2023-07-27T00:00:00"/>
    <x v="0"/>
    <n v="7191"/>
    <x v="638"/>
    <x v="69"/>
    <n v="10"/>
  </r>
  <r>
    <x v="655"/>
    <s v="Student_655"/>
    <x v="5"/>
    <x v="3"/>
    <d v="2023-01-10T00:00:00"/>
    <x v="1"/>
    <n v="2088"/>
    <x v="639"/>
    <x v="31"/>
    <n v="48"/>
  </r>
  <r>
    <x v="656"/>
    <s v="Student_656"/>
    <x v="1"/>
    <x v="2"/>
    <d v="2024-05-19T00:00:00"/>
    <x v="0"/>
    <n v="8068"/>
    <x v="640"/>
    <x v="102"/>
    <n v="13"/>
  </r>
  <r>
    <x v="657"/>
    <s v="Student_657"/>
    <x v="1"/>
    <x v="0"/>
    <d v="2023-10-06T00:00:00"/>
    <x v="0"/>
    <n v="9351"/>
    <x v="641"/>
    <x v="135"/>
    <n v="0"/>
  </r>
  <r>
    <x v="658"/>
    <s v="Student_658"/>
    <x v="1"/>
    <x v="1"/>
    <d v="2022-02-15T00:00:00"/>
    <x v="0"/>
    <n v="13082"/>
    <x v="642"/>
    <x v="21"/>
    <n v="80"/>
  </r>
  <r>
    <x v="659"/>
    <s v="Student_659"/>
    <x v="7"/>
    <x v="3"/>
    <d v="2022-03-30T00:00:00"/>
    <x v="2"/>
    <n v="7721"/>
    <x v="643"/>
    <x v="126"/>
    <n v="18"/>
  </r>
  <r>
    <x v="660"/>
    <s v="Student_660"/>
    <x v="7"/>
    <x v="3"/>
    <d v="2023-05-27T00:00:00"/>
    <x v="1"/>
    <n v="10644"/>
    <x v="644"/>
    <x v="158"/>
    <n v="34"/>
  </r>
  <r>
    <x v="661"/>
    <s v="Student_661"/>
    <x v="2"/>
    <x v="1"/>
    <d v="2023-09-30T00:00:00"/>
    <x v="0"/>
    <n v="10752"/>
    <x v="645"/>
    <x v="134"/>
    <n v="67"/>
  </r>
  <r>
    <x v="662"/>
    <s v="Student_662"/>
    <x v="1"/>
    <x v="0"/>
    <d v="2023-09-21T00:00:00"/>
    <x v="1"/>
    <n v="3252"/>
    <x v="646"/>
    <x v="112"/>
    <n v="80"/>
  </r>
  <r>
    <x v="663"/>
    <s v="Student_663"/>
    <x v="1"/>
    <x v="3"/>
    <d v="2022-05-31T00:00:00"/>
    <x v="0"/>
    <n v="11497"/>
    <x v="647"/>
    <x v="134"/>
    <n v="47"/>
  </r>
  <r>
    <x v="664"/>
    <s v="Student_664"/>
    <x v="7"/>
    <x v="0"/>
    <d v="2023-07-31T00:00:00"/>
    <x v="0"/>
    <n v="7089"/>
    <x v="648"/>
    <x v="107"/>
    <n v="113"/>
  </r>
  <r>
    <x v="665"/>
    <s v="Student_665"/>
    <x v="1"/>
    <x v="1"/>
    <d v="2023-02-02T00:00:00"/>
    <x v="1"/>
    <n v="5893"/>
    <x v="649"/>
    <x v="24"/>
    <n v="8"/>
  </r>
  <r>
    <x v="666"/>
    <s v="Student_666"/>
    <x v="4"/>
    <x v="0"/>
    <d v="2022-07-11T00:00:00"/>
    <x v="0"/>
    <n v="4330"/>
    <x v="650"/>
    <x v="150"/>
    <n v="81"/>
  </r>
  <r>
    <x v="667"/>
    <s v="Student_667"/>
    <x v="3"/>
    <x v="2"/>
    <d v="2023-09-26T00:00:00"/>
    <x v="0"/>
    <n v="3810"/>
    <x v="651"/>
    <x v="11"/>
    <n v="66"/>
  </r>
  <r>
    <x v="668"/>
    <s v="Student_668"/>
    <x v="3"/>
    <x v="1"/>
    <d v="2022-10-22T00:00:00"/>
    <x v="1"/>
    <n v="3315"/>
    <x v="652"/>
    <x v="155"/>
    <n v="117"/>
  </r>
  <r>
    <x v="669"/>
    <s v="Student_669"/>
    <x v="0"/>
    <x v="2"/>
    <d v="2022-02-08T00:00:00"/>
    <x v="1"/>
    <n v="9949"/>
    <x v="653"/>
    <x v="37"/>
    <n v="54"/>
  </r>
  <r>
    <x v="670"/>
    <s v="Student_670"/>
    <x v="3"/>
    <x v="0"/>
    <d v="2023-10-13T00:00:00"/>
    <x v="0"/>
    <n v="2894"/>
    <x v="55"/>
    <x v="147"/>
    <n v="30"/>
  </r>
  <r>
    <x v="671"/>
    <s v="Student_671"/>
    <x v="2"/>
    <x v="1"/>
    <d v="2023-05-25T00:00:00"/>
    <x v="2"/>
    <n v="4013"/>
    <x v="654"/>
    <x v="3"/>
    <n v="6"/>
  </r>
  <r>
    <x v="672"/>
    <s v="Student_672"/>
    <x v="2"/>
    <x v="2"/>
    <d v="2022-03-20T00:00:00"/>
    <x v="1"/>
    <n v="5273"/>
    <x v="655"/>
    <x v="136"/>
    <n v="95"/>
  </r>
  <r>
    <x v="673"/>
    <s v="Student_673"/>
    <x v="6"/>
    <x v="1"/>
    <d v="2023-09-21T00:00:00"/>
    <x v="0"/>
    <n v="10298"/>
    <x v="656"/>
    <x v="53"/>
    <n v="88"/>
  </r>
  <r>
    <x v="674"/>
    <s v="Student_674"/>
    <x v="5"/>
    <x v="0"/>
    <d v="2022-02-07T00:00:00"/>
    <x v="0"/>
    <n v="9592"/>
    <x v="657"/>
    <x v="116"/>
    <n v="71"/>
  </r>
  <r>
    <x v="675"/>
    <s v="Student_675"/>
    <x v="5"/>
    <x v="0"/>
    <d v="2022-09-13T00:00:00"/>
    <x v="0"/>
    <n v="12383"/>
    <x v="658"/>
    <x v="30"/>
    <n v="38"/>
  </r>
  <r>
    <x v="676"/>
    <s v="Student_676"/>
    <x v="3"/>
    <x v="3"/>
    <d v="2022-08-10T00:00:00"/>
    <x v="0"/>
    <n v="10703"/>
    <x v="659"/>
    <x v="1"/>
    <n v="107"/>
  </r>
  <r>
    <x v="677"/>
    <s v="Student_677"/>
    <x v="5"/>
    <x v="0"/>
    <d v="2023-03-05T00:00:00"/>
    <x v="0"/>
    <n v="12060"/>
    <x v="660"/>
    <x v="81"/>
    <n v="48"/>
  </r>
  <r>
    <x v="678"/>
    <s v="Student_678"/>
    <x v="7"/>
    <x v="3"/>
    <d v="2024-06-17T00:00:00"/>
    <x v="0"/>
    <n v="5192"/>
    <x v="661"/>
    <x v="181"/>
    <n v="88"/>
  </r>
  <r>
    <x v="679"/>
    <s v="Student_679"/>
    <x v="4"/>
    <x v="2"/>
    <d v="2022-03-16T00:00:00"/>
    <x v="0"/>
    <n v="3356"/>
    <x v="662"/>
    <x v="169"/>
    <n v="98"/>
  </r>
  <r>
    <x v="680"/>
    <s v="Student_680"/>
    <x v="1"/>
    <x v="2"/>
    <d v="2023-03-17T00:00:00"/>
    <x v="1"/>
    <n v="6141"/>
    <x v="663"/>
    <x v="124"/>
    <n v="100"/>
  </r>
  <r>
    <x v="681"/>
    <s v="Student_681"/>
    <x v="0"/>
    <x v="1"/>
    <d v="2024-04-07T00:00:00"/>
    <x v="0"/>
    <n v="5110"/>
    <x v="664"/>
    <x v="138"/>
    <n v="77"/>
  </r>
  <r>
    <x v="682"/>
    <s v="Student_682"/>
    <x v="4"/>
    <x v="1"/>
    <d v="2024-02-18T00:00:00"/>
    <x v="0"/>
    <n v="10080"/>
    <x v="665"/>
    <x v="37"/>
    <n v="73"/>
  </r>
  <r>
    <x v="683"/>
    <s v="Student_683"/>
    <x v="1"/>
    <x v="1"/>
    <d v="2022-02-04T00:00:00"/>
    <x v="0"/>
    <n v="7513"/>
    <x v="666"/>
    <x v="170"/>
    <n v="73"/>
  </r>
  <r>
    <x v="684"/>
    <s v="Student_684"/>
    <x v="4"/>
    <x v="1"/>
    <d v="2023-12-25T00:00:00"/>
    <x v="0"/>
    <n v="8227"/>
    <x v="667"/>
    <x v="43"/>
    <n v="50"/>
  </r>
  <r>
    <x v="685"/>
    <s v="Student_685"/>
    <x v="6"/>
    <x v="0"/>
    <d v="2023-12-25T00:00:00"/>
    <x v="0"/>
    <n v="13129"/>
    <x v="668"/>
    <x v="85"/>
    <n v="116"/>
  </r>
  <r>
    <x v="686"/>
    <s v="Student_686"/>
    <x v="4"/>
    <x v="1"/>
    <d v="2022-12-10T00:00:00"/>
    <x v="2"/>
    <n v="10408"/>
    <x v="669"/>
    <x v="30"/>
    <n v="72"/>
  </r>
  <r>
    <x v="687"/>
    <s v="Student_687"/>
    <x v="4"/>
    <x v="0"/>
    <d v="2023-10-17T00:00:00"/>
    <x v="1"/>
    <n v="7270"/>
    <x v="670"/>
    <x v="70"/>
    <n v="10"/>
  </r>
  <r>
    <x v="688"/>
    <s v="Student_688"/>
    <x v="5"/>
    <x v="1"/>
    <d v="2022-03-28T00:00:00"/>
    <x v="0"/>
    <n v="2730"/>
    <x v="671"/>
    <x v="177"/>
    <n v="70"/>
  </r>
  <r>
    <x v="689"/>
    <s v="Student_689"/>
    <x v="4"/>
    <x v="1"/>
    <d v="2022-06-03T00:00:00"/>
    <x v="1"/>
    <n v="11096"/>
    <x v="672"/>
    <x v="86"/>
    <n v="48"/>
  </r>
  <r>
    <x v="690"/>
    <s v="Student_690"/>
    <x v="5"/>
    <x v="1"/>
    <d v="2024-03-11T00:00:00"/>
    <x v="1"/>
    <n v="14406"/>
    <x v="673"/>
    <x v="158"/>
    <n v="109"/>
  </r>
  <r>
    <x v="691"/>
    <s v="Student_691"/>
    <x v="1"/>
    <x v="2"/>
    <d v="2023-11-21T00:00:00"/>
    <x v="1"/>
    <n v="11296"/>
    <x v="674"/>
    <x v="20"/>
    <n v="112"/>
  </r>
  <r>
    <x v="692"/>
    <s v="Student_692"/>
    <x v="3"/>
    <x v="1"/>
    <d v="2023-10-21T00:00:00"/>
    <x v="2"/>
    <n v="12851"/>
    <x v="675"/>
    <x v="127"/>
    <n v="15"/>
  </r>
  <r>
    <x v="693"/>
    <s v="Student_693"/>
    <x v="5"/>
    <x v="2"/>
    <d v="2023-07-27T00:00:00"/>
    <x v="1"/>
    <n v="6804"/>
    <x v="676"/>
    <x v="81"/>
    <n v="2"/>
  </r>
  <r>
    <x v="694"/>
    <s v="Student_694"/>
    <x v="3"/>
    <x v="3"/>
    <d v="2022-03-17T00:00:00"/>
    <x v="0"/>
    <n v="3504"/>
    <x v="677"/>
    <x v="38"/>
    <n v="101"/>
  </r>
  <r>
    <x v="695"/>
    <s v="Student_695"/>
    <x v="6"/>
    <x v="2"/>
    <d v="2022-11-09T00:00:00"/>
    <x v="1"/>
    <n v="13244"/>
    <x v="678"/>
    <x v="125"/>
    <n v="44"/>
  </r>
  <r>
    <x v="696"/>
    <s v="Student_696"/>
    <x v="0"/>
    <x v="1"/>
    <d v="2022-12-02T00:00:00"/>
    <x v="1"/>
    <n v="14717"/>
    <x v="679"/>
    <x v="45"/>
    <n v="97"/>
  </r>
  <r>
    <x v="697"/>
    <s v="Student_697"/>
    <x v="7"/>
    <x v="1"/>
    <d v="2023-11-14T00:00:00"/>
    <x v="0"/>
    <n v="9722"/>
    <x v="680"/>
    <x v="195"/>
    <n v="53"/>
  </r>
  <r>
    <x v="698"/>
    <s v="Student_698"/>
    <x v="4"/>
    <x v="0"/>
    <d v="2024-02-08T00:00:00"/>
    <x v="0"/>
    <n v="12801"/>
    <x v="681"/>
    <x v="124"/>
    <n v="57"/>
  </r>
  <r>
    <x v="699"/>
    <s v="Student_699"/>
    <x v="0"/>
    <x v="1"/>
    <d v="2022-07-03T00:00:00"/>
    <x v="0"/>
    <n v="3650"/>
    <x v="682"/>
    <x v="64"/>
    <n v="4"/>
  </r>
  <r>
    <x v="700"/>
    <s v="Student_700"/>
    <x v="7"/>
    <x v="2"/>
    <d v="2023-06-01T00:00:00"/>
    <x v="2"/>
    <n v="8042"/>
    <x v="683"/>
    <x v="183"/>
    <n v="37"/>
  </r>
  <r>
    <x v="701"/>
    <s v="Student_701"/>
    <x v="3"/>
    <x v="0"/>
    <d v="2022-03-16T00:00:00"/>
    <x v="1"/>
    <n v="4253"/>
    <x v="684"/>
    <x v="63"/>
    <n v="113"/>
  </r>
  <r>
    <x v="702"/>
    <s v="Student_702"/>
    <x v="5"/>
    <x v="0"/>
    <d v="2023-10-13T00:00:00"/>
    <x v="0"/>
    <n v="7568"/>
    <x v="685"/>
    <x v="189"/>
    <n v="25"/>
  </r>
  <r>
    <x v="703"/>
    <s v="Student_703"/>
    <x v="5"/>
    <x v="1"/>
    <d v="2023-01-18T00:00:00"/>
    <x v="0"/>
    <n v="12595"/>
    <x v="686"/>
    <x v="142"/>
    <n v="66"/>
  </r>
  <r>
    <x v="704"/>
    <s v="Student_704"/>
    <x v="5"/>
    <x v="3"/>
    <d v="2023-08-28T00:00:00"/>
    <x v="0"/>
    <n v="13552"/>
    <x v="687"/>
    <x v="47"/>
    <n v="10"/>
  </r>
  <r>
    <x v="705"/>
    <s v="Student_705"/>
    <x v="3"/>
    <x v="3"/>
    <d v="2023-09-15T00:00:00"/>
    <x v="0"/>
    <n v="12316"/>
    <x v="688"/>
    <x v="154"/>
    <n v="23"/>
  </r>
  <r>
    <x v="706"/>
    <s v="Student_706"/>
    <x v="4"/>
    <x v="2"/>
    <d v="2023-05-04T00:00:00"/>
    <x v="0"/>
    <n v="13723"/>
    <x v="689"/>
    <x v="113"/>
    <n v="58"/>
  </r>
  <r>
    <x v="707"/>
    <s v="Student_707"/>
    <x v="0"/>
    <x v="0"/>
    <d v="2022-12-26T00:00:00"/>
    <x v="0"/>
    <n v="7398"/>
    <x v="690"/>
    <x v="184"/>
    <n v="90"/>
  </r>
  <r>
    <x v="708"/>
    <s v="Student_708"/>
    <x v="6"/>
    <x v="2"/>
    <d v="2023-12-01T00:00:00"/>
    <x v="1"/>
    <n v="11190"/>
    <x v="691"/>
    <x v="105"/>
    <n v="79"/>
  </r>
  <r>
    <x v="709"/>
    <s v="Student_709"/>
    <x v="7"/>
    <x v="1"/>
    <d v="2022-03-12T00:00:00"/>
    <x v="1"/>
    <n v="11686"/>
    <x v="692"/>
    <x v="158"/>
    <n v="25"/>
  </r>
  <r>
    <x v="710"/>
    <s v="Student_710"/>
    <x v="4"/>
    <x v="2"/>
    <d v="2023-12-13T00:00:00"/>
    <x v="0"/>
    <n v="10158"/>
    <x v="693"/>
    <x v="123"/>
    <n v="19"/>
  </r>
  <r>
    <x v="711"/>
    <s v="Student_711"/>
    <x v="3"/>
    <x v="0"/>
    <d v="2022-03-13T00:00:00"/>
    <x v="2"/>
    <n v="3088"/>
    <x v="694"/>
    <x v="181"/>
    <n v="113"/>
  </r>
  <r>
    <x v="712"/>
    <s v="Student_712"/>
    <x v="0"/>
    <x v="1"/>
    <d v="2023-08-15T00:00:00"/>
    <x v="0"/>
    <n v="2510"/>
    <x v="695"/>
    <x v="196"/>
    <n v="98"/>
  </r>
  <r>
    <x v="713"/>
    <s v="Student_713"/>
    <x v="6"/>
    <x v="2"/>
    <d v="2022-12-26T00:00:00"/>
    <x v="2"/>
    <n v="2925"/>
    <x v="696"/>
    <x v="131"/>
    <n v="59"/>
  </r>
  <r>
    <x v="714"/>
    <s v="Student_714"/>
    <x v="4"/>
    <x v="0"/>
    <d v="2022-02-07T00:00:00"/>
    <x v="0"/>
    <n v="10388"/>
    <x v="697"/>
    <x v="80"/>
    <n v="35"/>
  </r>
  <r>
    <x v="715"/>
    <s v="Student_715"/>
    <x v="1"/>
    <x v="3"/>
    <d v="2022-11-15T00:00:00"/>
    <x v="1"/>
    <n v="7318"/>
    <x v="698"/>
    <x v="20"/>
    <n v="88"/>
  </r>
  <r>
    <x v="716"/>
    <s v="Student_716"/>
    <x v="5"/>
    <x v="2"/>
    <d v="2023-09-26T00:00:00"/>
    <x v="1"/>
    <n v="9113"/>
    <x v="699"/>
    <x v="95"/>
    <n v="86"/>
  </r>
  <r>
    <x v="717"/>
    <s v="Student_717"/>
    <x v="5"/>
    <x v="3"/>
    <d v="2022-04-01T00:00:00"/>
    <x v="0"/>
    <n v="6712"/>
    <x v="700"/>
    <x v="137"/>
    <n v="10"/>
  </r>
  <r>
    <x v="718"/>
    <s v="Student_718"/>
    <x v="7"/>
    <x v="3"/>
    <d v="2023-09-11T00:00:00"/>
    <x v="0"/>
    <n v="3350"/>
    <x v="701"/>
    <x v="67"/>
    <n v="109"/>
  </r>
  <r>
    <x v="719"/>
    <s v="Student_719"/>
    <x v="5"/>
    <x v="2"/>
    <d v="2022-12-11T00:00:00"/>
    <x v="1"/>
    <n v="2209"/>
    <x v="702"/>
    <x v="1"/>
    <n v="66"/>
  </r>
  <r>
    <x v="720"/>
    <s v="Student_720"/>
    <x v="4"/>
    <x v="2"/>
    <d v="2022-09-24T00:00:00"/>
    <x v="0"/>
    <n v="13928"/>
    <x v="703"/>
    <x v="60"/>
    <n v="64"/>
  </r>
  <r>
    <x v="721"/>
    <s v="Student_721"/>
    <x v="0"/>
    <x v="2"/>
    <d v="2023-10-28T00:00:00"/>
    <x v="0"/>
    <n v="9516"/>
    <x v="704"/>
    <x v="11"/>
    <n v="96"/>
  </r>
  <r>
    <x v="722"/>
    <s v="Student_722"/>
    <x v="5"/>
    <x v="3"/>
    <d v="2022-01-30T00:00:00"/>
    <x v="0"/>
    <n v="5145"/>
    <x v="705"/>
    <x v="146"/>
    <n v="32"/>
  </r>
  <r>
    <x v="723"/>
    <s v="Student_723"/>
    <x v="4"/>
    <x v="0"/>
    <d v="2022-07-13T00:00:00"/>
    <x v="1"/>
    <n v="6799"/>
    <x v="706"/>
    <x v="97"/>
    <n v="45"/>
  </r>
  <r>
    <x v="724"/>
    <s v="Student_724"/>
    <x v="6"/>
    <x v="1"/>
    <d v="2023-01-30T00:00:00"/>
    <x v="0"/>
    <n v="7388"/>
    <x v="707"/>
    <x v="143"/>
    <n v="118"/>
  </r>
  <r>
    <x v="725"/>
    <s v="Student_725"/>
    <x v="0"/>
    <x v="2"/>
    <d v="2023-12-29T00:00:00"/>
    <x v="0"/>
    <n v="2383"/>
    <x v="708"/>
    <x v="31"/>
    <n v="8"/>
  </r>
  <r>
    <x v="726"/>
    <s v="Student_726"/>
    <x v="6"/>
    <x v="1"/>
    <d v="2022-02-13T00:00:00"/>
    <x v="1"/>
    <n v="7853"/>
    <x v="709"/>
    <x v="47"/>
    <n v="4"/>
  </r>
  <r>
    <x v="727"/>
    <s v="Student_727"/>
    <x v="5"/>
    <x v="0"/>
    <d v="2024-04-01T00:00:00"/>
    <x v="0"/>
    <n v="12713"/>
    <x v="710"/>
    <x v="151"/>
    <n v="95"/>
  </r>
  <r>
    <x v="728"/>
    <s v="Student_728"/>
    <x v="7"/>
    <x v="3"/>
    <d v="2022-09-17T00:00:00"/>
    <x v="1"/>
    <n v="4256"/>
    <x v="711"/>
    <x v="126"/>
    <n v="32"/>
  </r>
  <r>
    <x v="729"/>
    <s v="Student_729"/>
    <x v="5"/>
    <x v="2"/>
    <d v="2022-09-27T00:00:00"/>
    <x v="0"/>
    <n v="9110"/>
    <x v="712"/>
    <x v="97"/>
    <n v="103"/>
  </r>
  <r>
    <x v="730"/>
    <s v="Student_730"/>
    <x v="4"/>
    <x v="1"/>
    <d v="2023-01-23T00:00:00"/>
    <x v="2"/>
    <n v="3316"/>
    <x v="713"/>
    <x v="29"/>
    <n v="110"/>
  </r>
  <r>
    <x v="731"/>
    <s v="Student_731"/>
    <x v="1"/>
    <x v="3"/>
    <d v="2024-01-09T00:00:00"/>
    <x v="0"/>
    <n v="5395"/>
    <x v="714"/>
    <x v="110"/>
    <n v="50"/>
  </r>
  <r>
    <x v="732"/>
    <s v="Student_732"/>
    <x v="0"/>
    <x v="3"/>
    <d v="2024-02-01T00:00:00"/>
    <x v="0"/>
    <n v="13318"/>
    <x v="715"/>
    <x v="94"/>
    <n v="45"/>
  </r>
  <r>
    <x v="733"/>
    <s v="Student_733"/>
    <x v="4"/>
    <x v="0"/>
    <d v="2022-08-27T00:00:00"/>
    <x v="1"/>
    <n v="6241"/>
    <x v="716"/>
    <x v="151"/>
    <n v="111"/>
  </r>
  <r>
    <x v="734"/>
    <s v="Student_734"/>
    <x v="7"/>
    <x v="1"/>
    <d v="2022-01-17T00:00:00"/>
    <x v="0"/>
    <n v="8037"/>
    <x v="717"/>
    <x v="33"/>
    <n v="28"/>
  </r>
  <r>
    <x v="735"/>
    <s v="Student_735"/>
    <x v="6"/>
    <x v="1"/>
    <d v="2022-06-19T00:00:00"/>
    <x v="0"/>
    <n v="10127"/>
    <x v="718"/>
    <x v="95"/>
    <n v="89"/>
  </r>
  <r>
    <x v="736"/>
    <s v="Student_736"/>
    <x v="0"/>
    <x v="3"/>
    <d v="2023-02-18T00:00:00"/>
    <x v="0"/>
    <n v="12789"/>
    <x v="719"/>
    <x v="67"/>
    <n v="90"/>
  </r>
  <r>
    <x v="737"/>
    <s v="Student_737"/>
    <x v="7"/>
    <x v="0"/>
    <d v="2022-06-07T00:00:00"/>
    <x v="0"/>
    <n v="10155"/>
    <x v="720"/>
    <x v="167"/>
    <n v="38"/>
  </r>
  <r>
    <x v="738"/>
    <s v="Student_738"/>
    <x v="7"/>
    <x v="2"/>
    <d v="2023-02-18T00:00:00"/>
    <x v="0"/>
    <n v="6971"/>
    <x v="721"/>
    <x v="142"/>
    <n v="54"/>
  </r>
  <r>
    <x v="739"/>
    <s v="Student_739"/>
    <x v="7"/>
    <x v="0"/>
    <d v="2022-02-04T00:00:00"/>
    <x v="0"/>
    <n v="9877"/>
    <x v="722"/>
    <x v="129"/>
    <n v="25"/>
  </r>
  <r>
    <x v="740"/>
    <s v="Student_740"/>
    <x v="1"/>
    <x v="1"/>
    <d v="2023-07-09T00:00:00"/>
    <x v="0"/>
    <n v="9561"/>
    <x v="723"/>
    <x v="94"/>
    <n v="68"/>
  </r>
  <r>
    <x v="741"/>
    <s v="Student_741"/>
    <x v="7"/>
    <x v="0"/>
    <d v="2022-05-16T00:00:00"/>
    <x v="0"/>
    <n v="6012"/>
    <x v="137"/>
    <x v="65"/>
    <n v="50"/>
  </r>
  <r>
    <x v="742"/>
    <s v="Student_742"/>
    <x v="3"/>
    <x v="0"/>
    <d v="2023-08-10T00:00:00"/>
    <x v="0"/>
    <n v="12717"/>
    <x v="724"/>
    <x v="176"/>
    <n v="61"/>
  </r>
  <r>
    <x v="743"/>
    <s v="Student_743"/>
    <x v="4"/>
    <x v="1"/>
    <d v="2023-05-16T00:00:00"/>
    <x v="0"/>
    <n v="5344"/>
    <x v="725"/>
    <x v="96"/>
    <n v="108"/>
  </r>
  <r>
    <x v="744"/>
    <s v="Student_744"/>
    <x v="6"/>
    <x v="3"/>
    <d v="2022-08-31T00:00:00"/>
    <x v="0"/>
    <n v="2025"/>
    <x v="726"/>
    <x v="157"/>
    <n v="23"/>
  </r>
  <r>
    <x v="745"/>
    <s v="Student_745"/>
    <x v="1"/>
    <x v="2"/>
    <d v="2022-10-17T00:00:00"/>
    <x v="0"/>
    <n v="13185"/>
    <x v="727"/>
    <x v="152"/>
    <n v="55"/>
  </r>
  <r>
    <x v="746"/>
    <s v="Student_746"/>
    <x v="7"/>
    <x v="0"/>
    <d v="2024-03-18T00:00:00"/>
    <x v="0"/>
    <n v="3683"/>
    <x v="728"/>
    <x v="191"/>
    <n v="9"/>
  </r>
  <r>
    <x v="747"/>
    <s v="Student_747"/>
    <x v="1"/>
    <x v="3"/>
    <d v="2023-06-10T00:00:00"/>
    <x v="0"/>
    <n v="6337"/>
    <x v="729"/>
    <x v="59"/>
    <n v="38"/>
  </r>
  <r>
    <x v="748"/>
    <s v="Student_748"/>
    <x v="4"/>
    <x v="0"/>
    <d v="2022-09-20T00:00:00"/>
    <x v="0"/>
    <n v="10576"/>
    <x v="730"/>
    <x v="192"/>
    <n v="12"/>
  </r>
  <r>
    <x v="749"/>
    <s v="Student_749"/>
    <x v="7"/>
    <x v="2"/>
    <d v="2023-06-05T00:00:00"/>
    <x v="1"/>
    <n v="13691"/>
    <x v="62"/>
    <x v="69"/>
    <n v="76"/>
  </r>
  <r>
    <x v="750"/>
    <s v="Student_750"/>
    <x v="7"/>
    <x v="1"/>
    <d v="2024-03-28T00:00:00"/>
    <x v="0"/>
    <n v="10341"/>
    <x v="731"/>
    <x v="136"/>
    <n v="55"/>
  </r>
  <r>
    <x v="751"/>
    <s v="Student_751"/>
    <x v="7"/>
    <x v="1"/>
    <d v="2022-01-12T00:00:00"/>
    <x v="0"/>
    <n v="6833"/>
    <x v="732"/>
    <x v="3"/>
    <n v="100"/>
  </r>
  <r>
    <x v="752"/>
    <s v="Student_752"/>
    <x v="2"/>
    <x v="3"/>
    <d v="2024-01-09T00:00:00"/>
    <x v="0"/>
    <n v="11055"/>
    <x v="733"/>
    <x v="55"/>
    <n v="60"/>
  </r>
  <r>
    <x v="753"/>
    <s v="Student_753"/>
    <x v="7"/>
    <x v="3"/>
    <d v="2022-11-30T00:00:00"/>
    <x v="0"/>
    <n v="4932"/>
    <x v="734"/>
    <x v="135"/>
    <n v="16"/>
  </r>
  <r>
    <x v="754"/>
    <s v="Student_754"/>
    <x v="2"/>
    <x v="3"/>
    <d v="2024-06-01T00:00:00"/>
    <x v="0"/>
    <n v="11129"/>
    <x v="735"/>
    <x v="197"/>
    <n v="103"/>
  </r>
  <r>
    <x v="755"/>
    <s v="Student_755"/>
    <x v="4"/>
    <x v="0"/>
    <d v="2022-10-28T00:00:00"/>
    <x v="2"/>
    <n v="6819"/>
    <x v="736"/>
    <x v="85"/>
    <n v="106"/>
  </r>
  <r>
    <x v="756"/>
    <s v="Student_756"/>
    <x v="4"/>
    <x v="0"/>
    <d v="2022-10-09T00:00:00"/>
    <x v="1"/>
    <n v="2016"/>
    <x v="737"/>
    <x v="44"/>
    <n v="68"/>
  </r>
  <r>
    <x v="757"/>
    <s v="Student_757"/>
    <x v="7"/>
    <x v="2"/>
    <d v="2022-05-05T00:00:00"/>
    <x v="1"/>
    <n v="4792"/>
    <x v="159"/>
    <x v="44"/>
    <n v="62"/>
  </r>
  <r>
    <x v="758"/>
    <s v="Student_758"/>
    <x v="7"/>
    <x v="2"/>
    <d v="2022-06-01T00:00:00"/>
    <x v="1"/>
    <n v="11623"/>
    <x v="738"/>
    <x v="112"/>
    <n v="104"/>
  </r>
  <r>
    <x v="759"/>
    <s v="Student_759"/>
    <x v="3"/>
    <x v="2"/>
    <d v="2022-12-17T00:00:00"/>
    <x v="0"/>
    <n v="8319"/>
    <x v="739"/>
    <x v="65"/>
    <n v="50"/>
  </r>
  <r>
    <x v="760"/>
    <s v="Student_760"/>
    <x v="0"/>
    <x v="0"/>
    <d v="2023-04-29T00:00:00"/>
    <x v="0"/>
    <n v="8191"/>
    <x v="740"/>
    <x v="87"/>
    <n v="73"/>
  </r>
  <r>
    <x v="761"/>
    <s v="Student_761"/>
    <x v="2"/>
    <x v="0"/>
    <d v="2022-08-29T00:00:00"/>
    <x v="0"/>
    <n v="7244"/>
    <x v="741"/>
    <x v="108"/>
    <n v="57"/>
  </r>
  <r>
    <x v="762"/>
    <s v="Student_762"/>
    <x v="3"/>
    <x v="0"/>
    <d v="2022-08-14T00:00:00"/>
    <x v="0"/>
    <n v="9367"/>
    <x v="742"/>
    <x v="75"/>
    <n v="74"/>
  </r>
  <r>
    <x v="763"/>
    <s v="Student_763"/>
    <x v="3"/>
    <x v="0"/>
    <d v="2024-01-20T00:00:00"/>
    <x v="0"/>
    <n v="10808"/>
    <x v="743"/>
    <x v="170"/>
    <n v="0"/>
  </r>
  <r>
    <x v="764"/>
    <s v="Student_764"/>
    <x v="4"/>
    <x v="0"/>
    <d v="2023-03-18T00:00:00"/>
    <x v="0"/>
    <n v="8446"/>
    <x v="744"/>
    <x v="116"/>
    <n v="112"/>
  </r>
  <r>
    <x v="765"/>
    <s v="Student_765"/>
    <x v="4"/>
    <x v="0"/>
    <d v="2023-12-25T00:00:00"/>
    <x v="0"/>
    <n v="2490"/>
    <x v="745"/>
    <x v="77"/>
    <n v="12"/>
  </r>
  <r>
    <x v="766"/>
    <s v="Student_766"/>
    <x v="2"/>
    <x v="2"/>
    <d v="2022-06-16T00:00:00"/>
    <x v="1"/>
    <n v="11291"/>
    <x v="746"/>
    <x v="116"/>
    <n v="74"/>
  </r>
  <r>
    <x v="767"/>
    <s v="Student_767"/>
    <x v="4"/>
    <x v="1"/>
    <d v="2022-09-20T00:00:00"/>
    <x v="0"/>
    <n v="4470"/>
    <x v="747"/>
    <x v="83"/>
    <n v="24"/>
  </r>
  <r>
    <x v="768"/>
    <s v="Student_768"/>
    <x v="2"/>
    <x v="3"/>
    <d v="2023-04-20T00:00:00"/>
    <x v="2"/>
    <n v="8068"/>
    <x v="748"/>
    <x v="160"/>
    <n v="39"/>
  </r>
  <r>
    <x v="769"/>
    <s v="Student_769"/>
    <x v="6"/>
    <x v="1"/>
    <d v="2022-07-23T00:00:00"/>
    <x v="1"/>
    <n v="2556"/>
    <x v="106"/>
    <x v="109"/>
    <n v="66"/>
  </r>
  <r>
    <x v="770"/>
    <s v="Student_770"/>
    <x v="1"/>
    <x v="2"/>
    <d v="2023-10-06T00:00:00"/>
    <x v="1"/>
    <n v="13388"/>
    <x v="749"/>
    <x v="34"/>
    <n v="114"/>
  </r>
  <r>
    <x v="771"/>
    <s v="Student_771"/>
    <x v="2"/>
    <x v="0"/>
    <d v="2024-02-28T00:00:00"/>
    <x v="0"/>
    <n v="8490"/>
    <x v="750"/>
    <x v="110"/>
    <n v="51"/>
  </r>
  <r>
    <x v="772"/>
    <s v="Student_772"/>
    <x v="1"/>
    <x v="2"/>
    <d v="2024-03-04T00:00:00"/>
    <x v="0"/>
    <n v="5597"/>
    <x v="751"/>
    <x v="36"/>
    <n v="106"/>
  </r>
  <r>
    <x v="773"/>
    <s v="Student_773"/>
    <x v="5"/>
    <x v="1"/>
    <d v="2022-06-23T00:00:00"/>
    <x v="1"/>
    <n v="3334"/>
    <x v="427"/>
    <x v="59"/>
    <n v="49"/>
  </r>
  <r>
    <x v="774"/>
    <s v="Student_774"/>
    <x v="3"/>
    <x v="3"/>
    <d v="2023-02-25T00:00:00"/>
    <x v="0"/>
    <n v="5127"/>
    <x v="659"/>
    <x v="16"/>
    <n v="109"/>
  </r>
  <r>
    <x v="775"/>
    <s v="Student_775"/>
    <x v="1"/>
    <x v="1"/>
    <d v="2023-10-31T00:00:00"/>
    <x v="1"/>
    <n v="5285"/>
    <x v="752"/>
    <x v="31"/>
    <n v="96"/>
  </r>
  <r>
    <x v="776"/>
    <s v="Student_776"/>
    <x v="5"/>
    <x v="0"/>
    <d v="2022-03-02T00:00:00"/>
    <x v="1"/>
    <n v="13700"/>
    <x v="753"/>
    <x v="167"/>
    <n v="32"/>
  </r>
  <r>
    <x v="777"/>
    <s v="Student_777"/>
    <x v="5"/>
    <x v="2"/>
    <d v="2023-11-18T00:00:00"/>
    <x v="1"/>
    <n v="5236"/>
    <x v="754"/>
    <x v="125"/>
    <n v="28"/>
  </r>
  <r>
    <x v="778"/>
    <s v="Student_778"/>
    <x v="4"/>
    <x v="3"/>
    <d v="2022-09-14T00:00:00"/>
    <x v="0"/>
    <n v="14446"/>
    <x v="755"/>
    <x v="84"/>
    <n v="20"/>
  </r>
  <r>
    <x v="779"/>
    <s v="Student_779"/>
    <x v="0"/>
    <x v="2"/>
    <d v="2024-01-02T00:00:00"/>
    <x v="0"/>
    <n v="9347"/>
    <x v="756"/>
    <x v="19"/>
    <n v="77"/>
  </r>
  <r>
    <x v="780"/>
    <s v="Student_780"/>
    <x v="3"/>
    <x v="2"/>
    <d v="2022-10-10T00:00:00"/>
    <x v="0"/>
    <n v="7036"/>
    <x v="757"/>
    <x v="105"/>
    <n v="92"/>
  </r>
  <r>
    <x v="781"/>
    <s v="Student_781"/>
    <x v="1"/>
    <x v="0"/>
    <d v="2023-09-27T00:00:00"/>
    <x v="2"/>
    <n v="2807"/>
    <x v="758"/>
    <x v="116"/>
    <n v="17"/>
  </r>
  <r>
    <x v="782"/>
    <s v="Student_782"/>
    <x v="6"/>
    <x v="3"/>
    <d v="2022-01-11T00:00:00"/>
    <x v="1"/>
    <n v="4713"/>
    <x v="759"/>
    <x v="49"/>
    <n v="83"/>
  </r>
  <r>
    <x v="783"/>
    <s v="Student_783"/>
    <x v="2"/>
    <x v="3"/>
    <d v="2023-06-23T00:00:00"/>
    <x v="0"/>
    <n v="8738"/>
    <x v="760"/>
    <x v="46"/>
    <n v="29"/>
  </r>
  <r>
    <x v="784"/>
    <s v="Student_784"/>
    <x v="3"/>
    <x v="2"/>
    <d v="2023-10-19T00:00:00"/>
    <x v="0"/>
    <n v="5873"/>
    <x v="263"/>
    <x v="49"/>
    <n v="60"/>
  </r>
  <r>
    <x v="785"/>
    <s v="Student_785"/>
    <x v="2"/>
    <x v="3"/>
    <d v="2023-08-14T00:00:00"/>
    <x v="0"/>
    <n v="2955"/>
    <x v="761"/>
    <x v="192"/>
    <n v="92"/>
  </r>
  <r>
    <x v="786"/>
    <s v="Student_786"/>
    <x v="0"/>
    <x v="0"/>
    <d v="2023-09-20T00:00:00"/>
    <x v="1"/>
    <n v="14511"/>
    <x v="762"/>
    <x v="160"/>
    <n v="66"/>
  </r>
  <r>
    <x v="787"/>
    <s v="Student_787"/>
    <x v="4"/>
    <x v="0"/>
    <d v="2024-03-28T00:00:00"/>
    <x v="0"/>
    <n v="5957"/>
    <x v="763"/>
    <x v="139"/>
    <n v="76"/>
  </r>
  <r>
    <x v="788"/>
    <s v="Student_788"/>
    <x v="5"/>
    <x v="1"/>
    <d v="2023-10-06T00:00:00"/>
    <x v="0"/>
    <n v="12871"/>
    <x v="764"/>
    <x v="30"/>
    <n v="55"/>
  </r>
  <r>
    <x v="789"/>
    <s v="Student_789"/>
    <x v="3"/>
    <x v="0"/>
    <d v="2023-12-05T00:00:00"/>
    <x v="0"/>
    <n v="10218"/>
    <x v="765"/>
    <x v="62"/>
    <n v="103"/>
  </r>
  <r>
    <x v="790"/>
    <s v="Student_790"/>
    <x v="1"/>
    <x v="0"/>
    <d v="2023-11-03T00:00:00"/>
    <x v="1"/>
    <n v="6960"/>
    <x v="766"/>
    <x v="56"/>
    <n v="23"/>
  </r>
  <r>
    <x v="791"/>
    <s v="Student_791"/>
    <x v="4"/>
    <x v="2"/>
    <d v="2022-09-04T00:00:00"/>
    <x v="0"/>
    <n v="6829"/>
    <x v="767"/>
    <x v="175"/>
    <n v="39"/>
  </r>
  <r>
    <x v="792"/>
    <s v="Student_792"/>
    <x v="6"/>
    <x v="1"/>
    <d v="2024-06-01T00:00:00"/>
    <x v="0"/>
    <n v="9470"/>
    <x v="364"/>
    <x v="52"/>
    <n v="17"/>
  </r>
  <r>
    <x v="793"/>
    <s v="Student_793"/>
    <x v="7"/>
    <x v="1"/>
    <d v="2022-10-11T00:00:00"/>
    <x v="1"/>
    <n v="11385"/>
    <x v="768"/>
    <x v="168"/>
    <n v="103"/>
  </r>
  <r>
    <x v="794"/>
    <s v="Student_794"/>
    <x v="7"/>
    <x v="3"/>
    <d v="2024-02-03T00:00:00"/>
    <x v="2"/>
    <n v="6371"/>
    <x v="769"/>
    <x v="125"/>
    <n v="9"/>
  </r>
  <r>
    <x v="795"/>
    <s v="Student_795"/>
    <x v="7"/>
    <x v="0"/>
    <d v="2023-09-19T00:00:00"/>
    <x v="0"/>
    <n v="12348"/>
    <x v="770"/>
    <x v="167"/>
    <n v="86"/>
  </r>
  <r>
    <x v="796"/>
    <s v="Student_796"/>
    <x v="3"/>
    <x v="0"/>
    <d v="2023-05-22T00:00:00"/>
    <x v="1"/>
    <n v="11630"/>
    <x v="771"/>
    <x v="96"/>
    <n v="1"/>
  </r>
  <r>
    <x v="797"/>
    <s v="Student_797"/>
    <x v="3"/>
    <x v="0"/>
    <d v="2024-05-21T00:00:00"/>
    <x v="0"/>
    <n v="8458"/>
    <x v="772"/>
    <x v="168"/>
    <n v="103"/>
  </r>
  <r>
    <x v="798"/>
    <s v="Student_798"/>
    <x v="4"/>
    <x v="3"/>
    <d v="2023-11-28T00:00:00"/>
    <x v="0"/>
    <n v="5481"/>
    <x v="773"/>
    <x v="128"/>
    <n v="99"/>
  </r>
  <r>
    <x v="799"/>
    <s v="Student_799"/>
    <x v="7"/>
    <x v="1"/>
    <d v="2023-01-30T00:00:00"/>
    <x v="0"/>
    <n v="9827"/>
    <x v="774"/>
    <x v="92"/>
    <n v="9"/>
  </r>
  <r>
    <x v="800"/>
    <s v="Student_800"/>
    <x v="3"/>
    <x v="0"/>
    <d v="2023-10-14T00:00:00"/>
    <x v="0"/>
    <n v="9017"/>
    <x v="775"/>
    <x v="195"/>
    <n v="104"/>
  </r>
  <r>
    <x v="801"/>
    <s v="Student_801"/>
    <x v="0"/>
    <x v="2"/>
    <d v="2023-02-22T00:00:00"/>
    <x v="0"/>
    <n v="7088"/>
    <x v="776"/>
    <x v="43"/>
    <n v="13"/>
  </r>
  <r>
    <x v="802"/>
    <s v="Student_802"/>
    <x v="7"/>
    <x v="1"/>
    <d v="2023-10-20T00:00:00"/>
    <x v="0"/>
    <n v="6708"/>
    <x v="777"/>
    <x v="6"/>
    <n v="116"/>
  </r>
  <r>
    <x v="803"/>
    <s v="Student_803"/>
    <x v="7"/>
    <x v="3"/>
    <d v="2022-10-20T00:00:00"/>
    <x v="0"/>
    <n v="8649"/>
    <x v="778"/>
    <x v="36"/>
    <n v="104"/>
  </r>
  <r>
    <x v="804"/>
    <s v="Student_804"/>
    <x v="4"/>
    <x v="0"/>
    <d v="2023-04-18T00:00:00"/>
    <x v="0"/>
    <n v="14403"/>
    <x v="779"/>
    <x v="2"/>
    <n v="12"/>
  </r>
  <r>
    <x v="805"/>
    <s v="Student_805"/>
    <x v="3"/>
    <x v="2"/>
    <d v="2024-01-23T00:00:00"/>
    <x v="0"/>
    <n v="6558"/>
    <x v="780"/>
    <x v="97"/>
    <n v="41"/>
  </r>
  <r>
    <x v="806"/>
    <s v="Student_806"/>
    <x v="7"/>
    <x v="2"/>
    <d v="2022-11-06T00:00:00"/>
    <x v="0"/>
    <n v="9997"/>
    <x v="781"/>
    <x v="148"/>
    <n v="31"/>
  </r>
  <r>
    <x v="807"/>
    <s v="Student_807"/>
    <x v="4"/>
    <x v="3"/>
    <d v="2024-03-30T00:00:00"/>
    <x v="0"/>
    <n v="2195"/>
    <x v="782"/>
    <x v="28"/>
    <n v="29"/>
  </r>
  <r>
    <x v="808"/>
    <s v="Student_808"/>
    <x v="2"/>
    <x v="0"/>
    <d v="2022-01-18T00:00:00"/>
    <x v="0"/>
    <n v="5342"/>
    <x v="783"/>
    <x v="44"/>
    <n v="28"/>
  </r>
  <r>
    <x v="809"/>
    <s v="Student_809"/>
    <x v="7"/>
    <x v="0"/>
    <d v="2022-03-11T00:00:00"/>
    <x v="1"/>
    <n v="8312"/>
    <x v="784"/>
    <x v="112"/>
    <n v="60"/>
  </r>
  <r>
    <x v="810"/>
    <s v="Student_810"/>
    <x v="3"/>
    <x v="0"/>
    <d v="2022-08-08T00:00:00"/>
    <x v="0"/>
    <n v="11533"/>
    <x v="785"/>
    <x v="167"/>
    <n v="102"/>
  </r>
  <r>
    <x v="811"/>
    <s v="Student_811"/>
    <x v="0"/>
    <x v="1"/>
    <d v="2022-12-27T00:00:00"/>
    <x v="0"/>
    <n v="13511"/>
    <x v="786"/>
    <x v="156"/>
    <n v="28"/>
  </r>
  <r>
    <x v="812"/>
    <s v="Student_812"/>
    <x v="2"/>
    <x v="1"/>
    <d v="2022-12-03T00:00:00"/>
    <x v="0"/>
    <n v="14695"/>
    <x v="787"/>
    <x v="84"/>
    <n v="22"/>
  </r>
  <r>
    <x v="813"/>
    <s v="Student_813"/>
    <x v="5"/>
    <x v="2"/>
    <d v="2022-09-06T00:00:00"/>
    <x v="0"/>
    <n v="4571"/>
    <x v="788"/>
    <x v="128"/>
    <n v="94"/>
  </r>
  <r>
    <x v="814"/>
    <s v="Student_814"/>
    <x v="0"/>
    <x v="2"/>
    <d v="2022-03-24T00:00:00"/>
    <x v="1"/>
    <n v="12837"/>
    <x v="789"/>
    <x v="43"/>
    <n v="37"/>
  </r>
  <r>
    <x v="815"/>
    <s v="Student_815"/>
    <x v="4"/>
    <x v="0"/>
    <d v="2024-05-22T00:00:00"/>
    <x v="1"/>
    <n v="3199"/>
    <x v="447"/>
    <x v="77"/>
    <n v="5"/>
  </r>
  <r>
    <x v="816"/>
    <s v="Student_816"/>
    <x v="0"/>
    <x v="2"/>
    <d v="2024-05-02T00:00:00"/>
    <x v="1"/>
    <n v="2199"/>
    <x v="790"/>
    <x v="168"/>
    <n v="33"/>
  </r>
  <r>
    <x v="817"/>
    <s v="Student_817"/>
    <x v="4"/>
    <x v="2"/>
    <d v="2024-04-02T00:00:00"/>
    <x v="1"/>
    <n v="2150"/>
    <x v="791"/>
    <x v="139"/>
    <n v="23"/>
  </r>
  <r>
    <x v="818"/>
    <s v="Student_818"/>
    <x v="1"/>
    <x v="3"/>
    <d v="2024-06-18T00:00:00"/>
    <x v="2"/>
    <n v="9905"/>
    <x v="792"/>
    <x v="21"/>
    <n v="101"/>
  </r>
  <r>
    <x v="819"/>
    <s v="Student_819"/>
    <x v="0"/>
    <x v="3"/>
    <d v="2022-10-07T00:00:00"/>
    <x v="0"/>
    <n v="2124"/>
    <x v="793"/>
    <x v="153"/>
    <n v="39"/>
  </r>
  <r>
    <x v="820"/>
    <s v="Student_820"/>
    <x v="7"/>
    <x v="0"/>
    <d v="2024-05-20T00:00:00"/>
    <x v="0"/>
    <n v="2690"/>
    <x v="251"/>
    <x v="69"/>
    <n v="15"/>
  </r>
  <r>
    <x v="821"/>
    <s v="Student_821"/>
    <x v="7"/>
    <x v="3"/>
    <d v="2022-07-28T00:00:00"/>
    <x v="0"/>
    <n v="13523"/>
    <x v="794"/>
    <x v="104"/>
    <n v="2"/>
  </r>
  <r>
    <x v="822"/>
    <s v="Student_822"/>
    <x v="2"/>
    <x v="2"/>
    <d v="2022-03-11T00:00:00"/>
    <x v="0"/>
    <n v="13442"/>
    <x v="795"/>
    <x v="63"/>
    <n v="72"/>
  </r>
  <r>
    <x v="823"/>
    <s v="Student_823"/>
    <x v="3"/>
    <x v="1"/>
    <d v="2024-02-05T00:00:00"/>
    <x v="1"/>
    <n v="6885"/>
    <x v="796"/>
    <x v="23"/>
    <n v="111"/>
  </r>
  <r>
    <x v="824"/>
    <s v="Student_824"/>
    <x v="5"/>
    <x v="3"/>
    <d v="2022-02-26T00:00:00"/>
    <x v="1"/>
    <n v="5021"/>
    <x v="797"/>
    <x v="162"/>
    <n v="97"/>
  </r>
  <r>
    <x v="825"/>
    <s v="Student_825"/>
    <x v="1"/>
    <x v="2"/>
    <d v="2022-02-21T00:00:00"/>
    <x v="0"/>
    <n v="7061"/>
    <x v="798"/>
    <x v="129"/>
    <n v="26"/>
  </r>
  <r>
    <x v="826"/>
    <s v="Student_826"/>
    <x v="0"/>
    <x v="3"/>
    <d v="2024-04-27T00:00:00"/>
    <x v="1"/>
    <n v="7729"/>
    <x v="799"/>
    <x v="16"/>
    <n v="59"/>
  </r>
  <r>
    <x v="827"/>
    <s v="Student_827"/>
    <x v="6"/>
    <x v="1"/>
    <d v="2022-03-18T00:00:00"/>
    <x v="1"/>
    <n v="12330"/>
    <x v="800"/>
    <x v="40"/>
    <n v="59"/>
  </r>
  <r>
    <x v="828"/>
    <s v="Student_828"/>
    <x v="2"/>
    <x v="2"/>
    <d v="2022-03-29T00:00:00"/>
    <x v="1"/>
    <n v="11714"/>
    <x v="801"/>
    <x v="112"/>
    <n v="87"/>
  </r>
  <r>
    <x v="829"/>
    <s v="Student_829"/>
    <x v="0"/>
    <x v="1"/>
    <d v="2022-03-21T00:00:00"/>
    <x v="1"/>
    <n v="11559"/>
    <x v="802"/>
    <x v="57"/>
    <n v="13"/>
  </r>
  <r>
    <x v="830"/>
    <s v="Student_830"/>
    <x v="7"/>
    <x v="3"/>
    <d v="2024-02-23T00:00:00"/>
    <x v="0"/>
    <n v="14978"/>
    <x v="803"/>
    <x v="87"/>
    <n v="12"/>
  </r>
  <r>
    <x v="831"/>
    <s v="Student_831"/>
    <x v="6"/>
    <x v="0"/>
    <d v="2022-02-23T00:00:00"/>
    <x v="0"/>
    <n v="11976"/>
    <x v="181"/>
    <x v="115"/>
    <n v="10"/>
  </r>
  <r>
    <x v="832"/>
    <s v="Student_832"/>
    <x v="2"/>
    <x v="1"/>
    <d v="2023-01-04T00:00:00"/>
    <x v="0"/>
    <n v="14178"/>
    <x v="804"/>
    <x v="175"/>
    <n v="91"/>
  </r>
  <r>
    <x v="833"/>
    <s v="Student_833"/>
    <x v="1"/>
    <x v="0"/>
    <d v="2022-02-19T00:00:00"/>
    <x v="0"/>
    <n v="12592"/>
    <x v="805"/>
    <x v="65"/>
    <n v="68"/>
  </r>
  <r>
    <x v="834"/>
    <s v="Student_834"/>
    <x v="2"/>
    <x v="1"/>
    <d v="2023-02-07T00:00:00"/>
    <x v="1"/>
    <n v="2380"/>
    <x v="806"/>
    <x v="149"/>
    <n v="3"/>
  </r>
  <r>
    <x v="835"/>
    <s v="Student_835"/>
    <x v="0"/>
    <x v="2"/>
    <d v="2023-03-02T00:00:00"/>
    <x v="0"/>
    <n v="3078"/>
    <x v="407"/>
    <x v="5"/>
    <n v="72"/>
  </r>
  <r>
    <x v="836"/>
    <s v="Student_836"/>
    <x v="5"/>
    <x v="2"/>
    <d v="2024-01-30T00:00:00"/>
    <x v="2"/>
    <n v="6374"/>
    <x v="807"/>
    <x v="41"/>
    <n v="52"/>
  </r>
  <r>
    <x v="837"/>
    <s v="Student_837"/>
    <x v="5"/>
    <x v="1"/>
    <d v="2023-10-03T00:00:00"/>
    <x v="1"/>
    <n v="3040"/>
    <x v="808"/>
    <x v="121"/>
    <n v="92"/>
  </r>
  <r>
    <x v="838"/>
    <s v="Student_838"/>
    <x v="0"/>
    <x v="2"/>
    <d v="2022-06-13T00:00:00"/>
    <x v="1"/>
    <n v="13689"/>
    <x v="266"/>
    <x v="150"/>
    <n v="78"/>
  </r>
  <r>
    <x v="839"/>
    <s v="Student_839"/>
    <x v="0"/>
    <x v="1"/>
    <d v="2023-02-01T00:00:00"/>
    <x v="0"/>
    <n v="6036"/>
    <x v="809"/>
    <x v="100"/>
    <n v="39"/>
  </r>
  <r>
    <x v="840"/>
    <s v="Student_840"/>
    <x v="4"/>
    <x v="1"/>
    <d v="2024-02-18T00:00:00"/>
    <x v="1"/>
    <n v="9926"/>
    <x v="810"/>
    <x v="4"/>
    <n v="7"/>
  </r>
  <r>
    <x v="841"/>
    <s v="Student_841"/>
    <x v="3"/>
    <x v="0"/>
    <d v="2022-08-03T00:00:00"/>
    <x v="1"/>
    <n v="9699"/>
    <x v="811"/>
    <x v="93"/>
    <n v="25"/>
  </r>
  <r>
    <x v="842"/>
    <s v="Student_842"/>
    <x v="3"/>
    <x v="0"/>
    <d v="2022-06-15T00:00:00"/>
    <x v="0"/>
    <n v="7281"/>
    <x v="812"/>
    <x v="155"/>
    <n v="89"/>
  </r>
  <r>
    <x v="843"/>
    <s v="Student_843"/>
    <x v="0"/>
    <x v="1"/>
    <d v="2022-10-19T00:00:00"/>
    <x v="2"/>
    <n v="7435"/>
    <x v="813"/>
    <x v="55"/>
    <n v="17"/>
  </r>
  <r>
    <x v="844"/>
    <s v="Student_844"/>
    <x v="5"/>
    <x v="0"/>
    <d v="2024-04-12T00:00:00"/>
    <x v="0"/>
    <n v="14977"/>
    <x v="814"/>
    <x v="22"/>
    <n v="60"/>
  </r>
  <r>
    <x v="845"/>
    <s v="Student_845"/>
    <x v="1"/>
    <x v="3"/>
    <d v="2023-06-15T00:00:00"/>
    <x v="0"/>
    <n v="14578"/>
    <x v="815"/>
    <x v="127"/>
    <n v="34"/>
  </r>
  <r>
    <x v="846"/>
    <s v="Student_846"/>
    <x v="6"/>
    <x v="2"/>
    <d v="2022-02-20T00:00:00"/>
    <x v="1"/>
    <n v="2664"/>
    <x v="816"/>
    <x v="119"/>
    <n v="77"/>
  </r>
  <r>
    <x v="847"/>
    <s v="Student_847"/>
    <x v="2"/>
    <x v="1"/>
    <d v="2022-08-19T00:00:00"/>
    <x v="0"/>
    <n v="11301"/>
    <x v="817"/>
    <x v="17"/>
    <n v="96"/>
  </r>
  <r>
    <x v="848"/>
    <s v="Student_848"/>
    <x v="2"/>
    <x v="2"/>
    <d v="2023-09-04T00:00:00"/>
    <x v="1"/>
    <n v="4379"/>
    <x v="818"/>
    <x v="34"/>
    <n v="39"/>
  </r>
  <r>
    <x v="849"/>
    <s v="Student_849"/>
    <x v="4"/>
    <x v="3"/>
    <d v="2022-07-25T00:00:00"/>
    <x v="0"/>
    <n v="13197"/>
    <x v="819"/>
    <x v="163"/>
    <n v="26"/>
  </r>
  <r>
    <x v="850"/>
    <s v="Student_850"/>
    <x v="7"/>
    <x v="1"/>
    <d v="2023-10-09T00:00:00"/>
    <x v="1"/>
    <n v="14472"/>
    <x v="609"/>
    <x v="73"/>
    <n v="18"/>
  </r>
  <r>
    <x v="851"/>
    <s v="Student_851"/>
    <x v="2"/>
    <x v="3"/>
    <d v="2024-04-26T00:00:00"/>
    <x v="1"/>
    <n v="6807"/>
    <x v="820"/>
    <x v="146"/>
    <n v="47"/>
  </r>
  <r>
    <x v="852"/>
    <s v="Student_852"/>
    <x v="3"/>
    <x v="1"/>
    <d v="2022-03-20T00:00:00"/>
    <x v="0"/>
    <n v="5918"/>
    <x v="821"/>
    <x v="128"/>
    <n v="105"/>
  </r>
  <r>
    <x v="853"/>
    <s v="Student_853"/>
    <x v="1"/>
    <x v="2"/>
    <d v="2023-10-11T00:00:00"/>
    <x v="1"/>
    <n v="6149"/>
    <x v="742"/>
    <x v="165"/>
    <n v="118"/>
  </r>
  <r>
    <x v="854"/>
    <s v="Student_854"/>
    <x v="6"/>
    <x v="3"/>
    <d v="2024-03-01T00:00:00"/>
    <x v="0"/>
    <n v="8365"/>
    <x v="822"/>
    <x v="37"/>
    <n v="15"/>
  </r>
  <r>
    <x v="855"/>
    <s v="Student_855"/>
    <x v="0"/>
    <x v="1"/>
    <d v="2023-07-27T00:00:00"/>
    <x v="0"/>
    <n v="9612"/>
    <x v="823"/>
    <x v="68"/>
    <n v="88"/>
  </r>
  <r>
    <x v="856"/>
    <s v="Student_856"/>
    <x v="2"/>
    <x v="1"/>
    <d v="2023-04-29T00:00:00"/>
    <x v="0"/>
    <n v="10449"/>
    <x v="824"/>
    <x v="146"/>
    <n v="54"/>
  </r>
  <r>
    <x v="857"/>
    <s v="Student_857"/>
    <x v="0"/>
    <x v="0"/>
    <d v="2022-07-22T00:00:00"/>
    <x v="1"/>
    <n v="7352"/>
    <x v="825"/>
    <x v="61"/>
    <n v="100"/>
  </r>
  <r>
    <x v="858"/>
    <s v="Student_858"/>
    <x v="4"/>
    <x v="0"/>
    <d v="2023-11-20T00:00:00"/>
    <x v="0"/>
    <n v="2312"/>
    <x v="826"/>
    <x v="112"/>
    <n v="54"/>
  </r>
  <r>
    <x v="859"/>
    <s v="Student_859"/>
    <x v="7"/>
    <x v="3"/>
    <d v="2022-08-01T00:00:00"/>
    <x v="0"/>
    <n v="12046"/>
    <x v="827"/>
    <x v="104"/>
    <n v="31"/>
  </r>
  <r>
    <x v="860"/>
    <s v="Student_860"/>
    <x v="1"/>
    <x v="2"/>
    <d v="2023-06-20T00:00:00"/>
    <x v="0"/>
    <n v="6750"/>
    <x v="828"/>
    <x v="29"/>
    <n v="114"/>
  </r>
  <r>
    <x v="861"/>
    <s v="Student_861"/>
    <x v="5"/>
    <x v="3"/>
    <d v="2023-08-28T00:00:00"/>
    <x v="0"/>
    <n v="4842"/>
    <x v="829"/>
    <x v="125"/>
    <n v="46"/>
  </r>
  <r>
    <x v="862"/>
    <s v="Student_862"/>
    <x v="7"/>
    <x v="1"/>
    <d v="2022-03-27T00:00:00"/>
    <x v="0"/>
    <n v="7267"/>
    <x v="830"/>
    <x v="68"/>
    <n v="115"/>
  </r>
  <r>
    <x v="863"/>
    <s v="Student_863"/>
    <x v="2"/>
    <x v="1"/>
    <d v="2022-12-26T00:00:00"/>
    <x v="0"/>
    <n v="8934"/>
    <x v="831"/>
    <x v="27"/>
    <n v="39"/>
  </r>
  <r>
    <x v="864"/>
    <s v="Student_864"/>
    <x v="6"/>
    <x v="3"/>
    <d v="2022-02-19T00:00:00"/>
    <x v="2"/>
    <n v="10532"/>
    <x v="832"/>
    <x v="144"/>
    <n v="109"/>
  </r>
  <r>
    <x v="865"/>
    <s v="Student_865"/>
    <x v="4"/>
    <x v="1"/>
    <d v="2023-10-16T00:00:00"/>
    <x v="1"/>
    <n v="2177"/>
    <x v="833"/>
    <x v="119"/>
    <n v="50"/>
  </r>
  <r>
    <x v="866"/>
    <s v="Student_866"/>
    <x v="7"/>
    <x v="2"/>
    <d v="2023-03-14T00:00:00"/>
    <x v="0"/>
    <n v="8971"/>
    <x v="834"/>
    <x v="170"/>
    <n v="106"/>
  </r>
  <r>
    <x v="867"/>
    <s v="Student_867"/>
    <x v="2"/>
    <x v="2"/>
    <d v="2022-07-03T00:00:00"/>
    <x v="2"/>
    <n v="13897"/>
    <x v="835"/>
    <x v="68"/>
    <n v="63"/>
  </r>
  <r>
    <x v="868"/>
    <s v="Student_868"/>
    <x v="4"/>
    <x v="0"/>
    <d v="2022-08-03T00:00:00"/>
    <x v="0"/>
    <n v="5508"/>
    <x v="836"/>
    <x v="178"/>
    <n v="17"/>
  </r>
  <r>
    <x v="869"/>
    <s v="Student_869"/>
    <x v="3"/>
    <x v="0"/>
    <d v="2023-11-21T00:00:00"/>
    <x v="0"/>
    <n v="12065"/>
    <x v="837"/>
    <x v="104"/>
    <n v="93"/>
  </r>
  <r>
    <x v="870"/>
    <s v="Student_870"/>
    <x v="7"/>
    <x v="0"/>
    <d v="2023-09-04T00:00:00"/>
    <x v="0"/>
    <n v="4499"/>
    <x v="838"/>
    <x v="79"/>
    <n v="2"/>
  </r>
  <r>
    <x v="871"/>
    <s v="Student_871"/>
    <x v="4"/>
    <x v="3"/>
    <d v="2022-11-23T00:00:00"/>
    <x v="0"/>
    <n v="12459"/>
    <x v="839"/>
    <x v="73"/>
    <n v="57"/>
  </r>
  <r>
    <x v="872"/>
    <s v="Student_872"/>
    <x v="7"/>
    <x v="0"/>
    <d v="2023-04-02T00:00:00"/>
    <x v="0"/>
    <n v="4107"/>
    <x v="840"/>
    <x v="198"/>
    <n v="8"/>
  </r>
  <r>
    <x v="873"/>
    <s v="Student_873"/>
    <x v="5"/>
    <x v="1"/>
    <d v="2022-05-09T00:00:00"/>
    <x v="0"/>
    <n v="3251"/>
    <x v="379"/>
    <x v="118"/>
    <n v="60"/>
  </r>
  <r>
    <x v="874"/>
    <s v="Student_874"/>
    <x v="6"/>
    <x v="1"/>
    <d v="2022-01-17T00:00:00"/>
    <x v="2"/>
    <n v="8000"/>
    <x v="841"/>
    <x v="65"/>
    <n v="92"/>
  </r>
  <r>
    <x v="875"/>
    <s v="Student_875"/>
    <x v="7"/>
    <x v="3"/>
    <d v="2024-04-23T00:00:00"/>
    <x v="0"/>
    <n v="4905"/>
    <x v="842"/>
    <x v="88"/>
    <n v="13"/>
  </r>
  <r>
    <x v="876"/>
    <s v="Student_876"/>
    <x v="5"/>
    <x v="3"/>
    <d v="2023-05-25T00:00:00"/>
    <x v="0"/>
    <n v="12331"/>
    <x v="843"/>
    <x v="113"/>
    <n v="29"/>
  </r>
  <r>
    <x v="877"/>
    <s v="Student_877"/>
    <x v="7"/>
    <x v="3"/>
    <d v="2023-04-25T00:00:00"/>
    <x v="2"/>
    <n v="13471"/>
    <x v="844"/>
    <x v="155"/>
    <n v="94"/>
  </r>
  <r>
    <x v="878"/>
    <s v="Student_878"/>
    <x v="2"/>
    <x v="2"/>
    <d v="2022-11-29T00:00:00"/>
    <x v="0"/>
    <n v="9678"/>
    <x v="845"/>
    <x v="17"/>
    <n v="81"/>
  </r>
  <r>
    <x v="879"/>
    <s v="Student_879"/>
    <x v="1"/>
    <x v="0"/>
    <d v="2022-08-23T00:00:00"/>
    <x v="0"/>
    <n v="9888"/>
    <x v="846"/>
    <x v="182"/>
    <n v="15"/>
  </r>
  <r>
    <x v="880"/>
    <s v="Student_880"/>
    <x v="3"/>
    <x v="1"/>
    <d v="2023-01-29T00:00:00"/>
    <x v="0"/>
    <n v="11687"/>
    <x v="847"/>
    <x v="175"/>
    <n v="89"/>
  </r>
  <r>
    <x v="881"/>
    <s v="Student_881"/>
    <x v="5"/>
    <x v="0"/>
    <d v="2023-05-11T00:00:00"/>
    <x v="0"/>
    <n v="7453"/>
    <x v="848"/>
    <x v="118"/>
    <n v="64"/>
  </r>
  <r>
    <x v="882"/>
    <s v="Student_882"/>
    <x v="4"/>
    <x v="3"/>
    <d v="2023-01-06T00:00:00"/>
    <x v="0"/>
    <n v="8695"/>
    <x v="849"/>
    <x v="199"/>
    <n v="71"/>
  </r>
  <r>
    <x v="883"/>
    <s v="Student_883"/>
    <x v="7"/>
    <x v="2"/>
    <d v="2023-03-16T00:00:00"/>
    <x v="1"/>
    <n v="4856"/>
    <x v="850"/>
    <x v="34"/>
    <n v="29"/>
  </r>
  <r>
    <x v="884"/>
    <s v="Student_884"/>
    <x v="0"/>
    <x v="3"/>
    <d v="2023-11-01T00:00:00"/>
    <x v="2"/>
    <n v="6249"/>
    <x v="386"/>
    <x v="167"/>
    <n v="59"/>
  </r>
  <r>
    <x v="885"/>
    <s v="Student_885"/>
    <x v="7"/>
    <x v="2"/>
    <d v="2024-01-03T00:00:00"/>
    <x v="0"/>
    <n v="14319"/>
    <x v="851"/>
    <x v="4"/>
    <n v="36"/>
  </r>
  <r>
    <x v="886"/>
    <s v="Student_886"/>
    <x v="5"/>
    <x v="2"/>
    <d v="2023-10-28T00:00:00"/>
    <x v="0"/>
    <n v="2324"/>
    <x v="852"/>
    <x v="183"/>
    <n v="18"/>
  </r>
  <r>
    <x v="887"/>
    <s v="Student_887"/>
    <x v="2"/>
    <x v="0"/>
    <d v="2022-04-12T00:00:00"/>
    <x v="0"/>
    <n v="6137"/>
    <x v="853"/>
    <x v="144"/>
    <n v="86"/>
  </r>
  <r>
    <x v="888"/>
    <s v="Student_888"/>
    <x v="0"/>
    <x v="2"/>
    <d v="2023-08-19T00:00:00"/>
    <x v="0"/>
    <n v="3993"/>
    <x v="854"/>
    <x v="192"/>
    <n v="30"/>
  </r>
  <r>
    <x v="889"/>
    <s v="Student_889"/>
    <x v="6"/>
    <x v="0"/>
    <d v="2024-01-05T00:00:00"/>
    <x v="0"/>
    <n v="3592"/>
    <x v="855"/>
    <x v="38"/>
    <n v="57"/>
  </r>
  <r>
    <x v="890"/>
    <s v="Student_890"/>
    <x v="5"/>
    <x v="3"/>
    <d v="2024-01-31T00:00:00"/>
    <x v="0"/>
    <n v="6150"/>
    <x v="856"/>
    <x v="59"/>
    <n v="15"/>
  </r>
  <r>
    <x v="891"/>
    <s v="Student_891"/>
    <x v="3"/>
    <x v="2"/>
    <d v="2022-04-13T00:00:00"/>
    <x v="2"/>
    <n v="6690"/>
    <x v="857"/>
    <x v="14"/>
    <n v="56"/>
  </r>
  <r>
    <x v="892"/>
    <s v="Student_892"/>
    <x v="5"/>
    <x v="2"/>
    <d v="2022-02-22T00:00:00"/>
    <x v="1"/>
    <n v="11719"/>
    <x v="858"/>
    <x v="144"/>
    <n v="107"/>
  </r>
  <r>
    <x v="893"/>
    <s v="Student_893"/>
    <x v="1"/>
    <x v="1"/>
    <d v="2024-06-04T00:00:00"/>
    <x v="0"/>
    <n v="2659"/>
    <x v="859"/>
    <x v="36"/>
    <n v="101"/>
  </r>
  <r>
    <x v="894"/>
    <s v="Student_894"/>
    <x v="0"/>
    <x v="3"/>
    <d v="2022-12-27T00:00:00"/>
    <x v="0"/>
    <n v="9484"/>
    <x v="860"/>
    <x v="174"/>
    <n v="114"/>
  </r>
  <r>
    <x v="895"/>
    <s v="Student_895"/>
    <x v="7"/>
    <x v="1"/>
    <d v="2022-11-27T00:00:00"/>
    <x v="0"/>
    <n v="2133"/>
    <x v="861"/>
    <x v="196"/>
    <n v="17"/>
  </r>
  <r>
    <x v="896"/>
    <s v="Student_896"/>
    <x v="0"/>
    <x v="0"/>
    <d v="2022-06-22T00:00:00"/>
    <x v="0"/>
    <n v="6910"/>
    <x v="862"/>
    <x v="52"/>
    <n v="19"/>
  </r>
  <r>
    <x v="897"/>
    <s v="Student_897"/>
    <x v="3"/>
    <x v="1"/>
    <d v="2022-07-26T00:00:00"/>
    <x v="0"/>
    <n v="13914"/>
    <x v="863"/>
    <x v="180"/>
    <n v="57"/>
  </r>
  <r>
    <x v="898"/>
    <s v="Student_898"/>
    <x v="3"/>
    <x v="0"/>
    <d v="2023-03-31T00:00:00"/>
    <x v="1"/>
    <n v="11039"/>
    <x v="864"/>
    <x v="156"/>
    <n v="52"/>
  </r>
  <r>
    <x v="899"/>
    <s v="Student_899"/>
    <x v="3"/>
    <x v="0"/>
    <d v="2022-07-31T00:00:00"/>
    <x v="0"/>
    <n v="8134"/>
    <x v="865"/>
    <x v="118"/>
    <n v="68"/>
  </r>
  <r>
    <x v="900"/>
    <s v="Student_900"/>
    <x v="6"/>
    <x v="2"/>
    <d v="2023-09-06T00:00:00"/>
    <x v="1"/>
    <n v="5424"/>
    <x v="866"/>
    <x v="148"/>
    <n v="32"/>
  </r>
  <r>
    <x v="901"/>
    <s v="Student_901"/>
    <x v="2"/>
    <x v="3"/>
    <d v="2023-01-22T00:00:00"/>
    <x v="0"/>
    <n v="14379"/>
    <x v="867"/>
    <x v="24"/>
    <n v="80"/>
  </r>
  <r>
    <x v="902"/>
    <s v="Student_902"/>
    <x v="7"/>
    <x v="1"/>
    <d v="2023-07-08T00:00:00"/>
    <x v="0"/>
    <n v="5400"/>
    <x v="658"/>
    <x v="166"/>
    <n v="88"/>
  </r>
  <r>
    <x v="903"/>
    <s v="Student_903"/>
    <x v="3"/>
    <x v="3"/>
    <d v="2022-08-17T00:00:00"/>
    <x v="1"/>
    <n v="9862"/>
    <x v="868"/>
    <x v="109"/>
    <n v="103"/>
  </r>
  <r>
    <x v="904"/>
    <s v="Student_904"/>
    <x v="0"/>
    <x v="3"/>
    <d v="2024-03-06T00:00:00"/>
    <x v="0"/>
    <n v="8496"/>
    <x v="869"/>
    <x v="137"/>
    <n v="44"/>
  </r>
  <r>
    <x v="905"/>
    <s v="Student_905"/>
    <x v="7"/>
    <x v="3"/>
    <d v="2022-08-28T00:00:00"/>
    <x v="0"/>
    <n v="7820"/>
    <x v="870"/>
    <x v="33"/>
    <n v="64"/>
  </r>
  <r>
    <x v="906"/>
    <s v="Student_906"/>
    <x v="5"/>
    <x v="2"/>
    <d v="2024-04-20T00:00:00"/>
    <x v="0"/>
    <n v="14630"/>
    <x v="871"/>
    <x v="178"/>
    <n v="31"/>
  </r>
  <r>
    <x v="907"/>
    <s v="Student_907"/>
    <x v="2"/>
    <x v="1"/>
    <d v="2022-10-14T00:00:00"/>
    <x v="0"/>
    <n v="7470"/>
    <x v="872"/>
    <x v="138"/>
    <n v="86"/>
  </r>
  <r>
    <x v="908"/>
    <s v="Student_908"/>
    <x v="1"/>
    <x v="1"/>
    <d v="2022-04-03T00:00:00"/>
    <x v="0"/>
    <n v="6296"/>
    <x v="873"/>
    <x v="175"/>
    <n v="62"/>
  </r>
  <r>
    <x v="909"/>
    <s v="Student_909"/>
    <x v="7"/>
    <x v="3"/>
    <d v="2022-07-28T00:00:00"/>
    <x v="1"/>
    <n v="2346"/>
    <x v="874"/>
    <x v="169"/>
    <n v="105"/>
  </r>
  <r>
    <x v="910"/>
    <s v="Student_910"/>
    <x v="1"/>
    <x v="0"/>
    <d v="2024-03-26T00:00:00"/>
    <x v="0"/>
    <n v="5749"/>
    <x v="875"/>
    <x v="170"/>
    <n v="26"/>
  </r>
  <r>
    <x v="911"/>
    <s v="Student_911"/>
    <x v="4"/>
    <x v="0"/>
    <d v="2024-06-14T00:00:00"/>
    <x v="0"/>
    <n v="10732"/>
    <x v="876"/>
    <x v="199"/>
    <n v="44"/>
  </r>
  <r>
    <x v="912"/>
    <s v="Student_912"/>
    <x v="5"/>
    <x v="0"/>
    <d v="2022-07-11T00:00:00"/>
    <x v="2"/>
    <n v="5938"/>
    <x v="877"/>
    <x v="103"/>
    <n v="101"/>
  </r>
  <r>
    <x v="913"/>
    <s v="Student_913"/>
    <x v="4"/>
    <x v="2"/>
    <d v="2024-01-11T00:00:00"/>
    <x v="0"/>
    <n v="3278"/>
    <x v="878"/>
    <x v="60"/>
    <n v="85"/>
  </r>
  <r>
    <x v="914"/>
    <s v="Student_914"/>
    <x v="7"/>
    <x v="0"/>
    <d v="2023-06-06T00:00:00"/>
    <x v="0"/>
    <n v="14845"/>
    <x v="879"/>
    <x v="189"/>
    <n v="27"/>
  </r>
  <r>
    <x v="915"/>
    <s v="Student_915"/>
    <x v="6"/>
    <x v="2"/>
    <d v="2022-03-26T00:00:00"/>
    <x v="1"/>
    <n v="11658"/>
    <x v="27"/>
    <x v="108"/>
    <n v="95"/>
  </r>
  <r>
    <x v="916"/>
    <s v="Student_916"/>
    <x v="0"/>
    <x v="1"/>
    <d v="2024-04-28T00:00:00"/>
    <x v="1"/>
    <n v="11979"/>
    <x v="880"/>
    <x v="33"/>
    <n v="22"/>
  </r>
  <r>
    <x v="917"/>
    <s v="Student_917"/>
    <x v="2"/>
    <x v="2"/>
    <d v="2022-08-29T00:00:00"/>
    <x v="0"/>
    <n v="5650"/>
    <x v="21"/>
    <x v="168"/>
    <n v="18"/>
  </r>
  <r>
    <x v="918"/>
    <s v="Student_918"/>
    <x v="3"/>
    <x v="0"/>
    <d v="2023-04-02T00:00:00"/>
    <x v="2"/>
    <n v="9224"/>
    <x v="881"/>
    <x v="33"/>
    <n v="79"/>
  </r>
  <r>
    <x v="919"/>
    <s v="Student_919"/>
    <x v="1"/>
    <x v="2"/>
    <d v="2023-07-08T00:00:00"/>
    <x v="1"/>
    <n v="12893"/>
    <x v="882"/>
    <x v="86"/>
    <n v="62"/>
  </r>
  <r>
    <x v="920"/>
    <s v="Student_920"/>
    <x v="5"/>
    <x v="0"/>
    <d v="2023-11-16T00:00:00"/>
    <x v="0"/>
    <n v="10635"/>
    <x v="883"/>
    <x v="21"/>
    <n v="87"/>
  </r>
  <r>
    <x v="921"/>
    <s v="Student_921"/>
    <x v="0"/>
    <x v="3"/>
    <d v="2022-05-06T00:00:00"/>
    <x v="1"/>
    <n v="5161"/>
    <x v="884"/>
    <x v="14"/>
    <n v="18"/>
  </r>
  <r>
    <x v="922"/>
    <s v="Student_922"/>
    <x v="2"/>
    <x v="3"/>
    <d v="2024-01-17T00:00:00"/>
    <x v="1"/>
    <n v="2310"/>
    <x v="885"/>
    <x v="45"/>
    <n v="84"/>
  </r>
  <r>
    <x v="923"/>
    <s v="Student_923"/>
    <x v="5"/>
    <x v="1"/>
    <d v="2022-12-07T00:00:00"/>
    <x v="1"/>
    <n v="14238"/>
    <x v="886"/>
    <x v="172"/>
    <n v="111"/>
  </r>
  <r>
    <x v="924"/>
    <s v="Student_924"/>
    <x v="2"/>
    <x v="1"/>
    <d v="2022-07-20T00:00:00"/>
    <x v="0"/>
    <n v="6256"/>
    <x v="887"/>
    <x v="158"/>
    <n v="92"/>
  </r>
  <r>
    <x v="925"/>
    <s v="Student_925"/>
    <x v="5"/>
    <x v="1"/>
    <d v="2022-09-05T00:00:00"/>
    <x v="2"/>
    <n v="12707"/>
    <x v="888"/>
    <x v="153"/>
    <n v="46"/>
  </r>
  <r>
    <x v="926"/>
    <s v="Student_926"/>
    <x v="4"/>
    <x v="1"/>
    <d v="2022-05-27T00:00:00"/>
    <x v="0"/>
    <n v="14485"/>
    <x v="889"/>
    <x v="35"/>
    <n v="15"/>
  </r>
  <r>
    <x v="927"/>
    <s v="Student_927"/>
    <x v="0"/>
    <x v="0"/>
    <d v="2023-09-14T00:00:00"/>
    <x v="0"/>
    <n v="6109"/>
    <x v="890"/>
    <x v="7"/>
    <n v="97"/>
  </r>
  <r>
    <x v="928"/>
    <s v="Student_928"/>
    <x v="5"/>
    <x v="1"/>
    <d v="2024-02-23T00:00:00"/>
    <x v="2"/>
    <n v="12380"/>
    <x v="891"/>
    <x v="99"/>
    <n v="72"/>
  </r>
  <r>
    <x v="929"/>
    <s v="Student_929"/>
    <x v="5"/>
    <x v="1"/>
    <d v="2022-04-24T00:00:00"/>
    <x v="1"/>
    <n v="7050"/>
    <x v="892"/>
    <x v="130"/>
    <n v="68"/>
  </r>
  <r>
    <x v="930"/>
    <s v="Student_930"/>
    <x v="2"/>
    <x v="3"/>
    <d v="2022-06-26T00:00:00"/>
    <x v="1"/>
    <n v="13686"/>
    <x v="893"/>
    <x v="3"/>
    <n v="75"/>
  </r>
  <r>
    <x v="931"/>
    <s v="Student_931"/>
    <x v="5"/>
    <x v="0"/>
    <d v="2024-04-18T00:00:00"/>
    <x v="0"/>
    <n v="3224"/>
    <x v="894"/>
    <x v="147"/>
    <n v="103"/>
  </r>
  <r>
    <x v="932"/>
    <s v="Student_932"/>
    <x v="5"/>
    <x v="2"/>
    <d v="2022-06-14T00:00:00"/>
    <x v="0"/>
    <n v="8505"/>
    <x v="895"/>
    <x v="10"/>
    <n v="10"/>
  </r>
  <r>
    <x v="933"/>
    <s v="Student_933"/>
    <x v="0"/>
    <x v="0"/>
    <d v="2023-02-08T00:00:00"/>
    <x v="1"/>
    <n v="8846"/>
    <x v="896"/>
    <x v="3"/>
    <n v="36"/>
  </r>
  <r>
    <x v="934"/>
    <s v="Student_934"/>
    <x v="3"/>
    <x v="1"/>
    <d v="2023-06-26T00:00:00"/>
    <x v="0"/>
    <n v="12177"/>
    <x v="897"/>
    <x v="146"/>
    <n v="55"/>
  </r>
  <r>
    <x v="935"/>
    <s v="Student_935"/>
    <x v="5"/>
    <x v="1"/>
    <d v="2022-09-10T00:00:00"/>
    <x v="0"/>
    <n v="2016"/>
    <x v="898"/>
    <x v="17"/>
    <n v="41"/>
  </r>
  <r>
    <x v="936"/>
    <s v="Student_936"/>
    <x v="0"/>
    <x v="3"/>
    <d v="2023-04-10T00:00:00"/>
    <x v="1"/>
    <n v="11375"/>
    <x v="899"/>
    <x v="108"/>
    <n v="72"/>
  </r>
  <r>
    <x v="937"/>
    <s v="Student_937"/>
    <x v="3"/>
    <x v="0"/>
    <d v="2023-11-22T00:00:00"/>
    <x v="0"/>
    <n v="2240"/>
    <x v="900"/>
    <x v="86"/>
    <n v="48"/>
  </r>
  <r>
    <x v="938"/>
    <s v="Student_938"/>
    <x v="0"/>
    <x v="2"/>
    <d v="2022-06-26T00:00:00"/>
    <x v="1"/>
    <n v="6615"/>
    <x v="901"/>
    <x v="8"/>
    <n v="40"/>
  </r>
  <r>
    <x v="939"/>
    <s v="Student_939"/>
    <x v="1"/>
    <x v="3"/>
    <d v="2022-11-22T00:00:00"/>
    <x v="0"/>
    <n v="10054"/>
    <x v="902"/>
    <x v="63"/>
    <n v="61"/>
  </r>
  <r>
    <x v="940"/>
    <s v="Student_940"/>
    <x v="6"/>
    <x v="1"/>
    <d v="2023-11-10T00:00:00"/>
    <x v="0"/>
    <n v="10579"/>
    <x v="903"/>
    <x v="24"/>
    <n v="43"/>
  </r>
  <r>
    <x v="941"/>
    <s v="Student_941"/>
    <x v="6"/>
    <x v="0"/>
    <d v="2023-03-11T00:00:00"/>
    <x v="0"/>
    <n v="2260"/>
    <x v="904"/>
    <x v="91"/>
    <n v="35"/>
  </r>
  <r>
    <x v="942"/>
    <s v="Student_942"/>
    <x v="6"/>
    <x v="1"/>
    <d v="2024-03-22T00:00:00"/>
    <x v="1"/>
    <n v="7638"/>
    <x v="905"/>
    <x v="36"/>
    <n v="21"/>
  </r>
  <r>
    <x v="943"/>
    <s v="Student_943"/>
    <x v="2"/>
    <x v="3"/>
    <d v="2023-11-28T00:00:00"/>
    <x v="0"/>
    <n v="3557"/>
    <x v="906"/>
    <x v="117"/>
    <n v="116"/>
  </r>
  <r>
    <x v="944"/>
    <s v="Student_944"/>
    <x v="4"/>
    <x v="0"/>
    <d v="2022-07-27T00:00:00"/>
    <x v="0"/>
    <n v="4417"/>
    <x v="907"/>
    <x v="198"/>
    <n v="92"/>
  </r>
  <r>
    <x v="945"/>
    <s v="Student_945"/>
    <x v="1"/>
    <x v="1"/>
    <d v="2022-07-18T00:00:00"/>
    <x v="0"/>
    <n v="12066"/>
    <x v="908"/>
    <x v="72"/>
    <n v="103"/>
  </r>
  <r>
    <x v="946"/>
    <s v="Student_946"/>
    <x v="7"/>
    <x v="2"/>
    <d v="2024-01-24T00:00:00"/>
    <x v="0"/>
    <n v="2266"/>
    <x v="909"/>
    <x v="95"/>
    <n v="3"/>
  </r>
  <r>
    <x v="947"/>
    <s v="Student_947"/>
    <x v="5"/>
    <x v="2"/>
    <d v="2024-04-07T00:00:00"/>
    <x v="0"/>
    <n v="2363"/>
    <x v="910"/>
    <x v="185"/>
    <n v="119"/>
  </r>
  <r>
    <x v="948"/>
    <s v="Student_948"/>
    <x v="0"/>
    <x v="1"/>
    <d v="2022-04-27T00:00:00"/>
    <x v="2"/>
    <n v="2336"/>
    <x v="911"/>
    <x v="76"/>
    <n v="94"/>
  </r>
  <r>
    <x v="949"/>
    <s v="Student_949"/>
    <x v="7"/>
    <x v="2"/>
    <d v="2023-03-21T00:00:00"/>
    <x v="1"/>
    <n v="14712"/>
    <x v="912"/>
    <x v="67"/>
    <n v="18"/>
  </r>
  <r>
    <x v="950"/>
    <s v="Student_950"/>
    <x v="0"/>
    <x v="1"/>
    <d v="2022-04-06T00:00:00"/>
    <x v="1"/>
    <n v="5822"/>
    <x v="424"/>
    <x v="126"/>
    <n v="53"/>
  </r>
  <r>
    <x v="951"/>
    <s v="Student_951"/>
    <x v="2"/>
    <x v="2"/>
    <d v="2024-04-25T00:00:00"/>
    <x v="1"/>
    <n v="13010"/>
    <x v="913"/>
    <x v="125"/>
    <n v="72"/>
  </r>
  <r>
    <x v="952"/>
    <s v="Student_952"/>
    <x v="1"/>
    <x v="0"/>
    <d v="2024-05-02T00:00:00"/>
    <x v="1"/>
    <n v="6167"/>
    <x v="914"/>
    <x v="103"/>
    <n v="94"/>
  </r>
  <r>
    <x v="953"/>
    <s v="Student_953"/>
    <x v="7"/>
    <x v="2"/>
    <d v="2022-05-07T00:00:00"/>
    <x v="1"/>
    <n v="3815"/>
    <x v="630"/>
    <x v="63"/>
    <n v="92"/>
  </r>
  <r>
    <x v="954"/>
    <s v="Student_954"/>
    <x v="0"/>
    <x v="3"/>
    <d v="2022-06-18T00:00:00"/>
    <x v="1"/>
    <n v="6719"/>
    <x v="915"/>
    <x v="183"/>
    <n v="116"/>
  </r>
  <r>
    <x v="955"/>
    <s v="Student_955"/>
    <x v="3"/>
    <x v="1"/>
    <d v="2023-11-22T00:00:00"/>
    <x v="0"/>
    <n v="4490"/>
    <x v="916"/>
    <x v="163"/>
    <n v="94"/>
  </r>
  <r>
    <x v="956"/>
    <s v="Student_956"/>
    <x v="1"/>
    <x v="1"/>
    <d v="2023-07-03T00:00:00"/>
    <x v="1"/>
    <n v="9668"/>
    <x v="917"/>
    <x v="119"/>
    <n v="85"/>
  </r>
  <r>
    <x v="957"/>
    <s v="Student_957"/>
    <x v="4"/>
    <x v="0"/>
    <d v="2023-10-17T00:00:00"/>
    <x v="0"/>
    <n v="2432"/>
    <x v="584"/>
    <x v="36"/>
    <n v="49"/>
  </r>
  <r>
    <x v="958"/>
    <s v="Student_958"/>
    <x v="3"/>
    <x v="0"/>
    <d v="2023-01-30T00:00:00"/>
    <x v="0"/>
    <n v="3242"/>
    <x v="918"/>
    <x v="40"/>
    <n v="83"/>
  </r>
  <r>
    <x v="959"/>
    <s v="Student_959"/>
    <x v="2"/>
    <x v="3"/>
    <d v="2022-09-14T00:00:00"/>
    <x v="1"/>
    <n v="14853"/>
    <x v="919"/>
    <x v="114"/>
    <n v="2"/>
  </r>
  <r>
    <x v="960"/>
    <s v="Student_960"/>
    <x v="2"/>
    <x v="0"/>
    <d v="2024-04-18T00:00:00"/>
    <x v="0"/>
    <n v="11497"/>
    <x v="920"/>
    <x v="52"/>
    <n v="50"/>
  </r>
  <r>
    <x v="961"/>
    <s v="Student_961"/>
    <x v="5"/>
    <x v="1"/>
    <d v="2023-11-07T00:00:00"/>
    <x v="1"/>
    <n v="2983"/>
    <x v="921"/>
    <x v="142"/>
    <n v="2"/>
  </r>
  <r>
    <x v="962"/>
    <s v="Student_962"/>
    <x v="6"/>
    <x v="1"/>
    <d v="2022-08-10T00:00:00"/>
    <x v="1"/>
    <n v="2880"/>
    <x v="922"/>
    <x v="23"/>
    <n v="32"/>
  </r>
  <r>
    <x v="963"/>
    <s v="Student_963"/>
    <x v="6"/>
    <x v="1"/>
    <d v="2022-04-08T00:00:00"/>
    <x v="0"/>
    <n v="6951"/>
    <x v="923"/>
    <x v="163"/>
    <n v="61"/>
  </r>
  <r>
    <x v="964"/>
    <s v="Student_964"/>
    <x v="1"/>
    <x v="1"/>
    <d v="2023-07-02T00:00:00"/>
    <x v="1"/>
    <n v="8612"/>
    <x v="924"/>
    <x v="166"/>
    <n v="71"/>
  </r>
  <r>
    <x v="965"/>
    <s v="Student_965"/>
    <x v="1"/>
    <x v="3"/>
    <d v="2024-01-18T00:00:00"/>
    <x v="0"/>
    <n v="8900"/>
    <x v="925"/>
    <x v="68"/>
    <n v="35"/>
  </r>
  <r>
    <x v="966"/>
    <s v="Student_966"/>
    <x v="2"/>
    <x v="2"/>
    <d v="2024-03-28T00:00:00"/>
    <x v="1"/>
    <n v="10147"/>
    <x v="926"/>
    <x v="132"/>
    <n v="72"/>
  </r>
  <r>
    <x v="967"/>
    <s v="Student_967"/>
    <x v="7"/>
    <x v="2"/>
    <d v="2022-06-01T00:00:00"/>
    <x v="0"/>
    <n v="11524"/>
    <x v="927"/>
    <x v="74"/>
    <n v="39"/>
  </r>
  <r>
    <x v="968"/>
    <s v="Student_968"/>
    <x v="7"/>
    <x v="2"/>
    <d v="2022-01-22T00:00:00"/>
    <x v="0"/>
    <n v="9115"/>
    <x v="928"/>
    <x v="24"/>
    <n v="57"/>
  </r>
  <r>
    <x v="969"/>
    <s v="Student_969"/>
    <x v="6"/>
    <x v="3"/>
    <d v="2022-07-29T00:00:00"/>
    <x v="0"/>
    <n v="14396"/>
    <x v="669"/>
    <x v="41"/>
    <n v="89"/>
  </r>
  <r>
    <x v="970"/>
    <s v="Student_970"/>
    <x v="6"/>
    <x v="2"/>
    <d v="2023-05-31T00:00:00"/>
    <x v="1"/>
    <n v="8599"/>
    <x v="929"/>
    <x v="131"/>
    <n v="8"/>
  </r>
  <r>
    <x v="971"/>
    <s v="Student_971"/>
    <x v="3"/>
    <x v="1"/>
    <d v="2024-03-02T00:00:00"/>
    <x v="0"/>
    <n v="14700"/>
    <x v="930"/>
    <x v="129"/>
    <n v="34"/>
  </r>
  <r>
    <x v="972"/>
    <s v="Student_972"/>
    <x v="6"/>
    <x v="2"/>
    <d v="2024-04-03T00:00:00"/>
    <x v="0"/>
    <n v="9199"/>
    <x v="931"/>
    <x v="158"/>
    <n v="20"/>
  </r>
  <r>
    <x v="973"/>
    <s v="Student_973"/>
    <x v="5"/>
    <x v="3"/>
    <d v="2024-01-17T00:00:00"/>
    <x v="2"/>
    <n v="6798"/>
    <x v="932"/>
    <x v="96"/>
    <n v="28"/>
  </r>
  <r>
    <x v="974"/>
    <s v="Student_974"/>
    <x v="7"/>
    <x v="3"/>
    <d v="2022-06-19T00:00:00"/>
    <x v="0"/>
    <n v="7093"/>
    <x v="933"/>
    <x v="111"/>
    <n v="75"/>
  </r>
  <r>
    <x v="975"/>
    <s v="Student_975"/>
    <x v="6"/>
    <x v="2"/>
    <d v="2024-01-04T00:00:00"/>
    <x v="1"/>
    <n v="10111"/>
    <x v="934"/>
    <x v="107"/>
    <n v="97"/>
  </r>
  <r>
    <x v="976"/>
    <s v="Student_976"/>
    <x v="6"/>
    <x v="2"/>
    <d v="2023-08-19T00:00:00"/>
    <x v="0"/>
    <n v="14720"/>
    <x v="935"/>
    <x v="2"/>
    <n v="2"/>
  </r>
  <r>
    <x v="977"/>
    <s v="Student_977"/>
    <x v="3"/>
    <x v="3"/>
    <d v="2023-09-14T00:00:00"/>
    <x v="1"/>
    <n v="3574"/>
    <x v="936"/>
    <x v="181"/>
    <n v="107"/>
  </r>
  <r>
    <x v="978"/>
    <s v="Student_978"/>
    <x v="1"/>
    <x v="1"/>
    <d v="2022-05-31T00:00:00"/>
    <x v="0"/>
    <n v="12664"/>
    <x v="712"/>
    <x v="70"/>
    <n v="91"/>
  </r>
  <r>
    <x v="979"/>
    <s v="Student_979"/>
    <x v="2"/>
    <x v="1"/>
    <d v="2024-04-16T00:00:00"/>
    <x v="0"/>
    <n v="9618"/>
    <x v="872"/>
    <x v="174"/>
    <n v="78"/>
  </r>
  <r>
    <x v="980"/>
    <s v="Student_980"/>
    <x v="5"/>
    <x v="1"/>
    <d v="2024-06-04T00:00:00"/>
    <x v="1"/>
    <n v="9706"/>
    <x v="855"/>
    <x v="65"/>
    <n v="6"/>
  </r>
  <r>
    <x v="981"/>
    <s v="Student_981"/>
    <x v="0"/>
    <x v="3"/>
    <d v="2022-01-24T00:00:00"/>
    <x v="0"/>
    <n v="8994"/>
    <x v="937"/>
    <x v="113"/>
    <n v="107"/>
  </r>
  <r>
    <x v="982"/>
    <s v="Student_982"/>
    <x v="0"/>
    <x v="2"/>
    <d v="2022-11-15T00:00:00"/>
    <x v="1"/>
    <n v="6439"/>
    <x v="938"/>
    <x v="43"/>
    <n v="80"/>
  </r>
  <r>
    <x v="983"/>
    <s v="Student_983"/>
    <x v="2"/>
    <x v="0"/>
    <d v="2024-02-02T00:00:00"/>
    <x v="0"/>
    <n v="6534"/>
    <x v="939"/>
    <x v="42"/>
    <n v="111"/>
  </r>
  <r>
    <x v="984"/>
    <s v="Student_984"/>
    <x v="7"/>
    <x v="0"/>
    <d v="2022-09-02T00:00:00"/>
    <x v="0"/>
    <n v="7590"/>
    <x v="940"/>
    <x v="93"/>
    <n v="46"/>
  </r>
  <r>
    <x v="985"/>
    <s v="Student_985"/>
    <x v="2"/>
    <x v="2"/>
    <d v="2022-11-15T00:00:00"/>
    <x v="2"/>
    <n v="7475"/>
    <x v="625"/>
    <x v="6"/>
    <n v="62"/>
  </r>
  <r>
    <x v="986"/>
    <s v="Student_986"/>
    <x v="0"/>
    <x v="2"/>
    <d v="2023-10-10T00:00:00"/>
    <x v="0"/>
    <n v="3693"/>
    <x v="941"/>
    <x v="162"/>
    <n v="28"/>
  </r>
  <r>
    <x v="987"/>
    <s v="Student_987"/>
    <x v="6"/>
    <x v="2"/>
    <d v="2024-04-16T00:00:00"/>
    <x v="0"/>
    <n v="11396"/>
    <x v="942"/>
    <x v="115"/>
    <n v="98"/>
  </r>
  <r>
    <x v="988"/>
    <s v="Student_988"/>
    <x v="7"/>
    <x v="0"/>
    <d v="2022-12-26T00:00:00"/>
    <x v="0"/>
    <n v="8610"/>
    <x v="943"/>
    <x v="15"/>
    <n v="16"/>
  </r>
  <r>
    <x v="989"/>
    <s v="Student_989"/>
    <x v="6"/>
    <x v="0"/>
    <d v="2023-10-10T00:00:00"/>
    <x v="0"/>
    <n v="3027"/>
    <x v="944"/>
    <x v="61"/>
    <n v="116"/>
  </r>
  <r>
    <x v="990"/>
    <s v="Student_990"/>
    <x v="4"/>
    <x v="0"/>
    <d v="2023-05-31T00:00:00"/>
    <x v="0"/>
    <n v="4944"/>
    <x v="442"/>
    <x v="97"/>
    <n v="79"/>
  </r>
  <r>
    <x v="991"/>
    <s v="Student_991"/>
    <x v="3"/>
    <x v="1"/>
    <d v="2024-03-07T00:00:00"/>
    <x v="0"/>
    <n v="9032"/>
    <x v="945"/>
    <x v="185"/>
    <n v="8"/>
  </r>
  <r>
    <x v="992"/>
    <s v="Student_992"/>
    <x v="3"/>
    <x v="3"/>
    <d v="2023-11-26T00:00:00"/>
    <x v="0"/>
    <n v="10427"/>
    <x v="946"/>
    <x v="18"/>
    <n v="119"/>
  </r>
  <r>
    <x v="993"/>
    <s v="Student_993"/>
    <x v="5"/>
    <x v="2"/>
    <d v="2024-04-09T00:00:00"/>
    <x v="0"/>
    <n v="6051"/>
    <x v="947"/>
    <x v="8"/>
    <n v="99"/>
  </r>
  <r>
    <x v="994"/>
    <s v="Student_994"/>
    <x v="0"/>
    <x v="3"/>
    <d v="2023-12-02T00:00:00"/>
    <x v="0"/>
    <n v="5499"/>
    <x v="948"/>
    <x v="97"/>
    <n v="23"/>
  </r>
  <r>
    <x v="995"/>
    <s v="Student_995"/>
    <x v="3"/>
    <x v="0"/>
    <d v="2024-01-10T00:00:00"/>
    <x v="1"/>
    <n v="5005"/>
    <x v="949"/>
    <x v="168"/>
    <n v="24"/>
  </r>
  <r>
    <x v="996"/>
    <s v="Student_996"/>
    <x v="6"/>
    <x v="3"/>
    <d v="2022-12-22T00:00:00"/>
    <x v="0"/>
    <n v="11045"/>
    <x v="271"/>
    <x v="144"/>
    <n v="87"/>
  </r>
  <r>
    <x v="997"/>
    <s v="Student_997"/>
    <x v="6"/>
    <x v="1"/>
    <d v="2022-02-09T00:00:00"/>
    <x v="1"/>
    <n v="12297"/>
    <x v="950"/>
    <x v="9"/>
    <n v="58"/>
  </r>
  <r>
    <x v="998"/>
    <s v="Student_998"/>
    <x v="1"/>
    <x v="1"/>
    <d v="2022-11-06T00:00:00"/>
    <x v="0"/>
    <n v="4317"/>
    <x v="951"/>
    <x v="176"/>
    <n v="76"/>
  </r>
  <r>
    <x v="999"/>
    <s v="Student_999"/>
    <x v="0"/>
    <x v="3"/>
    <d v="2022-03-07T00:00:00"/>
    <x v="1"/>
    <n v="14569"/>
    <x v="952"/>
    <x v="66"/>
    <n v="29"/>
  </r>
  <r>
    <x v="1000"/>
    <s v="Student_1000"/>
    <x v="2"/>
    <x v="0"/>
    <d v="2022-12-23T00:00:00"/>
    <x v="0"/>
    <n v="12134"/>
    <x v="953"/>
    <x v="41"/>
    <n v="4"/>
  </r>
  <r>
    <x v="1001"/>
    <s v="Student_1001"/>
    <x v="3"/>
    <x v="3"/>
    <d v="2023-01-02T00:00:00"/>
    <x v="2"/>
    <n v="11342"/>
    <x v="954"/>
    <x v="168"/>
    <n v="0"/>
  </r>
  <r>
    <x v="1002"/>
    <s v="Student_1002"/>
    <x v="4"/>
    <x v="0"/>
    <d v="2022-09-12T00:00:00"/>
    <x v="0"/>
    <n v="2607"/>
    <x v="955"/>
    <x v="193"/>
    <n v="17"/>
  </r>
  <r>
    <x v="1003"/>
    <s v="Student_1003"/>
    <x v="1"/>
    <x v="0"/>
    <d v="2024-03-14T00:00:00"/>
    <x v="2"/>
    <n v="5479"/>
    <x v="626"/>
    <x v="30"/>
    <n v="8"/>
  </r>
  <r>
    <x v="1004"/>
    <s v="Student_1004"/>
    <x v="7"/>
    <x v="0"/>
    <d v="2022-06-04T00:00:00"/>
    <x v="1"/>
    <n v="6615"/>
    <x v="956"/>
    <x v="151"/>
    <n v="96"/>
  </r>
  <r>
    <x v="1005"/>
    <s v="Student_1005"/>
    <x v="0"/>
    <x v="1"/>
    <d v="2023-08-26T00:00:00"/>
    <x v="0"/>
    <n v="4176"/>
    <x v="957"/>
    <x v="114"/>
    <n v="12"/>
  </r>
  <r>
    <x v="1006"/>
    <s v="Student_1006"/>
    <x v="5"/>
    <x v="1"/>
    <d v="2024-05-05T00:00:00"/>
    <x v="1"/>
    <n v="3536"/>
    <x v="958"/>
    <x v="113"/>
    <n v="108"/>
  </r>
  <r>
    <x v="1007"/>
    <s v="Student_1007"/>
    <x v="5"/>
    <x v="0"/>
    <d v="2023-12-25T00:00:00"/>
    <x v="0"/>
    <n v="9886"/>
    <x v="959"/>
    <x v="165"/>
    <n v="80"/>
  </r>
  <r>
    <x v="1008"/>
    <s v="Student_1008"/>
    <x v="2"/>
    <x v="3"/>
    <d v="2023-12-21T00:00:00"/>
    <x v="2"/>
    <n v="6048"/>
    <x v="584"/>
    <x v="45"/>
    <n v="84"/>
  </r>
  <r>
    <x v="1009"/>
    <s v="Student_1009"/>
    <x v="0"/>
    <x v="2"/>
    <d v="2022-01-18T00:00:00"/>
    <x v="2"/>
    <n v="4181"/>
    <x v="960"/>
    <x v="180"/>
    <n v="91"/>
  </r>
  <r>
    <x v="1010"/>
    <s v="Student_1010"/>
    <x v="5"/>
    <x v="2"/>
    <d v="2022-05-12T00:00:00"/>
    <x v="0"/>
    <n v="7377"/>
    <x v="961"/>
    <x v="174"/>
    <n v="96"/>
  </r>
  <r>
    <x v="1011"/>
    <s v="Student_1011"/>
    <x v="2"/>
    <x v="1"/>
    <d v="2022-04-22T00:00:00"/>
    <x v="0"/>
    <n v="14234"/>
    <x v="962"/>
    <x v="125"/>
    <n v="34"/>
  </r>
  <r>
    <x v="1012"/>
    <s v="Student_1012"/>
    <x v="5"/>
    <x v="0"/>
    <d v="2024-03-09T00:00:00"/>
    <x v="1"/>
    <n v="4357"/>
    <x v="963"/>
    <x v="2"/>
    <n v="89"/>
  </r>
  <r>
    <x v="1013"/>
    <s v="Student_1013"/>
    <x v="2"/>
    <x v="3"/>
    <d v="2023-05-19T00:00:00"/>
    <x v="0"/>
    <n v="6176"/>
    <x v="964"/>
    <x v="49"/>
    <n v="68"/>
  </r>
  <r>
    <x v="1014"/>
    <s v="Student_1014"/>
    <x v="7"/>
    <x v="3"/>
    <d v="2023-03-28T00:00:00"/>
    <x v="0"/>
    <n v="14399"/>
    <x v="965"/>
    <x v="117"/>
    <n v="21"/>
  </r>
  <r>
    <x v="1015"/>
    <s v="Student_1015"/>
    <x v="4"/>
    <x v="0"/>
    <d v="2022-01-03T00:00:00"/>
    <x v="0"/>
    <n v="13434"/>
    <x v="966"/>
    <x v="135"/>
    <n v="18"/>
  </r>
  <r>
    <x v="1016"/>
    <s v="Student_1016"/>
    <x v="6"/>
    <x v="2"/>
    <d v="2023-03-29T00:00:00"/>
    <x v="0"/>
    <n v="3398"/>
    <x v="967"/>
    <x v="24"/>
    <n v="58"/>
  </r>
  <r>
    <x v="1017"/>
    <s v="Student_1017"/>
    <x v="5"/>
    <x v="2"/>
    <d v="2022-09-23T00:00:00"/>
    <x v="0"/>
    <n v="9724"/>
    <x v="968"/>
    <x v="55"/>
    <n v="38"/>
  </r>
  <r>
    <x v="1018"/>
    <s v="Student_1018"/>
    <x v="1"/>
    <x v="3"/>
    <d v="2022-12-21T00:00:00"/>
    <x v="0"/>
    <n v="13375"/>
    <x v="969"/>
    <x v="97"/>
    <n v="11"/>
  </r>
  <r>
    <x v="1019"/>
    <s v="Student_1019"/>
    <x v="6"/>
    <x v="3"/>
    <d v="2024-04-08T00:00:00"/>
    <x v="1"/>
    <n v="2052"/>
    <x v="970"/>
    <x v="32"/>
    <n v="117"/>
  </r>
  <r>
    <x v="1020"/>
    <s v="Student_1020"/>
    <x v="7"/>
    <x v="1"/>
    <d v="2022-10-11T00:00:00"/>
    <x v="0"/>
    <n v="9348"/>
    <x v="971"/>
    <x v="151"/>
    <n v="20"/>
  </r>
  <r>
    <x v="1021"/>
    <s v="Student_1021"/>
    <x v="5"/>
    <x v="1"/>
    <d v="2023-01-18T00:00:00"/>
    <x v="0"/>
    <n v="3683"/>
    <x v="972"/>
    <x v="158"/>
    <n v="61"/>
  </r>
  <r>
    <x v="1022"/>
    <s v="Student_1022"/>
    <x v="0"/>
    <x v="3"/>
    <d v="2022-04-28T00:00:00"/>
    <x v="0"/>
    <n v="6294"/>
    <x v="973"/>
    <x v="130"/>
    <n v="107"/>
  </r>
  <r>
    <x v="1023"/>
    <s v="Student_1023"/>
    <x v="7"/>
    <x v="3"/>
    <d v="2022-09-07T00:00:00"/>
    <x v="1"/>
    <n v="6651"/>
    <x v="974"/>
    <x v="47"/>
    <n v="85"/>
  </r>
  <r>
    <x v="1024"/>
    <s v="Student_1024"/>
    <x v="0"/>
    <x v="0"/>
    <d v="2024-05-10T00:00:00"/>
    <x v="1"/>
    <n v="14550"/>
    <x v="975"/>
    <x v="68"/>
    <n v="78"/>
  </r>
  <r>
    <x v="1025"/>
    <s v="Student_1025"/>
    <x v="4"/>
    <x v="2"/>
    <d v="2023-11-14T00:00:00"/>
    <x v="1"/>
    <n v="4049"/>
    <x v="976"/>
    <x v="52"/>
    <n v="29"/>
  </r>
  <r>
    <x v="1026"/>
    <s v="Student_1026"/>
    <x v="6"/>
    <x v="0"/>
    <d v="2023-01-30T00:00:00"/>
    <x v="1"/>
    <n v="2397"/>
    <x v="977"/>
    <x v="41"/>
    <n v="117"/>
  </r>
  <r>
    <x v="1027"/>
    <s v="Student_1027"/>
    <x v="7"/>
    <x v="1"/>
    <d v="2022-05-10T00:00:00"/>
    <x v="1"/>
    <n v="2645"/>
    <x v="978"/>
    <x v="55"/>
    <n v="54"/>
  </r>
  <r>
    <x v="1028"/>
    <s v="Student_1028"/>
    <x v="4"/>
    <x v="3"/>
    <d v="2022-10-30T00:00:00"/>
    <x v="0"/>
    <n v="4105"/>
    <x v="979"/>
    <x v="101"/>
    <n v="22"/>
  </r>
  <r>
    <x v="1029"/>
    <s v="Student_1029"/>
    <x v="0"/>
    <x v="2"/>
    <d v="2022-02-11T00:00:00"/>
    <x v="0"/>
    <n v="7185"/>
    <x v="980"/>
    <x v="82"/>
    <n v="24"/>
  </r>
  <r>
    <x v="1030"/>
    <s v="Student_1030"/>
    <x v="6"/>
    <x v="1"/>
    <d v="2024-01-09T00:00:00"/>
    <x v="0"/>
    <n v="6263"/>
    <x v="981"/>
    <x v="37"/>
    <n v="49"/>
  </r>
  <r>
    <x v="1031"/>
    <s v="Student_1031"/>
    <x v="5"/>
    <x v="0"/>
    <d v="2023-07-23T00:00:00"/>
    <x v="0"/>
    <n v="7201"/>
    <x v="982"/>
    <x v="1"/>
    <n v="19"/>
  </r>
  <r>
    <x v="1032"/>
    <s v="Student_1032"/>
    <x v="0"/>
    <x v="3"/>
    <d v="2024-04-18T00:00:00"/>
    <x v="2"/>
    <n v="6043"/>
    <x v="983"/>
    <x v="91"/>
    <n v="81"/>
  </r>
  <r>
    <x v="1033"/>
    <s v="Student_1033"/>
    <x v="6"/>
    <x v="2"/>
    <d v="2024-02-04T00:00:00"/>
    <x v="0"/>
    <n v="4290"/>
    <x v="984"/>
    <x v="8"/>
    <n v="100"/>
  </r>
  <r>
    <x v="1034"/>
    <s v="Student_1034"/>
    <x v="0"/>
    <x v="1"/>
    <d v="2023-10-21T00:00:00"/>
    <x v="0"/>
    <n v="13750"/>
    <x v="199"/>
    <x v="106"/>
    <n v="20"/>
  </r>
  <r>
    <x v="1035"/>
    <s v="Student_1035"/>
    <x v="6"/>
    <x v="1"/>
    <d v="2023-01-07T00:00:00"/>
    <x v="0"/>
    <n v="9223"/>
    <x v="985"/>
    <x v="1"/>
    <n v="104"/>
  </r>
  <r>
    <x v="1036"/>
    <s v="Student_1036"/>
    <x v="5"/>
    <x v="2"/>
    <d v="2023-09-17T00:00:00"/>
    <x v="1"/>
    <n v="9699"/>
    <x v="986"/>
    <x v="97"/>
    <n v="57"/>
  </r>
  <r>
    <x v="1037"/>
    <s v="Student_1037"/>
    <x v="0"/>
    <x v="3"/>
    <d v="2022-01-18T00:00:00"/>
    <x v="0"/>
    <n v="9851"/>
    <x v="987"/>
    <x v="5"/>
    <n v="78"/>
  </r>
  <r>
    <x v="1038"/>
    <s v="Student_1038"/>
    <x v="7"/>
    <x v="1"/>
    <d v="2024-05-29T00:00:00"/>
    <x v="0"/>
    <n v="8813"/>
    <x v="988"/>
    <x v="68"/>
    <n v="110"/>
  </r>
  <r>
    <x v="1039"/>
    <s v="Student_1039"/>
    <x v="3"/>
    <x v="1"/>
    <d v="2022-05-13T00:00:00"/>
    <x v="0"/>
    <n v="9828"/>
    <x v="989"/>
    <x v="180"/>
    <n v="17"/>
  </r>
  <r>
    <x v="1040"/>
    <s v="Student_1040"/>
    <x v="3"/>
    <x v="3"/>
    <d v="2022-01-21T00:00:00"/>
    <x v="0"/>
    <n v="14430"/>
    <x v="20"/>
    <x v="149"/>
    <n v="73"/>
  </r>
  <r>
    <x v="1041"/>
    <s v="Student_1041"/>
    <x v="1"/>
    <x v="3"/>
    <d v="2023-03-31T00:00:00"/>
    <x v="0"/>
    <n v="14409"/>
    <x v="990"/>
    <x v="10"/>
    <n v="31"/>
  </r>
  <r>
    <x v="1042"/>
    <s v="Student_1042"/>
    <x v="5"/>
    <x v="2"/>
    <d v="2022-09-12T00:00:00"/>
    <x v="0"/>
    <n v="3726"/>
    <x v="991"/>
    <x v="115"/>
    <n v="6"/>
  </r>
  <r>
    <x v="1043"/>
    <s v="Student_1043"/>
    <x v="4"/>
    <x v="1"/>
    <d v="2023-10-28T00:00:00"/>
    <x v="1"/>
    <n v="12371"/>
    <x v="992"/>
    <x v="76"/>
    <n v="52"/>
  </r>
  <r>
    <x v="1044"/>
    <s v="Student_1044"/>
    <x v="3"/>
    <x v="2"/>
    <d v="2023-06-27T00:00:00"/>
    <x v="1"/>
    <n v="3344"/>
    <x v="993"/>
    <x v="171"/>
    <n v="75"/>
  </r>
  <r>
    <x v="1045"/>
    <s v="Student_1045"/>
    <x v="5"/>
    <x v="0"/>
    <d v="2023-03-19T00:00:00"/>
    <x v="0"/>
    <n v="10360"/>
    <x v="994"/>
    <x v="59"/>
    <n v="42"/>
  </r>
  <r>
    <x v="1046"/>
    <s v="Student_1046"/>
    <x v="6"/>
    <x v="0"/>
    <d v="2022-07-22T00:00:00"/>
    <x v="0"/>
    <n v="9592"/>
    <x v="646"/>
    <x v="42"/>
    <n v="59"/>
  </r>
  <r>
    <x v="1047"/>
    <s v="Student_1047"/>
    <x v="5"/>
    <x v="0"/>
    <d v="2022-06-30T00:00:00"/>
    <x v="0"/>
    <n v="9512"/>
    <x v="995"/>
    <x v="146"/>
    <n v="56"/>
  </r>
  <r>
    <x v="1048"/>
    <s v="Student_1048"/>
    <x v="7"/>
    <x v="1"/>
    <d v="2022-07-23T00:00:00"/>
    <x v="1"/>
    <n v="5373"/>
    <x v="996"/>
    <x v="27"/>
    <n v="22"/>
  </r>
  <r>
    <x v="1049"/>
    <s v="Student_1049"/>
    <x v="2"/>
    <x v="1"/>
    <d v="2022-09-10T00:00:00"/>
    <x v="1"/>
    <n v="5354"/>
    <x v="997"/>
    <x v="133"/>
    <n v="94"/>
  </r>
  <r>
    <x v="1050"/>
    <s v="Student_1050"/>
    <x v="5"/>
    <x v="3"/>
    <d v="2022-10-05T00:00:00"/>
    <x v="1"/>
    <n v="2479"/>
    <x v="998"/>
    <x v="182"/>
    <n v="100"/>
  </r>
  <r>
    <x v="1051"/>
    <s v="Student_1051"/>
    <x v="0"/>
    <x v="3"/>
    <d v="2023-03-22T00:00:00"/>
    <x v="2"/>
    <n v="6810"/>
    <x v="999"/>
    <x v="91"/>
    <n v="46"/>
  </r>
  <r>
    <x v="1052"/>
    <s v="Student_1052"/>
    <x v="0"/>
    <x v="1"/>
    <d v="2022-06-06T00:00:00"/>
    <x v="0"/>
    <n v="7686"/>
    <x v="1000"/>
    <x v="179"/>
    <n v="4"/>
  </r>
  <r>
    <x v="1053"/>
    <s v="Student_1053"/>
    <x v="6"/>
    <x v="0"/>
    <d v="2022-11-23T00:00:00"/>
    <x v="0"/>
    <n v="7121"/>
    <x v="1001"/>
    <x v="192"/>
    <n v="28"/>
  </r>
  <r>
    <x v="1054"/>
    <s v="Student_1054"/>
    <x v="1"/>
    <x v="2"/>
    <d v="2024-06-07T00:00:00"/>
    <x v="1"/>
    <n v="3813"/>
    <x v="1002"/>
    <x v="30"/>
    <n v="55"/>
  </r>
  <r>
    <x v="1055"/>
    <s v="Student_1055"/>
    <x v="7"/>
    <x v="3"/>
    <d v="2024-04-28T00:00:00"/>
    <x v="1"/>
    <n v="5115"/>
    <x v="1003"/>
    <x v="28"/>
    <n v="35"/>
  </r>
  <r>
    <x v="1056"/>
    <s v="Student_1056"/>
    <x v="5"/>
    <x v="1"/>
    <d v="2023-02-06T00:00:00"/>
    <x v="0"/>
    <n v="8897"/>
    <x v="1004"/>
    <x v="152"/>
    <n v="90"/>
  </r>
  <r>
    <x v="1057"/>
    <s v="Student_1057"/>
    <x v="4"/>
    <x v="2"/>
    <d v="2024-04-26T00:00:00"/>
    <x v="0"/>
    <n v="10286"/>
    <x v="1005"/>
    <x v="100"/>
    <n v="76"/>
  </r>
  <r>
    <x v="1058"/>
    <s v="Student_1058"/>
    <x v="2"/>
    <x v="2"/>
    <d v="2024-03-30T00:00:00"/>
    <x v="1"/>
    <n v="6792"/>
    <x v="1006"/>
    <x v="188"/>
    <n v="6"/>
  </r>
  <r>
    <x v="1059"/>
    <s v="Student_1059"/>
    <x v="3"/>
    <x v="3"/>
    <d v="2023-02-25T00:00:00"/>
    <x v="0"/>
    <n v="9636"/>
    <x v="522"/>
    <x v="194"/>
    <n v="46"/>
  </r>
  <r>
    <x v="1060"/>
    <s v="Student_1060"/>
    <x v="2"/>
    <x v="3"/>
    <d v="2022-01-03T00:00:00"/>
    <x v="0"/>
    <n v="14185"/>
    <x v="1007"/>
    <x v="140"/>
    <n v="84"/>
  </r>
  <r>
    <x v="1061"/>
    <s v="Student_1061"/>
    <x v="7"/>
    <x v="3"/>
    <d v="2023-06-14T00:00:00"/>
    <x v="0"/>
    <n v="13293"/>
    <x v="1008"/>
    <x v="112"/>
    <n v="99"/>
  </r>
  <r>
    <x v="1062"/>
    <s v="Student_1062"/>
    <x v="7"/>
    <x v="1"/>
    <d v="2023-07-17T00:00:00"/>
    <x v="1"/>
    <n v="7446"/>
    <x v="1009"/>
    <x v="73"/>
    <n v="101"/>
  </r>
  <r>
    <x v="1063"/>
    <s v="Student_1063"/>
    <x v="4"/>
    <x v="3"/>
    <d v="2022-10-15T00:00:00"/>
    <x v="0"/>
    <n v="11119"/>
    <x v="1010"/>
    <x v="147"/>
    <n v="103"/>
  </r>
  <r>
    <x v="1064"/>
    <s v="Student_1064"/>
    <x v="5"/>
    <x v="1"/>
    <d v="2022-09-02T00:00:00"/>
    <x v="0"/>
    <n v="13651"/>
    <x v="1011"/>
    <x v="95"/>
    <n v="76"/>
  </r>
  <r>
    <x v="1065"/>
    <s v="Student_1065"/>
    <x v="0"/>
    <x v="3"/>
    <d v="2022-06-02T00:00:00"/>
    <x v="0"/>
    <n v="4701"/>
    <x v="1012"/>
    <x v="130"/>
    <n v="44"/>
  </r>
  <r>
    <x v="1066"/>
    <s v="Student_1066"/>
    <x v="1"/>
    <x v="3"/>
    <d v="2024-04-13T00:00:00"/>
    <x v="2"/>
    <n v="9016"/>
    <x v="1013"/>
    <x v="163"/>
    <n v="5"/>
  </r>
  <r>
    <x v="1067"/>
    <s v="Student_1067"/>
    <x v="6"/>
    <x v="1"/>
    <d v="2023-07-13T00:00:00"/>
    <x v="1"/>
    <n v="6208"/>
    <x v="1014"/>
    <x v="107"/>
    <n v="93"/>
  </r>
  <r>
    <x v="1068"/>
    <s v="Student_1068"/>
    <x v="4"/>
    <x v="0"/>
    <d v="2023-06-13T00:00:00"/>
    <x v="1"/>
    <n v="5697"/>
    <x v="1015"/>
    <x v="81"/>
    <n v="79"/>
  </r>
  <r>
    <x v="1069"/>
    <s v="Student_1069"/>
    <x v="2"/>
    <x v="2"/>
    <d v="2022-01-07T00:00:00"/>
    <x v="0"/>
    <n v="14742"/>
    <x v="1016"/>
    <x v="197"/>
    <n v="6"/>
  </r>
  <r>
    <x v="1070"/>
    <s v="Student_1070"/>
    <x v="6"/>
    <x v="3"/>
    <d v="2022-06-28T00:00:00"/>
    <x v="1"/>
    <n v="2296"/>
    <x v="1017"/>
    <x v="64"/>
    <n v="71"/>
  </r>
  <r>
    <x v="1071"/>
    <s v="Student_1071"/>
    <x v="7"/>
    <x v="3"/>
    <d v="2023-11-01T00:00:00"/>
    <x v="0"/>
    <n v="10330"/>
    <x v="1018"/>
    <x v="34"/>
    <n v="50"/>
  </r>
  <r>
    <x v="1072"/>
    <s v="Student_1072"/>
    <x v="4"/>
    <x v="0"/>
    <d v="2023-12-11T00:00:00"/>
    <x v="2"/>
    <n v="2000"/>
    <x v="1019"/>
    <x v="150"/>
    <n v="2"/>
  </r>
  <r>
    <x v="1073"/>
    <s v="Student_1073"/>
    <x v="7"/>
    <x v="1"/>
    <d v="2023-02-25T00:00:00"/>
    <x v="1"/>
    <n v="8970"/>
    <x v="362"/>
    <x v="128"/>
    <n v="97"/>
  </r>
  <r>
    <x v="1074"/>
    <s v="Student_1074"/>
    <x v="7"/>
    <x v="1"/>
    <d v="2023-07-19T00:00:00"/>
    <x v="1"/>
    <n v="5560"/>
    <x v="1020"/>
    <x v="181"/>
    <n v="66"/>
  </r>
  <r>
    <x v="1075"/>
    <s v="Student_1075"/>
    <x v="0"/>
    <x v="0"/>
    <d v="2023-09-27T00:00:00"/>
    <x v="0"/>
    <n v="7903"/>
    <x v="1021"/>
    <x v="98"/>
    <n v="110"/>
  </r>
  <r>
    <x v="1076"/>
    <s v="Student_1076"/>
    <x v="7"/>
    <x v="2"/>
    <d v="2023-06-27T00:00:00"/>
    <x v="0"/>
    <n v="4119"/>
    <x v="1022"/>
    <x v="4"/>
    <n v="74"/>
  </r>
  <r>
    <x v="1077"/>
    <s v="Student_1077"/>
    <x v="4"/>
    <x v="3"/>
    <d v="2024-03-27T00:00:00"/>
    <x v="2"/>
    <n v="7853"/>
    <x v="1023"/>
    <x v="39"/>
    <n v="96"/>
  </r>
  <r>
    <x v="1078"/>
    <s v="Student_1078"/>
    <x v="0"/>
    <x v="0"/>
    <d v="2022-12-23T00:00:00"/>
    <x v="2"/>
    <n v="7107"/>
    <x v="1024"/>
    <x v="82"/>
    <n v="73"/>
  </r>
  <r>
    <x v="1079"/>
    <s v="Student_1079"/>
    <x v="1"/>
    <x v="1"/>
    <d v="2024-04-03T00:00:00"/>
    <x v="0"/>
    <n v="3245"/>
    <x v="882"/>
    <x v="195"/>
    <n v="16"/>
  </r>
  <r>
    <x v="1080"/>
    <s v="Student_1080"/>
    <x v="1"/>
    <x v="0"/>
    <d v="2024-04-05T00:00:00"/>
    <x v="0"/>
    <n v="4892"/>
    <x v="1025"/>
    <x v="25"/>
    <n v="43"/>
  </r>
  <r>
    <x v="1081"/>
    <s v="Student_1081"/>
    <x v="6"/>
    <x v="3"/>
    <d v="2022-10-12T00:00:00"/>
    <x v="0"/>
    <n v="5130"/>
    <x v="1008"/>
    <x v="185"/>
    <n v="113"/>
  </r>
  <r>
    <x v="1082"/>
    <s v="Student_1082"/>
    <x v="3"/>
    <x v="3"/>
    <d v="2022-09-27T00:00:00"/>
    <x v="0"/>
    <n v="12773"/>
    <x v="538"/>
    <x v="58"/>
    <n v="96"/>
  </r>
  <r>
    <x v="1083"/>
    <s v="Student_1083"/>
    <x v="6"/>
    <x v="1"/>
    <d v="2022-07-16T00:00:00"/>
    <x v="1"/>
    <n v="11415"/>
    <x v="1026"/>
    <x v="14"/>
    <n v="5"/>
  </r>
  <r>
    <x v="1084"/>
    <s v="Student_1084"/>
    <x v="6"/>
    <x v="3"/>
    <d v="2022-07-30T00:00:00"/>
    <x v="0"/>
    <n v="8463"/>
    <x v="1027"/>
    <x v="192"/>
    <n v="33"/>
  </r>
  <r>
    <x v="1085"/>
    <s v="Student_1085"/>
    <x v="5"/>
    <x v="3"/>
    <d v="2022-02-26T00:00:00"/>
    <x v="0"/>
    <n v="13713"/>
    <x v="1028"/>
    <x v="184"/>
    <n v="54"/>
  </r>
  <r>
    <x v="1086"/>
    <s v="Student_1086"/>
    <x v="4"/>
    <x v="3"/>
    <d v="2022-02-02T00:00:00"/>
    <x v="0"/>
    <n v="10725"/>
    <x v="246"/>
    <x v="180"/>
    <n v="41"/>
  </r>
  <r>
    <x v="1087"/>
    <s v="Student_1087"/>
    <x v="1"/>
    <x v="3"/>
    <d v="2023-06-28T00:00:00"/>
    <x v="2"/>
    <n v="11630"/>
    <x v="1029"/>
    <x v="162"/>
    <n v="111"/>
  </r>
  <r>
    <x v="1088"/>
    <s v="Student_1088"/>
    <x v="6"/>
    <x v="2"/>
    <d v="2024-05-01T00:00:00"/>
    <x v="0"/>
    <n v="12478"/>
    <x v="1030"/>
    <x v="102"/>
    <n v="22"/>
  </r>
  <r>
    <x v="1089"/>
    <s v="Student_1089"/>
    <x v="2"/>
    <x v="3"/>
    <d v="2022-06-13T00:00:00"/>
    <x v="2"/>
    <n v="8685"/>
    <x v="1031"/>
    <x v="27"/>
    <n v="1"/>
  </r>
  <r>
    <x v="1090"/>
    <s v="Student_1090"/>
    <x v="5"/>
    <x v="3"/>
    <d v="2023-02-26T00:00:00"/>
    <x v="0"/>
    <n v="6591"/>
    <x v="1032"/>
    <x v="27"/>
    <n v="46"/>
  </r>
  <r>
    <x v="1091"/>
    <s v="Student_1091"/>
    <x v="5"/>
    <x v="3"/>
    <d v="2023-02-26T00:00:00"/>
    <x v="0"/>
    <n v="8141"/>
    <x v="1033"/>
    <x v="154"/>
    <n v="46"/>
  </r>
  <r>
    <x v="1092"/>
    <s v="Student_1092"/>
    <x v="1"/>
    <x v="2"/>
    <d v="2022-03-15T00:00:00"/>
    <x v="0"/>
    <n v="3019"/>
    <x v="1034"/>
    <x v="31"/>
    <n v="79"/>
  </r>
  <r>
    <x v="1093"/>
    <s v="Student_1093"/>
    <x v="7"/>
    <x v="2"/>
    <d v="2023-12-23T00:00:00"/>
    <x v="1"/>
    <n v="8929"/>
    <x v="1035"/>
    <x v="49"/>
    <n v="104"/>
  </r>
  <r>
    <x v="1094"/>
    <s v="Student_1094"/>
    <x v="7"/>
    <x v="3"/>
    <d v="2022-01-15T00:00:00"/>
    <x v="0"/>
    <n v="11878"/>
    <x v="332"/>
    <x v="108"/>
    <n v="96"/>
  </r>
  <r>
    <x v="1095"/>
    <s v="Student_1095"/>
    <x v="5"/>
    <x v="0"/>
    <d v="2023-11-29T00:00:00"/>
    <x v="1"/>
    <n v="11961"/>
    <x v="1036"/>
    <x v="196"/>
    <n v="16"/>
  </r>
  <r>
    <x v="1096"/>
    <s v="Student_1096"/>
    <x v="0"/>
    <x v="0"/>
    <d v="2022-06-09T00:00:00"/>
    <x v="1"/>
    <n v="14062"/>
    <x v="1037"/>
    <x v="97"/>
    <n v="103"/>
  </r>
  <r>
    <x v="1097"/>
    <s v="Student_1097"/>
    <x v="7"/>
    <x v="2"/>
    <d v="2022-08-07T00:00:00"/>
    <x v="1"/>
    <n v="7312"/>
    <x v="1038"/>
    <x v="169"/>
    <n v="104"/>
  </r>
  <r>
    <x v="1098"/>
    <s v="Student_1098"/>
    <x v="7"/>
    <x v="2"/>
    <d v="2023-04-07T00:00:00"/>
    <x v="0"/>
    <n v="5745"/>
    <x v="1039"/>
    <x v="43"/>
    <n v="31"/>
  </r>
  <r>
    <x v="1099"/>
    <s v="Student_1099"/>
    <x v="1"/>
    <x v="3"/>
    <d v="2022-06-14T00:00:00"/>
    <x v="2"/>
    <n v="6844"/>
    <x v="1040"/>
    <x v="170"/>
    <n v="44"/>
  </r>
  <r>
    <x v="1100"/>
    <s v="Student_1100"/>
    <x v="7"/>
    <x v="1"/>
    <d v="2022-07-11T00:00:00"/>
    <x v="0"/>
    <n v="13054"/>
    <x v="1041"/>
    <x v="18"/>
    <n v="31"/>
  </r>
  <r>
    <x v="1101"/>
    <s v="Student_1101"/>
    <x v="5"/>
    <x v="2"/>
    <d v="2023-03-22T00:00:00"/>
    <x v="0"/>
    <n v="10986"/>
    <x v="1042"/>
    <x v="11"/>
    <n v="70"/>
  </r>
  <r>
    <x v="1102"/>
    <s v="Student_1102"/>
    <x v="1"/>
    <x v="1"/>
    <d v="2024-05-09T00:00:00"/>
    <x v="2"/>
    <n v="3798"/>
    <x v="1043"/>
    <x v="111"/>
    <n v="98"/>
  </r>
  <r>
    <x v="1103"/>
    <s v="Student_1103"/>
    <x v="6"/>
    <x v="0"/>
    <d v="2024-02-10T00:00:00"/>
    <x v="1"/>
    <n v="8999"/>
    <x v="1044"/>
    <x v="172"/>
    <n v="115"/>
  </r>
  <r>
    <x v="1104"/>
    <s v="Student_1104"/>
    <x v="0"/>
    <x v="3"/>
    <d v="2022-03-29T00:00:00"/>
    <x v="0"/>
    <n v="4243"/>
    <x v="1045"/>
    <x v="198"/>
    <n v="18"/>
  </r>
  <r>
    <x v="1105"/>
    <s v="Student_1105"/>
    <x v="0"/>
    <x v="0"/>
    <d v="2023-05-25T00:00:00"/>
    <x v="1"/>
    <n v="2171"/>
    <x v="1046"/>
    <x v="6"/>
    <n v="31"/>
  </r>
  <r>
    <x v="1106"/>
    <s v="Student_1106"/>
    <x v="3"/>
    <x v="3"/>
    <d v="2022-10-05T00:00:00"/>
    <x v="1"/>
    <n v="4746"/>
    <x v="1047"/>
    <x v="155"/>
    <n v="10"/>
  </r>
  <r>
    <x v="1107"/>
    <s v="Student_1107"/>
    <x v="1"/>
    <x v="1"/>
    <d v="2024-02-07T00:00:00"/>
    <x v="0"/>
    <n v="5813"/>
    <x v="1048"/>
    <x v="58"/>
    <n v="13"/>
  </r>
  <r>
    <x v="1108"/>
    <s v="Student_1108"/>
    <x v="5"/>
    <x v="0"/>
    <d v="2022-02-07T00:00:00"/>
    <x v="0"/>
    <n v="11997"/>
    <x v="1049"/>
    <x v="107"/>
    <n v="81"/>
  </r>
  <r>
    <x v="1109"/>
    <s v="Student_1109"/>
    <x v="5"/>
    <x v="2"/>
    <d v="2022-11-26T00:00:00"/>
    <x v="1"/>
    <n v="3129"/>
    <x v="1050"/>
    <x v="67"/>
    <n v="94"/>
  </r>
  <r>
    <x v="1110"/>
    <s v="Student_1110"/>
    <x v="2"/>
    <x v="3"/>
    <d v="2023-12-18T00:00:00"/>
    <x v="0"/>
    <n v="4829"/>
    <x v="955"/>
    <x v="184"/>
    <n v="71"/>
  </r>
  <r>
    <x v="1111"/>
    <s v="Student_1111"/>
    <x v="1"/>
    <x v="2"/>
    <d v="2023-12-10T00:00:00"/>
    <x v="0"/>
    <n v="13773"/>
    <x v="1051"/>
    <x v="135"/>
    <n v="22"/>
  </r>
  <r>
    <x v="1112"/>
    <s v="Student_1112"/>
    <x v="7"/>
    <x v="1"/>
    <d v="2022-11-14T00:00:00"/>
    <x v="1"/>
    <n v="7845"/>
    <x v="1052"/>
    <x v="94"/>
    <n v="82"/>
  </r>
  <r>
    <x v="1113"/>
    <s v="Student_1113"/>
    <x v="4"/>
    <x v="2"/>
    <d v="2024-02-15T00:00:00"/>
    <x v="1"/>
    <n v="14112"/>
    <x v="1053"/>
    <x v="19"/>
    <n v="106"/>
  </r>
  <r>
    <x v="1114"/>
    <s v="Student_1114"/>
    <x v="1"/>
    <x v="2"/>
    <d v="2024-05-17T00:00:00"/>
    <x v="0"/>
    <n v="8386"/>
    <x v="1054"/>
    <x v="99"/>
    <n v="97"/>
  </r>
  <r>
    <x v="1115"/>
    <s v="Student_1115"/>
    <x v="6"/>
    <x v="1"/>
    <d v="2023-07-29T00:00:00"/>
    <x v="0"/>
    <n v="11924"/>
    <x v="1055"/>
    <x v="171"/>
    <n v="23"/>
  </r>
  <r>
    <x v="1116"/>
    <s v="Student_1116"/>
    <x v="4"/>
    <x v="2"/>
    <d v="2022-03-27T00:00:00"/>
    <x v="1"/>
    <n v="6259"/>
    <x v="1056"/>
    <x v="143"/>
    <n v="69"/>
  </r>
  <r>
    <x v="1117"/>
    <s v="Student_1117"/>
    <x v="2"/>
    <x v="2"/>
    <d v="2024-02-25T00:00:00"/>
    <x v="0"/>
    <n v="2965"/>
    <x v="1057"/>
    <x v="85"/>
    <n v="79"/>
  </r>
  <r>
    <x v="1118"/>
    <s v="Student_1118"/>
    <x v="0"/>
    <x v="0"/>
    <d v="2024-02-25T00:00:00"/>
    <x v="0"/>
    <n v="10945"/>
    <x v="1058"/>
    <x v="17"/>
    <n v="39"/>
  </r>
  <r>
    <x v="1119"/>
    <s v="Student_1119"/>
    <x v="6"/>
    <x v="3"/>
    <d v="2024-04-24T00:00:00"/>
    <x v="1"/>
    <n v="5840"/>
    <x v="1059"/>
    <x v="183"/>
    <n v="21"/>
  </r>
  <r>
    <x v="1120"/>
    <s v="Student_1120"/>
    <x v="4"/>
    <x v="3"/>
    <d v="2023-12-28T00:00:00"/>
    <x v="1"/>
    <n v="11837"/>
    <x v="1060"/>
    <x v="187"/>
    <n v="67"/>
  </r>
  <r>
    <x v="1121"/>
    <s v="Student_1121"/>
    <x v="7"/>
    <x v="2"/>
    <d v="2023-11-15T00:00:00"/>
    <x v="1"/>
    <n v="2593"/>
    <x v="1061"/>
    <x v="66"/>
    <n v="25"/>
  </r>
  <r>
    <x v="1122"/>
    <s v="Student_1122"/>
    <x v="1"/>
    <x v="3"/>
    <d v="2023-10-23T00:00:00"/>
    <x v="0"/>
    <n v="4320"/>
    <x v="1062"/>
    <x v="186"/>
    <n v="67"/>
  </r>
  <r>
    <x v="1123"/>
    <s v="Student_1123"/>
    <x v="1"/>
    <x v="0"/>
    <d v="2022-08-06T00:00:00"/>
    <x v="1"/>
    <n v="5074"/>
    <x v="511"/>
    <x v="58"/>
    <n v="10"/>
  </r>
  <r>
    <x v="1124"/>
    <s v="Student_1124"/>
    <x v="1"/>
    <x v="3"/>
    <d v="2023-07-31T00:00:00"/>
    <x v="0"/>
    <n v="10173"/>
    <x v="8"/>
    <x v="134"/>
    <n v="3"/>
  </r>
  <r>
    <x v="1125"/>
    <s v="Student_1125"/>
    <x v="4"/>
    <x v="0"/>
    <d v="2022-05-03T00:00:00"/>
    <x v="1"/>
    <n v="12039"/>
    <x v="1063"/>
    <x v="144"/>
    <n v="4"/>
  </r>
  <r>
    <x v="1126"/>
    <s v="Student_1126"/>
    <x v="7"/>
    <x v="2"/>
    <d v="2023-09-03T00:00:00"/>
    <x v="0"/>
    <n v="9593"/>
    <x v="1064"/>
    <x v="107"/>
    <n v="117"/>
  </r>
  <r>
    <x v="1127"/>
    <s v="Student_1127"/>
    <x v="7"/>
    <x v="2"/>
    <d v="2022-09-12T00:00:00"/>
    <x v="0"/>
    <n v="12305"/>
    <x v="1065"/>
    <x v="13"/>
    <n v="40"/>
  </r>
  <r>
    <x v="1128"/>
    <s v="Student_1128"/>
    <x v="1"/>
    <x v="3"/>
    <d v="2023-09-27T00:00:00"/>
    <x v="0"/>
    <n v="10591"/>
    <x v="1066"/>
    <x v="129"/>
    <n v="106"/>
  </r>
  <r>
    <x v="1129"/>
    <s v="Student_1129"/>
    <x v="5"/>
    <x v="3"/>
    <d v="2023-09-30T00:00:00"/>
    <x v="0"/>
    <n v="7321"/>
    <x v="1067"/>
    <x v="108"/>
    <n v="33"/>
  </r>
  <r>
    <x v="1130"/>
    <s v="Student_1130"/>
    <x v="1"/>
    <x v="2"/>
    <d v="2023-11-04T00:00:00"/>
    <x v="0"/>
    <n v="7742"/>
    <x v="1068"/>
    <x v="141"/>
    <n v="60"/>
  </r>
  <r>
    <x v="1131"/>
    <s v="Student_1131"/>
    <x v="3"/>
    <x v="2"/>
    <d v="2024-03-20T00:00:00"/>
    <x v="0"/>
    <n v="11854"/>
    <x v="1069"/>
    <x v="166"/>
    <n v="1"/>
  </r>
  <r>
    <x v="1132"/>
    <s v="Student_1132"/>
    <x v="3"/>
    <x v="3"/>
    <d v="2023-02-25T00:00:00"/>
    <x v="2"/>
    <n v="3324"/>
    <x v="1070"/>
    <x v="93"/>
    <n v="54"/>
  </r>
  <r>
    <x v="1133"/>
    <s v="Student_1133"/>
    <x v="1"/>
    <x v="3"/>
    <d v="2024-03-30T00:00:00"/>
    <x v="0"/>
    <n v="6655"/>
    <x v="1071"/>
    <x v="121"/>
    <n v="82"/>
  </r>
  <r>
    <x v="1134"/>
    <s v="Student_1134"/>
    <x v="5"/>
    <x v="0"/>
    <d v="2022-01-10T00:00:00"/>
    <x v="0"/>
    <n v="6724"/>
    <x v="1072"/>
    <x v="17"/>
    <n v="9"/>
  </r>
  <r>
    <x v="1135"/>
    <s v="Student_1135"/>
    <x v="7"/>
    <x v="3"/>
    <d v="2024-02-01T00:00:00"/>
    <x v="1"/>
    <n v="7277"/>
    <x v="1073"/>
    <x v="158"/>
    <n v="0"/>
  </r>
  <r>
    <x v="1136"/>
    <s v="Student_1136"/>
    <x v="3"/>
    <x v="2"/>
    <d v="2022-03-17T00:00:00"/>
    <x v="0"/>
    <n v="10295"/>
    <x v="1074"/>
    <x v="144"/>
    <n v="80"/>
  </r>
  <r>
    <x v="1137"/>
    <s v="Student_1137"/>
    <x v="2"/>
    <x v="2"/>
    <d v="2022-02-08T00:00:00"/>
    <x v="0"/>
    <n v="14993"/>
    <x v="1075"/>
    <x v="10"/>
    <n v="47"/>
  </r>
  <r>
    <x v="1138"/>
    <s v="Student_1138"/>
    <x v="1"/>
    <x v="3"/>
    <d v="2023-12-24T00:00:00"/>
    <x v="0"/>
    <n v="4493"/>
    <x v="1076"/>
    <x v="179"/>
    <n v="99"/>
  </r>
  <r>
    <x v="1139"/>
    <s v="Student_1139"/>
    <x v="0"/>
    <x v="2"/>
    <d v="2023-03-25T00:00:00"/>
    <x v="0"/>
    <n v="6908"/>
    <x v="1077"/>
    <x v="7"/>
    <n v="65"/>
  </r>
  <r>
    <x v="1140"/>
    <s v="Student_1140"/>
    <x v="7"/>
    <x v="2"/>
    <d v="2022-06-15T00:00:00"/>
    <x v="0"/>
    <n v="13292"/>
    <x v="1078"/>
    <x v="18"/>
    <n v="72"/>
  </r>
  <r>
    <x v="1141"/>
    <s v="Student_1141"/>
    <x v="6"/>
    <x v="2"/>
    <d v="2024-03-12T00:00:00"/>
    <x v="0"/>
    <n v="14486"/>
    <x v="1079"/>
    <x v="4"/>
    <n v="97"/>
  </r>
  <r>
    <x v="1142"/>
    <s v="Student_1142"/>
    <x v="3"/>
    <x v="1"/>
    <d v="2024-05-29T00:00:00"/>
    <x v="1"/>
    <n v="9401"/>
    <x v="1080"/>
    <x v="94"/>
    <n v="99"/>
  </r>
  <r>
    <x v="1143"/>
    <s v="Student_1143"/>
    <x v="3"/>
    <x v="0"/>
    <d v="2024-02-13T00:00:00"/>
    <x v="0"/>
    <n v="9412"/>
    <x v="1081"/>
    <x v="194"/>
    <n v="57"/>
  </r>
  <r>
    <x v="1144"/>
    <s v="Student_1144"/>
    <x v="6"/>
    <x v="0"/>
    <d v="2023-12-11T00:00:00"/>
    <x v="0"/>
    <n v="4940"/>
    <x v="1082"/>
    <x v="63"/>
    <n v="59"/>
  </r>
  <r>
    <x v="1145"/>
    <s v="Student_1145"/>
    <x v="1"/>
    <x v="3"/>
    <d v="2024-05-04T00:00:00"/>
    <x v="1"/>
    <n v="2258"/>
    <x v="1083"/>
    <x v="182"/>
    <n v="37"/>
  </r>
  <r>
    <x v="1146"/>
    <s v="Student_1146"/>
    <x v="6"/>
    <x v="3"/>
    <d v="2023-06-28T00:00:00"/>
    <x v="0"/>
    <n v="12187"/>
    <x v="1084"/>
    <x v="1"/>
    <n v="74"/>
  </r>
  <r>
    <x v="1147"/>
    <s v="Student_1147"/>
    <x v="7"/>
    <x v="2"/>
    <d v="2022-10-21T00:00:00"/>
    <x v="0"/>
    <n v="11200"/>
    <x v="1085"/>
    <x v="33"/>
    <n v="13"/>
  </r>
  <r>
    <x v="1148"/>
    <s v="Student_1148"/>
    <x v="3"/>
    <x v="1"/>
    <d v="2022-12-14T00:00:00"/>
    <x v="0"/>
    <n v="3576"/>
    <x v="1086"/>
    <x v="98"/>
    <n v="18"/>
  </r>
  <r>
    <x v="1149"/>
    <s v="Student_1149"/>
    <x v="2"/>
    <x v="2"/>
    <d v="2023-11-20T00:00:00"/>
    <x v="0"/>
    <n v="6142"/>
    <x v="1087"/>
    <x v="71"/>
    <n v="82"/>
  </r>
  <r>
    <x v="1150"/>
    <s v="Student_1150"/>
    <x v="4"/>
    <x v="1"/>
    <d v="2023-05-08T00:00:00"/>
    <x v="0"/>
    <n v="11980"/>
    <x v="1088"/>
    <x v="128"/>
    <n v="84"/>
  </r>
  <r>
    <x v="1151"/>
    <s v="Student_1151"/>
    <x v="3"/>
    <x v="1"/>
    <d v="2024-06-18T00:00:00"/>
    <x v="0"/>
    <n v="7486"/>
    <x v="388"/>
    <x v="20"/>
    <n v="104"/>
  </r>
  <r>
    <x v="1152"/>
    <s v="Student_1152"/>
    <x v="6"/>
    <x v="0"/>
    <d v="2023-11-03T00:00:00"/>
    <x v="0"/>
    <n v="5997"/>
    <x v="1089"/>
    <x v="112"/>
    <n v="49"/>
  </r>
  <r>
    <x v="1153"/>
    <s v="Student_1153"/>
    <x v="6"/>
    <x v="2"/>
    <d v="2022-02-17T00:00:00"/>
    <x v="1"/>
    <n v="10841"/>
    <x v="179"/>
    <x v="0"/>
    <n v="68"/>
  </r>
  <r>
    <x v="1154"/>
    <s v="Student_1154"/>
    <x v="3"/>
    <x v="3"/>
    <d v="2023-09-07T00:00:00"/>
    <x v="0"/>
    <n v="3841"/>
    <x v="1090"/>
    <x v="62"/>
    <n v="53"/>
  </r>
  <r>
    <x v="1155"/>
    <s v="Student_1155"/>
    <x v="0"/>
    <x v="3"/>
    <d v="2024-06-12T00:00:00"/>
    <x v="0"/>
    <n v="13164"/>
    <x v="1091"/>
    <x v="2"/>
    <n v="62"/>
  </r>
  <r>
    <x v="1156"/>
    <s v="Student_1156"/>
    <x v="2"/>
    <x v="0"/>
    <d v="2023-02-26T00:00:00"/>
    <x v="2"/>
    <n v="5796"/>
    <x v="1092"/>
    <x v="184"/>
    <n v="68"/>
  </r>
  <r>
    <x v="1157"/>
    <s v="Student_1157"/>
    <x v="2"/>
    <x v="2"/>
    <d v="2022-06-22T00:00:00"/>
    <x v="0"/>
    <n v="9635"/>
    <x v="1082"/>
    <x v="103"/>
    <n v="33"/>
  </r>
  <r>
    <x v="1158"/>
    <s v="Student_1158"/>
    <x v="1"/>
    <x v="0"/>
    <d v="2024-02-21T00:00:00"/>
    <x v="0"/>
    <n v="2086"/>
    <x v="1093"/>
    <x v="100"/>
    <n v="27"/>
  </r>
  <r>
    <x v="1159"/>
    <s v="Student_1159"/>
    <x v="2"/>
    <x v="2"/>
    <d v="2022-11-01T00:00:00"/>
    <x v="0"/>
    <n v="8164"/>
    <x v="1094"/>
    <x v="88"/>
    <n v="114"/>
  </r>
  <r>
    <x v="1160"/>
    <s v="Student_1160"/>
    <x v="4"/>
    <x v="1"/>
    <d v="2024-06-03T00:00:00"/>
    <x v="1"/>
    <n v="8694"/>
    <x v="1090"/>
    <x v="127"/>
    <n v="28"/>
  </r>
  <r>
    <x v="1161"/>
    <s v="Student_1161"/>
    <x v="1"/>
    <x v="0"/>
    <d v="2023-07-01T00:00:00"/>
    <x v="2"/>
    <n v="2766"/>
    <x v="1095"/>
    <x v="27"/>
    <n v="38"/>
  </r>
  <r>
    <x v="1162"/>
    <s v="Student_1162"/>
    <x v="7"/>
    <x v="1"/>
    <d v="2022-09-13T00:00:00"/>
    <x v="0"/>
    <n v="8228"/>
    <x v="1096"/>
    <x v="70"/>
    <n v="113"/>
  </r>
  <r>
    <x v="1163"/>
    <s v="Student_1163"/>
    <x v="1"/>
    <x v="2"/>
    <d v="2023-01-20T00:00:00"/>
    <x v="0"/>
    <n v="6310"/>
    <x v="1097"/>
    <x v="60"/>
    <n v="82"/>
  </r>
  <r>
    <x v="1164"/>
    <s v="Student_1164"/>
    <x v="2"/>
    <x v="0"/>
    <d v="2022-06-18T00:00:00"/>
    <x v="1"/>
    <n v="7845"/>
    <x v="1098"/>
    <x v="18"/>
    <n v="22"/>
  </r>
  <r>
    <x v="1165"/>
    <s v="Student_1165"/>
    <x v="0"/>
    <x v="0"/>
    <d v="2022-08-27T00:00:00"/>
    <x v="0"/>
    <n v="9700"/>
    <x v="1099"/>
    <x v="159"/>
    <n v="61"/>
  </r>
  <r>
    <x v="1166"/>
    <s v="Student_1166"/>
    <x v="5"/>
    <x v="2"/>
    <d v="2024-05-26T00:00:00"/>
    <x v="0"/>
    <n v="6402"/>
    <x v="1100"/>
    <x v="163"/>
    <n v="24"/>
  </r>
  <r>
    <x v="1167"/>
    <s v="Student_1167"/>
    <x v="7"/>
    <x v="2"/>
    <d v="2023-08-05T00:00:00"/>
    <x v="0"/>
    <n v="9573"/>
    <x v="1101"/>
    <x v="199"/>
    <n v="20"/>
  </r>
  <r>
    <x v="1168"/>
    <s v="Student_1168"/>
    <x v="4"/>
    <x v="0"/>
    <d v="2023-01-19T00:00:00"/>
    <x v="1"/>
    <n v="7706"/>
    <x v="471"/>
    <x v="148"/>
    <n v="59"/>
  </r>
  <r>
    <x v="1169"/>
    <s v="Student_1169"/>
    <x v="0"/>
    <x v="2"/>
    <d v="2022-07-02T00:00:00"/>
    <x v="0"/>
    <n v="12608"/>
    <x v="1102"/>
    <x v="173"/>
    <n v="69"/>
  </r>
  <r>
    <x v="1170"/>
    <s v="Student_1170"/>
    <x v="3"/>
    <x v="3"/>
    <d v="2024-05-23T00:00:00"/>
    <x v="1"/>
    <n v="8446"/>
    <x v="1103"/>
    <x v="119"/>
    <n v="20"/>
  </r>
  <r>
    <x v="1171"/>
    <s v="Student_1171"/>
    <x v="4"/>
    <x v="1"/>
    <d v="2024-03-12T00:00:00"/>
    <x v="0"/>
    <n v="2545"/>
    <x v="1104"/>
    <x v="60"/>
    <n v="92"/>
  </r>
  <r>
    <x v="1172"/>
    <s v="Student_1172"/>
    <x v="4"/>
    <x v="3"/>
    <d v="2022-06-11T00:00:00"/>
    <x v="0"/>
    <n v="8550"/>
    <x v="1105"/>
    <x v="182"/>
    <n v="96"/>
  </r>
  <r>
    <x v="1173"/>
    <s v="Student_1173"/>
    <x v="0"/>
    <x v="1"/>
    <d v="2023-08-25T00:00:00"/>
    <x v="0"/>
    <n v="12524"/>
    <x v="1106"/>
    <x v="90"/>
    <n v="83"/>
  </r>
  <r>
    <x v="1174"/>
    <s v="Student_1174"/>
    <x v="5"/>
    <x v="2"/>
    <d v="2022-07-30T00:00:00"/>
    <x v="1"/>
    <n v="10890"/>
    <x v="1107"/>
    <x v="14"/>
    <n v="5"/>
  </r>
  <r>
    <x v="1175"/>
    <s v="Student_1175"/>
    <x v="6"/>
    <x v="3"/>
    <d v="2022-05-16T00:00:00"/>
    <x v="0"/>
    <n v="2192"/>
    <x v="894"/>
    <x v="30"/>
    <n v="40"/>
  </r>
  <r>
    <x v="1176"/>
    <s v="Student_1176"/>
    <x v="7"/>
    <x v="0"/>
    <d v="2024-05-17T00:00:00"/>
    <x v="0"/>
    <n v="5414"/>
    <x v="1108"/>
    <x v="200"/>
    <n v="85"/>
  </r>
  <r>
    <x v="1177"/>
    <s v="Student_1177"/>
    <x v="4"/>
    <x v="0"/>
    <d v="2023-01-28T00:00:00"/>
    <x v="0"/>
    <n v="14445"/>
    <x v="1109"/>
    <x v="48"/>
    <n v="115"/>
  </r>
  <r>
    <x v="1178"/>
    <s v="Student_1178"/>
    <x v="4"/>
    <x v="1"/>
    <d v="2022-09-03T00:00:00"/>
    <x v="1"/>
    <n v="6203"/>
    <x v="1110"/>
    <x v="153"/>
    <n v="8"/>
  </r>
  <r>
    <x v="1179"/>
    <s v="Student_1179"/>
    <x v="7"/>
    <x v="2"/>
    <d v="2023-01-01T00:00:00"/>
    <x v="1"/>
    <n v="2102"/>
    <x v="1111"/>
    <x v="82"/>
    <n v="65"/>
  </r>
  <r>
    <x v="1180"/>
    <s v="Student_1180"/>
    <x v="7"/>
    <x v="2"/>
    <d v="2022-06-30T00:00:00"/>
    <x v="0"/>
    <n v="11324"/>
    <x v="1112"/>
    <x v="91"/>
    <n v="86"/>
  </r>
  <r>
    <x v="1181"/>
    <s v="Student_1181"/>
    <x v="1"/>
    <x v="0"/>
    <d v="2022-06-11T00:00:00"/>
    <x v="0"/>
    <n v="5209"/>
    <x v="1113"/>
    <x v="15"/>
    <n v="60"/>
  </r>
  <r>
    <x v="1182"/>
    <s v="Student_1182"/>
    <x v="1"/>
    <x v="3"/>
    <d v="2023-03-06T00:00:00"/>
    <x v="0"/>
    <n v="6599"/>
    <x v="1114"/>
    <x v="77"/>
    <n v="108"/>
  </r>
  <r>
    <x v="1183"/>
    <s v="Student_1183"/>
    <x v="6"/>
    <x v="0"/>
    <d v="2023-08-13T00:00:00"/>
    <x v="1"/>
    <n v="4959"/>
    <x v="1115"/>
    <x v="170"/>
    <n v="96"/>
  </r>
  <r>
    <x v="1184"/>
    <s v="Student_1184"/>
    <x v="1"/>
    <x v="3"/>
    <d v="2024-05-04T00:00:00"/>
    <x v="0"/>
    <n v="8084"/>
    <x v="1116"/>
    <x v="155"/>
    <n v="115"/>
  </r>
  <r>
    <x v="1185"/>
    <s v="Student_1185"/>
    <x v="0"/>
    <x v="0"/>
    <d v="2022-03-06T00:00:00"/>
    <x v="1"/>
    <n v="4306"/>
    <x v="1117"/>
    <x v="50"/>
    <n v="60"/>
  </r>
  <r>
    <x v="1186"/>
    <s v="Student_1186"/>
    <x v="2"/>
    <x v="2"/>
    <d v="2022-04-27T00:00:00"/>
    <x v="2"/>
    <n v="6691"/>
    <x v="1073"/>
    <x v="89"/>
    <n v="87"/>
  </r>
  <r>
    <x v="1187"/>
    <s v="Student_1187"/>
    <x v="2"/>
    <x v="1"/>
    <d v="2023-01-02T00:00:00"/>
    <x v="1"/>
    <n v="7712"/>
    <x v="337"/>
    <x v="74"/>
    <n v="115"/>
  </r>
  <r>
    <x v="1188"/>
    <s v="Student_1188"/>
    <x v="4"/>
    <x v="1"/>
    <d v="2022-07-15T00:00:00"/>
    <x v="2"/>
    <n v="7597"/>
    <x v="1118"/>
    <x v="86"/>
    <n v="65"/>
  </r>
  <r>
    <x v="1189"/>
    <s v="Student_1189"/>
    <x v="0"/>
    <x v="0"/>
    <d v="2023-07-26T00:00:00"/>
    <x v="1"/>
    <n v="9288"/>
    <x v="1119"/>
    <x v="162"/>
    <n v="55"/>
  </r>
  <r>
    <x v="1190"/>
    <s v="Student_1190"/>
    <x v="6"/>
    <x v="3"/>
    <d v="2024-04-15T00:00:00"/>
    <x v="0"/>
    <n v="3940"/>
    <x v="1120"/>
    <x v="141"/>
    <n v="12"/>
  </r>
  <r>
    <x v="1191"/>
    <s v="Student_1191"/>
    <x v="0"/>
    <x v="2"/>
    <d v="2023-01-23T00:00:00"/>
    <x v="0"/>
    <n v="10498"/>
    <x v="1121"/>
    <x v="166"/>
    <n v="94"/>
  </r>
  <r>
    <x v="1192"/>
    <s v="Student_1192"/>
    <x v="2"/>
    <x v="1"/>
    <d v="2024-01-18T00:00:00"/>
    <x v="1"/>
    <n v="9664"/>
    <x v="1122"/>
    <x v="191"/>
    <n v="52"/>
  </r>
  <r>
    <x v="1193"/>
    <s v="Student_1193"/>
    <x v="7"/>
    <x v="2"/>
    <d v="2023-06-12T00:00:00"/>
    <x v="1"/>
    <n v="13106"/>
    <x v="1123"/>
    <x v="106"/>
    <n v="61"/>
  </r>
  <r>
    <x v="1194"/>
    <s v="Student_1194"/>
    <x v="6"/>
    <x v="1"/>
    <d v="2023-02-11T00:00:00"/>
    <x v="1"/>
    <n v="9730"/>
    <x v="1124"/>
    <x v="168"/>
    <n v="73"/>
  </r>
  <r>
    <x v="1195"/>
    <s v="Student_1195"/>
    <x v="5"/>
    <x v="1"/>
    <d v="2023-10-12T00:00:00"/>
    <x v="0"/>
    <n v="8764"/>
    <x v="1125"/>
    <x v="196"/>
    <n v="100"/>
  </r>
  <r>
    <x v="1196"/>
    <s v="Student_1196"/>
    <x v="3"/>
    <x v="1"/>
    <d v="2023-11-30T00:00:00"/>
    <x v="2"/>
    <n v="11719"/>
    <x v="1126"/>
    <x v="6"/>
    <n v="60"/>
  </r>
  <r>
    <x v="1197"/>
    <s v="Student_1197"/>
    <x v="0"/>
    <x v="1"/>
    <d v="2022-09-12T00:00:00"/>
    <x v="0"/>
    <n v="14745"/>
    <x v="1127"/>
    <x v="111"/>
    <n v="106"/>
  </r>
  <r>
    <x v="1198"/>
    <s v="Student_1198"/>
    <x v="0"/>
    <x v="1"/>
    <d v="2023-09-08T00:00:00"/>
    <x v="0"/>
    <n v="9290"/>
    <x v="162"/>
    <x v="2"/>
    <n v="65"/>
  </r>
  <r>
    <x v="1199"/>
    <s v="Student_1199"/>
    <x v="3"/>
    <x v="3"/>
    <d v="2024-01-31T00:00:00"/>
    <x v="1"/>
    <n v="2623"/>
    <x v="1128"/>
    <x v="77"/>
    <n v="1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E4AF0-F531-43E4-88D8-D0E6F410F9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1" firstHeaderRow="1" firstDataRow="1" firstDataCol="1"/>
  <pivotFields count="10">
    <pivotField showAll="0"/>
    <pivotField showAll="0"/>
    <pivotField axis="axisRow" showAll="0">
      <items count="9">
        <item x="7"/>
        <item x="0"/>
        <item x="2"/>
        <item x="1"/>
        <item x="4"/>
        <item x="5"/>
        <item x="6"/>
        <item x="3"/>
        <item t="default"/>
      </items>
    </pivotField>
    <pivotField showAll="0"/>
    <pivotField numFmtId="14" showAll="0"/>
    <pivotField showAll="0"/>
    <pivotField showAll="0"/>
    <pivotField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GPA" fld="8" subtotal="average" baseField="2" baseItem="0"/>
  </dataFields>
  <formats count="1">
    <format dxfId="5">
      <pivotArea dataOnly="0" labelOnly="1" fieldPosition="0">
        <references count="1">
          <reference field="2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A490F-0E07-4612-BA1C-958653F338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0" firstHeaderRow="0" firstDataRow="1" firstDataCol="1"/>
  <pivotFields count="10">
    <pivotField dataField="1" showAll="0" countASubtotal="1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countA"/>
      </items>
    </pivotField>
    <pivotField showAll="0"/>
    <pivotField showAll="0">
      <items count="9">
        <item x="7"/>
        <item x="0"/>
        <item x="2"/>
        <item x="1"/>
        <item x="4"/>
        <item x="5"/>
        <item x="6"/>
        <item x="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numFmtId="1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>
      <items count="1130">
        <item x="456"/>
        <item x="824"/>
        <item x="876"/>
        <item x="691"/>
        <item x="354"/>
        <item x="649"/>
        <item x="623"/>
        <item x="612"/>
        <item x="580"/>
        <item x="701"/>
        <item x="752"/>
        <item x="633"/>
        <item x="682"/>
        <item x="848"/>
        <item x="954"/>
        <item x="1107"/>
        <item x="805"/>
        <item x="218"/>
        <item x="861"/>
        <item x="618"/>
        <item x="778"/>
        <item x="284"/>
        <item x="647"/>
        <item x="679"/>
        <item x="936"/>
        <item x="222"/>
        <item x="1085"/>
        <item x="473"/>
        <item x="719"/>
        <item x="266"/>
        <item x="923"/>
        <item x="1017"/>
        <item x="478"/>
        <item x="710"/>
        <item x="811"/>
        <item x="900"/>
        <item x="139"/>
        <item x="299"/>
        <item x="465"/>
        <item x="340"/>
        <item x="814"/>
        <item x="728"/>
        <item x="532"/>
        <item x="221"/>
        <item x="796"/>
        <item x="999"/>
        <item x="940"/>
        <item x="107"/>
        <item x="148"/>
        <item x="510"/>
        <item x="1113"/>
        <item x="1016"/>
        <item x="751"/>
        <item x="313"/>
        <item x="140"/>
        <item x="793"/>
        <item x="151"/>
        <item x="629"/>
        <item x="854"/>
        <item x="1039"/>
        <item x="161"/>
        <item x="892"/>
        <item x="1111"/>
        <item x="279"/>
        <item x="91"/>
        <item x="991"/>
        <item x="325"/>
        <item x="573"/>
        <item x="926"/>
        <item x="75"/>
        <item x="566"/>
        <item x="59"/>
        <item x="550"/>
        <item x="539"/>
        <item x="353"/>
        <item x="227"/>
        <item x="704"/>
        <item x="402"/>
        <item x="607"/>
        <item x="527"/>
        <item x="844"/>
        <item x="988"/>
        <item x="960"/>
        <item x="525"/>
        <item x="870"/>
        <item x="879"/>
        <item x="97"/>
        <item x="352"/>
        <item x="367"/>
        <item x="135"/>
        <item x="405"/>
        <item x="692"/>
        <item x="850"/>
        <item x="62"/>
        <item x="927"/>
        <item x="839"/>
        <item x="1021"/>
        <item x="309"/>
        <item x="26"/>
        <item x="102"/>
        <item x="212"/>
        <item x="756"/>
        <item x="985"/>
        <item x="982"/>
        <item x="657"/>
        <item x="35"/>
        <item x="873"/>
        <item x="137"/>
        <item x="1006"/>
        <item x="823"/>
        <item x="232"/>
        <item x="111"/>
        <item x="653"/>
        <item x="0"/>
        <item x="514"/>
        <item x="484"/>
        <item x="477"/>
        <item x="551"/>
        <item x="599"/>
        <item x="659"/>
        <item x="711"/>
        <item x="961"/>
        <item x="230"/>
        <item x="748"/>
        <item x="896"/>
        <item x="386"/>
        <item x="239"/>
        <item x="88"/>
        <item x="1047"/>
        <item x="1002"/>
        <item x="722"/>
        <item x="136"/>
        <item x="669"/>
        <item x="706"/>
        <item x="843"/>
        <item x="700"/>
        <item x="319"/>
        <item x="1069"/>
        <item x="65"/>
        <item x="795"/>
        <item x="628"/>
        <item x="1102"/>
        <item x="260"/>
        <item x="907"/>
        <item x="326"/>
        <item x="115"/>
        <item x="780"/>
        <item x="803"/>
        <item x="664"/>
        <item x="49"/>
        <item x="286"/>
        <item x="890"/>
        <item x="146"/>
        <item x="383"/>
        <item x="744"/>
        <item x="451"/>
        <item x="656"/>
        <item x="15"/>
        <item x="1043"/>
        <item x="807"/>
        <item x="1040"/>
        <item x="769"/>
        <item x="924"/>
        <item x="951"/>
        <item x="479"/>
        <item x="311"/>
        <item x="252"/>
        <item x="206"/>
        <item x="470"/>
        <item x="464"/>
        <item x="636"/>
        <item x="257"/>
        <item x="853"/>
        <item x="578"/>
        <item x="560"/>
        <item x="497"/>
        <item x="256"/>
        <item x="123"/>
        <item x="538"/>
        <item x="259"/>
        <item x="998"/>
        <item x="1078"/>
        <item x="827"/>
        <item x="82"/>
        <item x="323"/>
        <item x="1086"/>
        <item x="784"/>
        <item x="207"/>
        <item x="359"/>
        <item x="203"/>
        <item x="981"/>
        <item x="666"/>
        <item x="708"/>
        <item x="1094"/>
        <item x="1087"/>
        <item x="956"/>
        <item x="916"/>
        <item x="663"/>
        <item x="301"/>
        <item x="414"/>
        <item x="500"/>
        <item x="192"/>
        <item x="726"/>
        <item x="1052"/>
        <item x="613"/>
        <item x="254"/>
        <item x="172"/>
        <item x="1072"/>
        <item x="562"/>
        <item x="245"/>
        <item x="485"/>
        <item x="343"/>
        <item x="187"/>
        <item x="181"/>
        <item x="917"/>
        <item x="87"/>
        <item x="878"/>
        <item x="224"/>
        <item x="487"/>
        <item x="776"/>
        <item x="382"/>
        <item x="621"/>
        <item x="32"/>
        <item x="593"/>
        <item x="1024"/>
        <item x="736"/>
        <item x="596"/>
        <item x="12"/>
        <item x="794"/>
        <item x="51"/>
        <item x="546"/>
        <item x="577"/>
        <item x="335"/>
        <item x="17"/>
        <item x="375"/>
        <item x="120"/>
        <item x="162"/>
        <item x="396"/>
        <item x="943"/>
        <item x="190"/>
        <item x="264"/>
        <item x="1023"/>
        <item x="631"/>
        <item x="312"/>
        <item x="587"/>
        <item x="630"/>
        <item x="503"/>
        <item x="859"/>
        <item x="320"/>
        <item x="987"/>
        <item x="490"/>
        <item x="617"/>
        <item x="1083"/>
        <item x="898"/>
        <item x="243"/>
        <item x="380"/>
        <item x="278"/>
        <item x="1031"/>
        <item x="8"/>
        <item x="804"/>
        <item x="904"/>
        <item x="443"/>
        <item x="191"/>
        <item x="304"/>
        <item x="555"/>
        <item x="10"/>
        <item x="995"/>
        <item x="1096"/>
        <item x="572"/>
        <item x="1046"/>
        <item x="361"/>
        <item x="702"/>
        <item x="185"/>
        <item x="268"/>
        <item x="435"/>
        <item x="615"/>
        <item x="533"/>
        <item x="255"/>
        <item x="775"/>
        <item x="289"/>
        <item x="694"/>
        <item x="1004"/>
        <item x="906"/>
        <item x="955"/>
        <item x="604"/>
        <item x="819"/>
        <item x="1103"/>
        <item x="333"/>
        <item x="1067"/>
        <item x="108"/>
        <item x="922"/>
        <item x="444"/>
        <item x="526"/>
        <item x="754"/>
        <item x="428"/>
        <item x="725"/>
        <item x="765"/>
        <item x="1026"/>
        <item x="400"/>
        <item x="933"/>
        <item x="433"/>
        <item x="772"/>
        <item x="697"/>
        <item x="95"/>
        <item x="389"/>
        <item x="93"/>
        <item x="962"/>
        <item x="180"/>
        <item x="455"/>
        <item x="997"/>
        <item x="9"/>
        <item x="860"/>
        <item x="357"/>
        <item x="61"/>
        <item x="27"/>
        <item x="376"/>
        <item x="466"/>
        <item x="410"/>
        <item x="582"/>
        <item x="5"/>
        <item x="594"/>
        <item x="1063"/>
        <item x="837"/>
        <item x="741"/>
        <item x="420"/>
        <item x="189"/>
        <item x="759"/>
        <item x="502"/>
        <item x="130"/>
        <item x="460"/>
        <item x="889"/>
        <item x="978"/>
        <item x="627"/>
        <item x="858"/>
        <item x="517"/>
        <item x="1061"/>
        <item x="1117"/>
        <item x="544"/>
        <item x="153"/>
        <item x="641"/>
        <item x="106"/>
        <item x="732"/>
        <item x="774"/>
        <item x="156"/>
        <item x="717"/>
        <item x="355"/>
        <item x="6"/>
        <item x="531"/>
        <item x="458"/>
        <item x="1082"/>
        <item x="399"/>
        <item x="84"/>
        <item x="953"/>
        <item x="980"/>
        <item x="785"/>
        <item x="644"/>
        <item x="576"/>
        <item x="200"/>
        <item x="424"/>
        <item x="199"/>
        <item x="865"/>
        <item x="884"/>
        <item x="616"/>
        <item x="462"/>
        <item x="696"/>
        <item x="302"/>
        <item x="511"/>
        <item x="33"/>
        <item x="3"/>
        <item x="971"/>
        <item x="198"/>
        <item x="934"/>
        <item x="1028"/>
        <item x="740"/>
        <item x="150"/>
        <item x="395"/>
        <item x="194"/>
        <item x="342"/>
        <item x="821"/>
        <item x="868"/>
        <item x="71"/>
        <item x="1050"/>
        <item x="777"/>
        <item x="60"/>
        <item x="673"/>
        <item x="145"/>
        <item x="509"/>
        <item x="2"/>
        <item x="486"/>
        <item x="973"/>
        <item x="1064"/>
        <item x="505"/>
        <item x="932"/>
        <item x="440"/>
        <item x="449"/>
        <item x="322"/>
        <item x="976"/>
        <item x="822"/>
        <item x="508"/>
        <item x="70"/>
        <item x="316"/>
        <item x="1015"/>
        <item x="761"/>
        <item x="910"/>
        <item x="1075"/>
        <item x="339"/>
        <item x="331"/>
        <item x="407"/>
        <item x="886"/>
        <item x="567"/>
        <item x="620"/>
        <item x="1068"/>
        <item x="50"/>
        <item x="825"/>
        <item x="1095"/>
        <item x="179"/>
        <item x="494"/>
        <item x="204"/>
        <item x="86"/>
        <item x="291"/>
        <item x="143"/>
        <item x="737"/>
        <item x="338"/>
        <item x="314"/>
        <item x="986"/>
        <item x="446"/>
        <item x="652"/>
        <item x="518"/>
        <item x="729"/>
        <item x="773"/>
        <item x="90"/>
        <item x="160"/>
        <item x="800"/>
        <item x="238"/>
        <item x="799"/>
        <item x="1007"/>
        <item x="1058"/>
        <item x="184"/>
        <item x="605"/>
        <item x="545"/>
        <item x="1121"/>
        <item x="168"/>
        <item x="240"/>
        <item x="495"/>
        <item x="929"/>
        <item x="1112"/>
        <item x="165"/>
        <item x="909"/>
        <item x="305"/>
        <item x="261"/>
        <item x="672"/>
        <item x="152"/>
        <item x="1079"/>
        <item x="411"/>
        <item x="1049"/>
        <item x="124"/>
        <item x="992"/>
        <item x="869"/>
        <item x="178"/>
        <item x="746"/>
        <item x="205"/>
        <item x="902"/>
        <item x="959"/>
        <item x="654"/>
        <item x="670"/>
        <item x="392"/>
        <item x="283"/>
        <item x="193"/>
        <item x="521"/>
        <item x="94"/>
        <item x="662"/>
        <item x="1077"/>
        <item x="404"/>
        <item x="771"/>
        <item x="171"/>
        <item x="40"/>
        <item x="426"/>
        <item x="880"/>
        <item x="332"/>
        <item x="14"/>
        <item x="1090"/>
        <item x="280"/>
        <item x="1065"/>
        <item x="228"/>
        <item x="1060"/>
        <item x="475"/>
        <item x="767"/>
        <item x="324"/>
        <item x="369"/>
        <item x="4"/>
        <item x="642"/>
        <item x="427"/>
        <item x="738"/>
        <item x="632"/>
        <item x="89"/>
        <item x="718"/>
        <item x="434"/>
        <item x="39"/>
        <item x="72"/>
        <item x="925"/>
        <item x="941"/>
        <item x="53"/>
        <item x="96"/>
        <item x="121"/>
        <item x="591"/>
        <item x="768"/>
        <item x="758"/>
        <item x="1110"/>
        <item x="231"/>
        <item x="1057"/>
        <item x="851"/>
        <item x="520"/>
        <item x="298"/>
        <item x="103"/>
        <item x="270"/>
        <item x="36"/>
        <item x="175"/>
        <item x="552"/>
        <item x="553"/>
        <item x="676"/>
        <item x="390"/>
        <item x="57"/>
        <item x="1091"/>
        <item x="543"/>
        <item x="608"/>
        <item x="419"/>
        <item x="276"/>
        <item x="214"/>
        <item x="421"/>
        <item x="742"/>
        <item x="412"/>
        <item x="903"/>
        <item x="950"/>
        <item x="930"/>
        <item x="1120"/>
        <item x="1"/>
        <item x="749"/>
        <item x="417"/>
        <item x="248"/>
        <item x="1074"/>
        <item x="667"/>
        <item x="109"/>
        <item x="1041"/>
        <item x="602"/>
        <item x="1105"/>
        <item x="1009"/>
        <item x="282"/>
        <item x="294"/>
        <item x="1124"/>
        <item x="237"/>
        <item x="281"/>
        <item x="715"/>
        <item x="714"/>
        <item x="1053"/>
        <item x="459"/>
        <item x="730"/>
        <item x="542"/>
        <item x="540"/>
        <item x="488"/>
        <item x="418"/>
        <item x="262"/>
        <item x="665"/>
        <item x="20"/>
        <item x="589"/>
        <item x="307"/>
        <item x="142"/>
        <item x="724"/>
        <item x="431"/>
        <item x="881"/>
        <item x="516"/>
        <item x="372"/>
        <item x="688"/>
        <item x="125"/>
        <item x="133"/>
        <item x="686"/>
        <item x="76"/>
        <item x="584"/>
        <item x="812"/>
        <item x="958"/>
        <item x="651"/>
        <item x="789"/>
        <item x="723"/>
        <item x="716"/>
        <item x="893"/>
        <item x="734"/>
        <item x="606"/>
        <item x="127"/>
        <item x="763"/>
        <item x="841"/>
        <item x="1127"/>
        <item x="437"/>
        <item x="586"/>
        <item x="211"/>
        <item x="438"/>
        <item x="557"/>
        <item x="226"/>
        <item x="905"/>
        <item x="512"/>
        <item x="68"/>
        <item x="797"/>
        <item x="513"/>
        <item x="1062"/>
        <item x="536"/>
        <item x="472"/>
        <item x="1099"/>
        <item x="972"/>
        <item x="855"/>
        <item x="646"/>
        <item x="1128"/>
        <item x="318"/>
        <item x="11"/>
        <item x="317"/>
        <item x="397"/>
        <item x="874"/>
        <item x="634"/>
        <item x="38"/>
        <item x="48"/>
        <item x="561"/>
        <item x="177"/>
        <item x="100"/>
        <item x="750"/>
        <item x="817"/>
        <item x="223"/>
        <item x="786"/>
        <item x="296"/>
        <item x="315"/>
        <item x="197"/>
        <item x="678"/>
        <item x="73"/>
        <item x="595"/>
        <item x="970"/>
        <item x="370"/>
        <item x="643"/>
        <item x="481"/>
        <item x="141"/>
        <item x="327"/>
        <item x="321"/>
        <item x="98"/>
        <item x="112"/>
        <item x="169"/>
        <item x="373"/>
        <item x="236"/>
        <item x="154"/>
        <item x="182"/>
        <item x="349"/>
        <item x="558"/>
        <item x="808"/>
        <item x="913"/>
        <item x="1012"/>
        <item x="334"/>
        <item x="167"/>
        <item x="747"/>
        <item x="30"/>
        <item x="640"/>
        <item x="101"/>
        <item x="209"/>
        <item x="447"/>
        <item x="337"/>
        <item x="499"/>
        <item x="690"/>
        <item x="638"/>
        <item x="990"/>
        <item x="782"/>
        <item x="699"/>
        <item x="448"/>
        <item x="601"/>
        <item x="46"/>
        <item x="635"/>
        <item x="233"/>
        <item x="126"/>
        <item x="866"/>
        <item x="44"/>
        <item x="813"/>
        <item x="683"/>
        <item x="1114"/>
        <item x="993"/>
        <item x="559"/>
        <item x="439"/>
        <item x="195"/>
        <item x="493"/>
        <item x="1122"/>
        <item x="28"/>
        <item x="341"/>
        <item x="1018"/>
        <item x="790"/>
        <item x="828"/>
        <item x="468"/>
        <item x="705"/>
        <item x="809"/>
        <item x="295"/>
        <item x="22"/>
        <item x="7"/>
        <item x="66"/>
        <item x="994"/>
        <item x="1014"/>
        <item x="571"/>
        <item x="387"/>
        <item x="914"/>
        <item x="671"/>
        <item x="897"/>
        <item x="845"/>
        <item x="166"/>
        <item x="246"/>
        <item x="826"/>
        <item x="1097"/>
        <item x="569"/>
        <item x="306"/>
        <item x="1011"/>
        <item x="650"/>
        <item x="852"/>
        <item x="1070"/>
        <item x="476"/>
        <item x="787"/>
        <item x="832"/>
        <item x="480"/>
        <item x="269"/>
        <item x="764"/>
        <item x="875"/>
        <item x="391"/>
        <item x="570"/>
        <item x="685"/>
        <item x="660"/>
        <item x="1089"/>
        <item x="872"/>
        <item x="1101"/>
        <item x="356"/>
        <item x="1034"/>
        <item x="967"/>
        <item x="1056"/>
        <item x="398"/>
        <item x="583"/>
        <item x="901"/>
        <item x="547"/>
        <item x="450"/>
        <item x="454"/>
        <item x="1080"/>
        <item x="624"/>
        <item x="292"/>
        <item x="501"/>
        <item x="265"/>
        <item x="116"/>
        <item x="362"/>
        <item x="894"/>
        <item x="344"/>
        <item x="1045"/>
        <item x="384"/>
        <item x="293"/>
        <item x="220"/>
        <item x="217"/>
        <item x="919"/>
        <item x="1123"/>
        <item x="118"/>
        <item x="862"/>
        <item x="1020"/>
        <item x="504"/>
        <item x="25"/>
        <item x="721"/>
        <item x="471"/>
        <item x="1088"/>
        <item x="263"/>
        <item x="935"/>
        <item x="983"/>
        <item x="590"/>
        <item x="535"/>
        <item x="515"/>
        <item x="1003"/>
        <item x="563"/>
        <item x="755"/>
        <item x="792"/>
        <item x="529"/>
        <item x="247"/>
        <item x="1027"/>
        <item x="474"/>
        <item x="674"/>
        <item x="429"/>
        <item x="1084"/>
        <item x="1116"/>
        <item x="779"/>
        <item x="83"/>
        <item x="1125"/>
        <item x="637"/>
        <item x="882"/>
        <item x="416"/>
        <item x="645"/>
        <item x="498"/>
        <item x="131"/>
        <item x="374"/>
        <item x="648"/>
        <item x="170"/>
        <item x="658"/>
        <item x="183"/>
        <item x="791"/>
        <item x="938"/>
        <item x="285"/>
        <item x="147"/>
        <item x="277"/>
        <item x="888"/>
        <item x="703"/>
        <item x="1054"/>
        <item x="840"/>
        <item x="899"/>
        <item x="360"/>
        <item x="52"/>
        <item x="388"/>
        <item x="798"/>
        <item x="762"/>
        <item x="528"/>
        <item x="67"/>
        <item x="1025"/>
        <item x="208"/>
        <item x="677"/>
        <item x="974"/>
        <item x="1035"/>
        <item x="871"/>
        <item x="1001"/>
        <item x="947"/>
        <item x="712"/>
        <item x="1044"/>
        <item x="23"/>
        <item x="406"/>
        <item x="911"/>
        <item x="867"/>
        <item x="965"/>
        <item x="210"/>
        <item x="846"/>
        <item x="251"/>
        <item x="244"/>
        <item x="1106"/>
        <item x="969"/>
        <item x="381"/>
        <item x="592"/>
        <item x="47"/>
        <item x="34"/>
        <item x="24"/>
        <item x="829"/>
        <item x="385"/>
        <item x="770"/>
        <item x="766"/>
        <item x="802"/>
        <item x="849"/>
        <item x="603"/>
        <item x="365"/>
        <item x="138"/>
        <item x="684"/>
        <item x="1013"/>
        <item x="946"/>
        <item x="482"/>
        <item x="1104"/>
        <item x="524"/>
        <item x="891"/>
        <item x="883"/>
        <item x="680"/>
        <item x="64"/>
        <item x="964"/>
        <item x="347"/>
        <item x="830"/>
        <item x="378"/>
        <item x="425"/>
        <item x="574"/>
        <item x="810"/>
        <item x="104"/>
        <item x="831"/>
        <item x="588"/>
        <item x="74"/>
        <item x="300"/>
        <item x="735"/>
        <item x="731"/>
        <item x="452"/>
        <item x="614"/>
        <item x="597"/>
        <item x="1076"/>
        <item x="1029"/>
        <item x="835"/>
        <item x="13"/>
        <item x="249"/>
        <item x="743"/>
        <item x="113"/>
        <item x="366"/>
        <item x="863"/>
        <item x="253"/>
        <item x="430"/>
        <item x="155"/>
        <item x="1108"/>
        <item x="507"/>
        <item x="492"/>
        <item x="625"/>
        <item x="31"/>
        <item x="128"/>
        <item x="856"/>
        <item x="303"/>
        <item x="1115"/>
        <item x="836"/>
        <item x="1073"/>
        <item x="371"/>
        <item x="272"/>
        <item x="445"/>
        <item x="668"/>
        <item x="915"/>
        <item x="45"/>
        <item x="713"/>
        <item x="564"/>
        <item x="554"/>
        <item x="202"/>
        <item x="394"/>
        <item x="483"/>
        <item x="235"/>
        <item x="1033"/>
        <item x="661"/>
        <item x="945"/>
        <item x="290"/>
        <item x="541"/>
        <item x="215"/>
        <item x="42"/>
        <item x="229"/>
        <item x="977"/>
        <item x="328"/>
        <item x="885"/>
        <item x="565"/>
        <item x="895"/>
        <item x="834"/>
        <item x="984"/>
        <item x="1042"/>
        <item x="1109"/>
        <item x="122"/>
        <item x="368"/>
        <item x="575"/>
        <item x="99"/>
        <item x="847"/>
        <item x="491"/>
        <item x="908"/>
        <item x="157"/>
        <item x="350"/>
        <item x="548"/>
        <item x="1119"/>
        <item x="393"/>
        <item x="996"/>
        <item x="401"/>
        <item x="173"/>
        <item x="364"/>
        <item x="968"/>
        <item x="114"/>
        <item x="842"/>
        <item x="727"/>
        <item x="329"/>
        <item x="110"/>
        <item x="159"/>
        <item x="275"/>
        <item x="681"/>
        <item x="1048"/>
        <item x="942"/>
        <item x="1100"/>
        <item x="739"/>
        <item x="43"/>
        <item x="783"/>
        <item x="1030"/>
        <item x="877"/>
        <item x="1081"/>
        <item x="963"/>
        <item x="219"/>
        <item x="436"/>
        <item x="698"/>
        <item x="1055"/>
        <item x="442"/>
        <item x="921"/>
        <item x="689"/>
        <item x="1038"/>
        <item x="1032"/>
        <item x="530"/>
        <item x="377"/>
        <item x="16"/>
        <item x="585"/>
        <item x="1036"/>
        <item x="267"/>
        <item x="467"/>
        <item x="80"/>
        <item x="117"/>
        <item x="815"/>
        <item x="675"/>
        <item x="1019"/>
        <item x="948"/>
        <item x="132"/>
        <item x="463"/>
        <item x="1005"/>
        <item x="149"/>
        <item x="119"/>
        <item x="610"/>
        <item x="216"/>
        <item x="403"/>
        <item x="358"/>
        <item x="1126"/>
        <item x="273"/>
        <item x="63"/>
        <item x="757"/>
        <item x="506"/>
        <item x="469"/>
        <item x="1010"/>
        <item x="745"/>
        <item x="609"/>
        <item x="158"/>
        <item x="163"/>
        <item x="549"/>
        <item x="944"/>
        <item x="201"/>
        <item x="489"/>
        <item x="760"/>
        <item x="1098"/>
        <item x="928"/>
        <item x="134"/>
        <item x="600"/>
        <item x="568"/>
        <item x="1022"/>
        <item x="330"/>
        <item x="920"/>
        <item x="709"/>
        <item x="310"/>
        <item x="55"/>
        <item x="788"/>
        <item x="816"/>
        <item x="54"/>
        <item x="534"/>
        <item x="801"/>
        <item x="1066"/>
        <item x="432"/>
        <item x="695"/>
        <item x="213"/>
        <item x="188"/>
        <item x="234"/>
        <item x="413"/>
        <item x="820"/>
        <item x="1071"/>
        <item x="144"/>
        <item x="522"/>
        <item x="622"/>
        <item x="37"/>
        <item x="415"/>
        <item x="92"/>
        <item x="733"/>
        <item x="781"/>
        <item x="69"/>
        <item x="952"/>
        <item x="639"/>
        <item x="523"/>
        <item x="720"/>
        <item x="78"/>
        <item x="556"/>
        <item x="806"/>
        <item x="864"/>
        <item x="351"/>
        <item x="453"/>
        <item x="242"/>
        <item x="77"/>
        <item x="174"/>
        <item x="579"/>
        <item x="975"/>
        <item x="21"/>
        <item x="1037"/>
        <item x="297"/>
        <item x="626"/>
        <item x="598"/>
        <item x="241"/>
        <item x="164"/>
        <item x="655"/>
        <item x="288"/>
        <item x="271"/>
        <item x="408"/>
        <item x="308"/>
        <item x="1092"/>
        <item x="707"/>
        <item x="833"/>
        <item x="611"/>
        <item x="693"/>
        <item x="186"/>
        <item x="58"/>
        <item x="225"/>
        <item x="519"/>
        <item x="949"/>
        <item x="258"/>
        <item x="336"/>
        <item x="345"/>
        <item x="346"/>
        <item x="1118"/>
        <item x="176"/>
        <item x="41"/>
        <item x="250"/>
        <item x="931"/>
        <item x="939"/>
        <item x="838"/>
        <item x="581"/>
        <item x="274"/>
        <item x="857"/>
        <item x="423"/>
        <item x="287"/>
        <item x="196"/>
        <item x="687"/>
        <item x="1051"/>
        <item x="966"/>
        <item x="105"/>
        <item x="989"/>
        <item x="461"/>
        <item x="537"/>
        <item x="912"/>
        <item x="1008"/>
        <item x="409"/>
        <item x="957"/>
        <item x="29"/>
        <item x="979"/>
        <item x="363"/>
        <item x="18"/>
        <item x="753"/>
        <item x="887"/>
        <item x="1093"/>
        <item x="496"/>
        <item x="457"/>
        <item x="1000"/>
        <item x="619"/>
        <item x="379"/>
        <item x="937"/>
        <item x="1059"/>
        <item x="348"/>
        <item x="85"/>
        <item x="56"/>
        <item x="441"/>
        <item x="918"/>
        <item x="818"/>
        <item x="81"/>
        <item x="129"/>
        <item x="19"/>
        <item x="79"/>
        <item x="422"/>
        <item t="default"/>
      </items>
    </pivotField>
    <pivotField dataField="1" showAll="0" avgSubtotal="1">
      <items count="202">
        <item x="50"/>
        <item x="178"/>
        <item x="9"/>
        <item x="125"/>
        <item x="128"/>
        <item x="172"/>
        <item x="69"/>
        <item x="98"/>
        <item x="16"/>
        <item x="177"/>
        <item x="116"/>
        <item x="139"/>
        <item x="21"/>
        <item x="35"/>
        <item x="77"/>
        <item x="135"/>
        <item x="173"/>
        <item x="100"/>
        <item x="137"/>
        <item x="188"/>
        <item x="70"/>
        <item x="122"/>
        <item x="115"/>
        <item x="52"/>
        <item x="87"/>
        <item x="174"/>
        <item x="145"/>
        <item x="65"/>
        <item x="29"/>
        <item x="27"/>
        <item x="111"/>
        <item x="38"/>
        <item x="101"/>
        <item x="190"/>
        <item x="44"/>
        <item x="104"/>
        <item x="22"/>
        <item x="90"/>
        <item x="62"/>
        <item x="0"/>
        <item x="66"/>
        <item x="149"/>
        <item x="48"/>
        <item x="47"/>
        <item x="133"/>
        <item x="6"/>
        <item x="113"/>
        <item x="181"/>
        <item x="19"/>
        <item x="194"/>
        <item x="195"/>
        <item x="119"/>
        <item x="193"/>
        <item x="106"/>
        <item x="99"/>
        <item x="197"/>
        <item x="185"/>
        <item x="23"/>
        <item x="124"/>
        <item x="136"/>
        <item x="142"/>
        <item x="10"/>
        <item x="83"/>
        <item x="165"/>
        <item x="64"/>
        <item x="34"/>
        <item x="112"/>
        <item x="53"/>
        <item x="49"/>
        <item x="179"/>
        <item x="163"/>
        <item x="79"/>
        <item x="71"/>
        <item x="118"/>
        <item x="169"/>
        <item x="33"/>
        <item x="32"/>
        <item x="154"/>
        <item x="30"/>
        <item x="59"/>
        <item x="191"/>
        <item x="105"/>
        <item x="31"/>
        <item x="120"/>
        <item x="130"/>
        <item x="78"/>
        <item x="20"/>
        <item x="82"/>
        <item x="131"/>
        <item x="126"/>
        <item x="134"/>
        <item x="41"/>
        <item x="67"/>
        <item x="144"/>
        <item x="91"/>
        <item x="117"/>
        <item x="200"/>
        <item x="96"/>
        <item x="146"/>
        <item x="103"/>
        <item x="123"/>
        <item x="102"/>
        <item x="12"/>
        <item x="199"/>
        <item x="158"/>
        <item x="170"/>
        <item x="138"/>
        <item x="97"/>
        <item x="2"/>
        <item x="28"/>
        <item x="43"/>
        <item x="189"/>
        <item x="132"/>
        <item x="168"/>
        <item x="140"/>
        <item x="24"/>
        <item x="11"/>
        <item x="37"/>
        <item x="148"/>
        <item x="153"/>
        <item x="8"/>
        <item x="89"/>
        <item x="26"/>
        <item x="109"/>
        <item x="88"/>
        <item x="68"/>
        <item x="155"/>
        <item x="157"/>
        <item x="160"/>
        <item x="110"/>
        <item x="114"/>
        <item x="4"/>
        <item x="198"/>
        <item x="39"/>
        <item x="61"/>
        <item x="57"/>
        <item x="127"/>
        <item x="60"/>
        <item x="13"/>
        <item x="5"/>
        <item x="14"/>
        <item x="7"/>
        <item x="141"/>
        <item x="73"/>
        <item x="75"/>
        <item x="175"/>
        <item x="171"/>
        <item x="15"/>
        <item x="74"/>
        <item x="1"/>
        <item x="85"/>
        <item x="152"/>
        <item x="108"/>
        <item x="51"/>
        <item x="18"/>
        <item x="176"/>
        <item x="17"/>
        <item x="55"/>
        <item x="76"/>
        <item x="3"/>
        <item x="92"/>
        <item x="42"/>
        <item x="80"/>
        <item x="72"/>
        <item x="56"/>
        <item x="162"/>
        <item x="63"/>
        <item x="84"/>
        <item x="161"/>
        <item x="129"/>
        <item x="143"/>
        <item x="182"/>
        <item x="196"/>
        <item x="187"/>
        <item x="159"/>
        <item x="107"/>
        <item x="166"/>
        <item x="81"/>
        <item x="45"/>
        <item x="94"/>
        <item x="36"/>
        <item x="184"/>
        <item x="164"/>
        <item x="25"/>
        <item x="95"/>
        <item x="40"/>
        <item x="121"/>
        <item x="192"/>
        <item x="46"/>
        <item x="58"/>
        <item x="86"/>
        <item x="183"/>
        <item x="151"/>
        <item x="54"/>
        <item x="180"/>
        <item x="150"/>
        <item x="147"/>
        <item x="93"/>
        <item x="156"/>
        <item x="167"/>
        <item x="186"/>
        <item t="avg"/>
      </items>
    </pivotField>
    <pivotField showAll="0"/>
  </pivotFields>
  <rowFields count="2">
    <field x="3"/>
    <field x="5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tudent ID" fld="0" subtotal="count" baseField="0" baseItem="0"/>
    <dataField name="Average of GPA" fld="8" subtotal="average" baseField="3" baseItem="0"/>
    <dataField name="Sum of Scholarship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FD699-6121-4073-A805-4FA25FC47DC1}" name="Table13" displayName="Table13" ref="L1:M5" totalsRowShown="0">
  <autoFilter ref="L1:M5" xr:uid="{36AFD699-6121-4073-A805-4FA25FC47DC1}"/>
  <tableColumns count="2">
    <tableColumn id="1" xr3:uid="{7DDEC65C-8A75-4AD5-A890-60C6E6E46532}" name="Faculty "/>
    <tableColumn id="2" xr3:uid="{ADCCA970-5931-4754-ACE4-5A5B5CC9631C}" name="Head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86FB07-8A9D-4FE0-8C5E-ADD9DD1EDF8B}" name="Table3" displayName="Table3" ref="AC2:AD3" totalsRowShown="0">
  <autoFilter ref="AC2:AD3" xr:uid="{5C86FB07-8A9D-4FE0-8C5E-ADD9DD1EDF8B}"/>
  <tableColumns count="2">
    <tableColumn id="1" xr3:uid="{A5DB3C06-16E5-427F-B227-53B8162120AA}" name="ID"/>
    <tableColumn id="2" xr3:uid="{8C1C1A75-29A7-49A4-B892-7442424DE59B}" name="GPA">
      <calculatedColumnFormula>INDEX(I2:I1201,MATCH(Table3[[#This Row],[ID]],A2:A1201,0))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59709E-78BD-473D-9E29-984437B39F65}" name="Table4" displayName="Table4" ref="AF2:AG3" totalsRowShown="0">
  <autoFilter ref="AF2:AG3" xr:uid="{5A59709E-78BD-473D-9E29-984437B39F65}"/>
  <tableColumns count="2">
    <tableColumn id="1" xr3:uid="{7EAE1366-0851-4BD7-8054-51811D9B820A}" name="ID"/>
    <tableColumn id="2" xr3:uid="{003B98BB-97C5-452C-857E-99FA44C15FF5}" name="Course fee">
      <calculatedColumnFormula>INDEX(G2:G1201,MATCH(Table4[[#This Row],[ID]],A2:A1201,0))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8537F3-E3F9-4E3C-9281-2F7557C7CAB8}" name="Table5" displayName="Table5" ref="AI2:AK3" totalsRowShown="0">
  <autoFilter ref="AI2:AK3" xr:uid="{708537F3-E3F9-4E3C-9281-2F7557C7CAB8}"/>
  <tableColumns count="3">
    <tableColumn id="1" xr3:uid="{528CAF76-00B2-47A0-8CF2-2771B9676611}" name="ID"/>
    <tableColumn id="2" xr3:uid="{777627B2-45C4-4534-A06E-57B060CC51FB}" name="COURSE NAME">
      <calculatedColumnFormula>INDEX(C2:C1201,MATCH(Table5[[#This Row],[ID]],A2:A1201,0))</calculatedColumnFormula>
    </tableColumn>
    <tableColumn id="3" xr3:uid="{981BD891-3F16-4BCA-A230-07905258BD5B}" name="HIGHEST GPA">
      <calculatedColumnFormula>_xlfn.MAXIFS(I2:I1201,C2:C1201,Table5[[#This Row],[COURSE NAME]])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BDF0F6-7B43-47EC-ABE1-F255F36C2351}" name="Table1" displayName="Table1" ref="A1:B5" totalsRowShown="0">
  <autoFilter ref="A1:B5" xr:uid="{2BBDF0F6-7B43-47EC-ABE1-F255F36C2351}"/>
  <tableColumns count="2">
    <tableColumn id="1" xr3:uid="{EF0799AA-6E2E-4DF3-805B-19DC7673D42D}" name="Faculty "/>
    <tableColumn id="2" xr3:uid="{44CCC0AE-D624-4FE6-A14F-FE713523D285}" name="Head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F5B4-0B89-43A5-AAB4-C397E8C25F74}">
  <dimension ref="A1:AK1201"/>
  <sheetViews>
    <sheetView tabSelected="1" topLeftCell="D1" workbookViewId="0">
      <selection activeCell="AB7" sqref="AB7"/>
    </sheetView>
  </sheetViews>
  <sheetFormatPr defaultRowHeight="14.4" x14ac:dyDescent="0.3"/>
  <cols>
    <col min="1" max="1" width="9.44140625" bestFit="1" customWidth="1"/>
    <col min="2" max="2" width="12.5546875" bestFit="1" customWidth="1"/>
    <col min="3" max="3" width="20.33203125" bestFit="1" customWidth="1"/>
    <col min="4" max="4" width="10.33203125" bestFit="1" customWidth="1"/>
    <col min="5" max="5" width="14.33203125" bestFit="1" customWidth="1"/>
    <col min="6" max="6" width="9.88671875" bestFit="1" customWidth="1"/>
    <col min="7" max="7" width="10" bestFit="1" customWidth="1"/>
    <col min="8" max="8" width="10.21875" bestFit="1" customWidth="1"/>
    <col min="9" max="9" width="5" bestFit="1" customWidth="1"/>
    <col min="10" max="10" width="12.77734375" bestFit="1" customWidth="1"/>
    <col min="11" max="13" width="12.77734375" customWidth="1"/>
    <col min="18" max="18" width="9.6640625" bestFit="1" customWidth="1"/>
    <col min="22" max="22" width="10" bestFit="1" customWidth="1"/>
    <col min="25" max="25" width="16.44140625" bestFit="1" customWidth="1"/>
    <col min="26" max="26" width="23.44140625" customWidth="1"/>
    <col min="33" max="33" width="11.77734375" customWidth="1"/>
    <col min="35" max="35" width="11.109375" customWidth="1"/>
    <col min="36" max="36" width="15.5546875" customWidth="1"/>
    <col min="37" max="37" width="14.10937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2425</v>
      </c>
      <c r="M1" t="s">
        <v>2426</v>
      </c>
      <c r="O1" s="5" t="s">
        <v>2434</v>
      </c>
      <c r="P1">
        <v>1</v>
      </c>
      <c r="Q1">
        <v>2</v>
      </c>
      <c r="R1">
        <v>3</v>
      </c>
      <c r="S1">
        <v>4</v>
      </c>
      <c r="T1">
        <v>5</v>
      </c>
      <c r="U1">
        <v>6</v>
      </c>
      <c r="V1">
        <v>7</v>
      </c>
      <c r="W1">
        <v>8</v>
      </c>
      <c r="X1">
        <v>9</v>
      </c>
      <c r="Y1">
        <v>10</v>
      </c>
      <c r="Z1">
        <v>11</v>
      </c>
      <c r="AA1">
        <v>12</v>
      </c>
      <c r="AB1">
        <v>13</v>
      </c>
      <c r="AE1">
        <v>14</v>
      </c>
      <c r="AH1">
        <v>15</v>
      </c>
    </row>
    <row r="2" spans="1:37" x14ac:dyDescent="0.3">
      <c r="A2" t="s">
        <v>10</v>
      </c>
      <c r="B2" t="s">
        <v>11</v>
      </c>
      <c r="C2" t="s">
        <v>12</v>
      </c>
      <c r="D2" t="s">
        <v>13</v>
      </c>
      <c r="E2" s="1">
        <v>45013</v>
      </c>
      <c r="F2" t="s">
        <v>14</v>
      </c>
      <c r="G2">
        <v>14714</v>
      </c>
      <c r="H2">
        <v>1099</v>
      </c>
      <c r="I2">
        <v>2.39</v>
      </c>
      <c r="J2">
        <v>89</v>
      </c>
      <c r="L2" t="s">
        <v>13</v>
      </c>
      <c r="M2" t="s">
        <v>2427</v>
      </c>
      <c r="P2">
        <f ca="1">IF(F2="Enrolled",TODAY()-E2, " ")</f>
        <v>839</v>
      </c>
      <c r="Q2" t="str" cm="1">
        <f t="array" ref="Q2">_xlfn.IFS(I2&gt;=3.5,"Excellent", I2&gt;3,"Good",I2&gt;2,"Average",I2&lt;2,"Poor")</f>
        <v>Average</v>
      </c>
      <c r="R2" t="str">
        <f>VLOOKUP(D2,Table1[],2,FALSE)</f>
        <v xml:space="preserve"> Dr. Mehta</v>
      </c>
      <c r="S2" t="str">
        <f>IF(H2&gt;0.5*G9,TRUE, " " )</f>
        <v xml:space="preserve"> </v>
      </c>
      <c r="T2">
        <f>SUMIFS(G2:G1201,F2:F1201,"Completed",D2:D1201,"Science")</f>
        <v>813573</v>
      </c>
      <c r="U2">
        <f t="shared" ref="U2:U10" si="0">YEAR(E2)</f>
        <v>2023</v>
      </c>
      <c r="V2" t="s">
        <v>2435</v>
      </c>
      <c r="W2">
        <f>COUNTIFS(F2:F1201,"Completed",J2:J1201,"&gt;100")</f>
        <v>56</v>
      </c>
      <c r="X2">
        <f>LARGE(I2:I1201,2)</f>
        <v>4</v>
      </c>
      <c r="Y2" t="s">
        <v>2441</v>
      </c>
      <c r="Z2" t="s">
        <v>2444</v>
      </c>
      <c r="AA2" t="str">
        <f ca="1">IF(F2="Completed",TODAY()-E2,"")</f>
        <v/>
      </c>
      <c r="AC2" t="s">
        <v>2445</v>
      </c>
      <c r="AD2" t="s">
        <v>8</v>
      </c>
      <c r="AF2" t="s">
        <v>2445</v>
      </c>
      <c r="AG2" t="s">
        <v>2446</v>
      </c>
      <c r="AI2" t="s">
        <v>2445</v>
      </c>
      <c r="AJ2" t="s">
        <v>2447</v>
      </c>
      <c r="AK2" t="s">
        <v>2448</v>
      </c>
    </row>
    <row r="3" spans="1:37" x14ac:dyDescent="0.3">
      <c r="A3" t="s">
        <v>15</v>
      </c>
      <c r="B3" t="s">
        <v>16</v>
      </c>
      <c r="C3" t="s">
        <v>17</v>
      </c>
      <c r="D3" t="s">
        <v>18</v>
      </c>
      <c r="E3" s="1">
        <v>44855</v>
      </c>
      <c r="F3" t="s">
        <v>19</v>
      </c>
      <c r="G3">
        <v>5718</v>
      </c>
      <c r="H3">
        <v>4700</v>
      </c>
      <c r="I3">
        <v>3.49</v>
      </c>
      <c r="J3">
        <v>79</v>
      </c>
      <c r="L3" t="s">
        <v>2428</v>
      </c>
      <c r="M3" t="s">
        <v>2429</v>
      </c>
      <c r="P3" t="str">
        <f ca="1">IF(F3="Enrolled",TODAY()-E3, " ")</f>
        <v xml:space="preserve"> </v>
      </c>
      <c r="Q3" t="str" cm="1">
        <f t="array" ref="Q3">_xlfn.IFS(I3&gt;=3.5,"Excellent", I3&gt;3,"Good",I3&gt;2,"Average",I3&lt;2,"Poor")</f>
        <v>Good</v>
      </c>
      <c r="S3" t="b">
        <f>IF(H3&gt;0.5*G10,TRUE, " " )</f>
        <v>1</v>
      </c>
      <c r="U3">
        <f t="shared" si="0"/>
        <v>2022</v>
      </c>
      <c r="AA3">
        <f t="shared" ref="AA3:AA66" ca="1" si="1">IF(F3="Completed",TODAY()-E3,"")</f>
        <v>997</v>
      </c>
      <c r="AC3" t="s">
        <v>15</v>
      </c>
      <c r="AD3">
        <f>INDEX(I2:I1201,MATCH(Table3[[#This Row],[ID]],A2:A1201,0))</f>
        <v>3.49</v>
      </c>
      <c r="AF3" t="s">
        <v>15</v>
      </c>
      <c r="AG3">
        <f>INDEX(G2:G1201,MATCH(Table4[[#This Row],[ID]],A2:A1201,0))</f>
        <v>5718</v>
      </c>
      <c r="AI3" t="s">
        <v>15</v>
      </c>
      <c r="AJ3" t="str">
        <f>INDEX(C2:C1201,MATCH(Table5[[#This Row],[ID]],A2:A1201,0))</f>
        <v>Data Science</v>
      </c>
      <c r="AK3">
        <f>_xlfn.MAXIFS(I2:I1201,C2:C1201,Table5[[#This Row],[COURSE NAME]])</f>
        <v>4</v>
      </c>
    </row>
    <row r="4" spans="1:37" x14ac:dyDescent="0.3">
      <c r="A4" t="s">
        <v>20</v>
      </c>
      <c r="B4" t="s">
        <v>21</v>
      </c>
      <c r="C4" t="s">
        <v>22</v>
      </c>
      <c r="D4" t="s">
        <v>13</v>
      </c>
      <c r="E4" s="1">
        <v>45180</v>
      </c>
      <c r="F4" t="s">
        <v>14</v>
      </c>
      <c r="G4">
        <v>5726</v>
      </c>
      <c r="H4">
        <v>3408</v>
      </c>
      <c r="I4">
        <v>3.08</v>
      </c>
      <c r="J4">
        <v>84</v>
      </c>
      <c r="L4" t="s">
        <v>2430</v>
      </c>
      <c r="M4" t="s">
        <v>2431</v>
      </c>
      <c r="P4">
        <f ca="1">IF(F4="Enrolled",TODAY()-E4, " ")</f>
        <v>672</v>
      </c>
      <c r="Q4" t="str" cm="1">
        <f t="array" ref="Q4">_xlfn.IFS(I4&gt;=3.5,"Excellent", I4&gt;3,"Good",I4&gt;2,"Average",I4&lt;2,"Poor")</f>
        <v>Good</v>
      </c>
      <c r="S4" t="b">
        <f>IF(H4&gt;0.5*G11,TRUE, " " )</f>
        <v>1</v>
      </c>
      <c r="U4">
        <f t="shared" si="0"/>
        <v>2023</v>
      </c>
      <c r="AA4" t="str">
        <f t="shared" ca="1" si="1"/>
        <v/>
      </c>
    </row>
    <row r="5" spans="1:37" x14ac:dyDescent="0.3">
      <c r="A5" t="s">
        <v>23</v>
      </c>
      <c r="B5" t="s">
        <v>24</v>
      </c>
      <c r="C5" t="s">
        <v>25</v>
      </c>
      <c r="D5" t="s">
        <v>18</v>
      </c>
      <c r="E5" s="1">
        <v>45253</v>
      </c>
      <c r="F5" t="s">
        <v>19</v>
      </c>
      <c r="G5">
        <v>10846</v>
      </c>
      <c r="H5">
        <v>3245</v>
      </c>
      <c r="I5">
        <v>3.59</v>
      </c>
      <c r="J5">
        <v>9</v>
      </c>
      <c r="L5" t="s">
        <v>2432</v>
      </c>
      <c r="M5" t="s">
        <v>2433</v>
      </c>
      <c r="P5" t="str">
        <f ca="1">IF(F5="Enrolled",TODAY()-E5, " ")</f>
        <v xml:space="preserve"> </v>
      </c>
      <c r="Q5" t="str" cm="1">
        <f t="array" ref="Q5">_xlfn.IFS(I5&gt;=3.5,"Excellent", I5&gt;3,"Good",I5&gt;2,"Average",I5&lt;2,"Poor")</f>
        <v>Excellent</v>
      </c>
      <c r="R5" t="str">
        <f>IF(H5&gt;0.5*G12,TRUE, " " )</f>
        <v xml:space="preserve"> </v>
      </c>
      <c r="U5">
        <f t="shared" si="0"/>
        <v>2023</v>
      </c>
      <c r="AA5">
        <f ca="1">IF(F5="Completed",TODAY()-E5,"")</f>
        <v>599</v>
      </c>
    </row>
    <row r="6" spans="1:37" x14ac:dyDescent="0.3">
      <c r="A6" t="s">
        <v>26</v>
      </c>
      <c r="B6" t="s">
        <v>27</v>
      </c>
      <c r="C6" t="s">
        <v>28</v>
      </c>
      <c r="D6" t="s">
        <v>18</v>
      </c>
      <c r="E6" s="1">
        <v>45400</v>
      </c>
      <c r="F6" t="s">
        <v>14</v>
      </c>
      <c r="G6">
        <v>11437</v>
      </c>
      <c r="H6">
        <v>4259</v>
      </c>
      <c r="I6">
        <v>3.31</v>
      </c>
      <c r="J6">
        <v>72</v>
      </c>
      <c r="P6">
        <f t="shared" ref="P6:P66" ca="1" si="2">IF(F6="Enrolled",TODAY()-E6, " ")</f>
        <v>452</v>
      </c>
      <c r="Q6" t="str" cm="1">
        <f t="array" ref="Q6">_xlfn.IFS(I6&gt;=3.5,"Excellent", I6&gt;3,"Good",I6&gt;2,"Average",I6&lt;2,"Poor")</f>
        <v>Good</v>
      </c>
      <c r="U6">
        <f t="shared" si="0"/>
        <v>2024</v>
      </c>
      <c r="Y6" t="str">
        <f ca="1">IF(F6="Completed",TODAY()-E6,"")</f>
        <v/>
      </c>
    </row>
    <row r="7" spans="1:37" x14ac:dyDescent="0.3">
      <c r="A7" t="s">
        <v>29</v>
      </c>
      <c r="B7" t="s">
        <v>30</v>
      </c>
      <c r="C7" t="s">
        <v>17</v>
      </c>
      <c r="D7" t="s">
        <v>31</v>
      </c>
      <c r="E7" s="1">
        <v>44737</v>
      </c>
      <c r="F7" t="s">
        <v>19</v>
      </c>
      <c r="G7">
        <v>13342</v>
      </c>
      <c r="H7">
        <v>2831</v>
      </c>
      <c r="I7">
        <v>3.39</v>
      </c>
      <c r="J7">
        <v>107</v>
      </c>
      <c r="P7" t="str">
        <f t="shared" ca="1" si="2"/>
        <v xml:space="preserve"> </v>
      </c>
      <c r="Q7" t="str" cm="1">
        <f t="array" ref="Q7">_xlfn.IFS(I7&gt;=3.5,"Excellent", I7&gt;3,"Good",I7&gt;2,"Average",I7&lt;2,"Poor")</f>
        <v>Good</v>
      </c>
      <c r="R7" t="str">
        <f>IF(H7&gt;0.5*G14,TRUE, " " )</f>
        <v xml:space="preserve"> </v>
      </c>
      <c r="U7">
        <f t="shared" si="0"/>
        <v>2022</v>
      </c>
      <c r="AA7">
        <f ca="1">IF(F7="Completed",TODAY()-E7,"")</f>
        <v>1115</v>
      </c>
    </row>
    <row r="8" spans="1:37" x14ac:dyDescent="0.3">
      <c r="A8" t="s">
        <v>32</v>
      </c>
      <c r="B8" t="s">
        <v>33</v>
      </c>
      <c r="C8" t="s">
        <v>25</v>
      </c>
      <c r="D8" t="s">
        <v>13</v>
      </c>
      <c r="E8" s="1">
        <v>44976</v>
      </c>
      <c r="F8" t="s">
        <v>14</v>
      </c>
      <c r="G8">
        <v>3831</v>
      </c>
      <c r="H8">
        <v>3078</v>
      </c>
      <c r="I8">
        <v>2.4500000000000002</v>
      </c>
      <c r="J8">
        <v>70</v>
      </c>
      <c r="P8">
        <f t="shared" ca="1" si="2"/>
        <v>876</v>
      </c>
      <c r="Q8" t="str" cm="1">
        <f t="array" ref="Q8">_xlfn.IFS(I8&gt;=3.5,"Excellent", I8&gt;3,"Good",I8&gt;2,"Average",I8&lt;2,"Poor")</f>
        <v>Average</v>
      </c>
      <c r="S8" t="str">
        <f>IF(H8&gt;0.5*G15,TRUE, " " )</f>
        <v xml:space="preserve"> </v>
      </c>
      <c r="U8">
        <f t="shared" si="0"/>
        <v>2023</v>
      </c>
      <c r="AA8" t="str">
        <f t="shared" ca="1" si="1"/>
        <v/>
      </c>
    </row>
    <row r="9" spans="1:37" x14ac:dyDescent="0.3">
      <c r="A9" t="s">
        <v>34</v>
      </c>
      <c r="B9" t="s">
        <v>35</v>
      </c>
      <c r="C9" t="s">
        <v>36</v>
      </c>
      <c r="D9" t="s">
        <v>13</v>
      </c>
      <c r="E9" s="1">
        <v>44714</v>
      </c>
      <c r="F9" t="s">
        <v>14</v>
      </c>
      <c r="G9">
        <v>8155</v>
      </c>
      <c r="H9">
        <v>6039</v>
      </c>
      <c r="I9">
        <v>3.41</v>
      </c>
      <c r="J9">
        <v>118</v>
      </c>
      <c r="P9">
        <f t="shared" ca="1" si="2"/>
        <v>1138</v>
      </c>
      <c r="Q9" t="str" cm="1">
        <f t="array" ref="Q9">_xlfn.IFS(I9&gt;=3.5,"Excellent", I9&gt;3,"Good",I9&gt;2,"Average",I9&lt;2,"Poor")</f>
        <v>Good</v>
      </c>
      <c r="S9" t="b">
        <f>IF(H9&gt;0.5*G9,TRUE, " " )</f>
        <v>1</v>
      </c>
      <c r="U9">
        <f t="shared" si="0"/>
        <v>2022</v>
      </c>
      <c r="AA9" t="str">
        <f t="shared" ca="1" si="1"/>
        <v/>
      </c>
    </row>
    <row r="10" spans="1:37" x14ac:dyDescent="0.3">
      <c r="A10" t="s">
        <v>37</v>
      </c>
      <c r="B10" t="s">
        <v>38</v>
      </c>
      <c r="C10" t="s">
        <v>28</v>
      </c>
      <c r="D10" t="s">
        <v>31</v>
      </c>
      <c r="E10" s="1">
        <v>44939</v>
      </c>
      <c r="F10" t="s">
        <v>39</v>
      </c>
      <c r="G10">
        <v>4061</v>
      </c>
      <c r="H10">
        <v>2208</v>
      </c>
      <c r="I10">
        <v>3.2</v>
      </c>
      <c r="J10">
        <v>100</v>
      </c>
      <c r="P10" t="str">
        <f t="shared" ca="1" si="2"/>
        <v xml:space="preserve"> </v>
      </c>
      <c r="Q10" t="str" cm="1">
        <f t="array" ref="Q10">_xlfn.IFS(I10&gt;=3.5,"Excellent", I10&gt;3,"Good",I10&gt;2,"Average",I10&lt;2,"Poor")</f>
        <v>Good</v>
      </c>
      <c r="S10" t="b">
        <f>IF(H10&gt;0.5*G10,TRUE, " " )</f>
        <v>1</v>
      </c>
      <c r="U10">
        <f t="shared" si="0"/>
        <v>2023</v>
      </c>
      <c r="AA10" t="str">
        <f t="shared" ca="1" si="1"/>
        <v/>
      </c>
    </row>
    <row r="11" spans="1:37" x14ac:dyDescent="0.3">
      <c r="A11" t="s">
        <v>40</v>
      </c>
      <c r="B11" t="s">
        <v>41</v>
      </c>
      <c r="C11" t="s">
        <v>17</v>
      </c>
      <c r="D11" t="s">
        <v>13</v>
      </c>
      <c r="E11" s="1">
        <v>44881</v>
      </c>
      <c r="F11" t="s">
        <v>19</v>
      </c>
      <c r="G11">
        <v>5718</v>
      </c>
      <c r="H11">
        <v>2737</v>
      </c>
      <c r="I11">
        <v>2.02</v>
      </c>
      <c r="J11">
        <v>38</v>
      </c>
      <c r="P11" t="str">
        <f t="shared" ca="1" si="2"/>
        <v xml:space="preserve"> </v>
      </c>
      <c r="Q11" t="str" cm="1">
        <f t="array" ref="Q11">_xlfn.IFS(I11&gt;=3.5,"Excellent", I11&gt;3,"Good",I11&gt;2,"Average",I11&lt;2,"Poor")</f>
        <v>Average</v>
      </c>
      <c r="S11" t="str">
        <f t="shared" ref="S11:S66" si="3">IF(H11&gt;0.5*G11,TRUE, " " )</f>
        <v xml:space="preserve"> </v>
      </c>
      <c r="U11">
        <f t="shared" ref="U11:U66" si="4">YEAR(E11)</f>
        <v>2022</v>
      </c>
      <c r="AA11">
        <f t="shared" ca="1" si="1"/>
        <v>971</v>
      </c>
    </row>
    <row r="12" spans="1:37" x14ac:dyDescent="0.3">
      <c r="A12" t="s">
        <v>42</v>
      </c>
      <c r="B12" t="s">
        <v>43</v>
      </c>
      <c r="C12" t="s">
        <v>22</v>
      </c>
      <c r="D12" t="s">
        <v>31</v>
      </c>
      <c r="E12" s="1">
        <v>45009</v>
      </c>
      <c r="F12" t="s">
        <v>14</v>
      </c>
      <c r="G12">
        <v>9724</v>
      </c>
      <c r="H12">
        <v>2303</v>
      </c>
      <c r="I12">
        <v>2.61</v>
      </c>
      <c r="J12">
        <v>52</v>
      </c>
      <c r="P12">
        <f t="shared" ca="1" si="2"/>
        <v>843</v>
      </c>
      <c r="Q12" t="str" cm="1">
        <f t="array" ref="Q12">_xlfn.IFS(I12&gt;=3.5,"Excellent", I12&gt;3,"Good",I12&gt;2,"Average",I12&lt;2,"Poor")</f>
        <v>Average</v>
      </c>
      <c r="S12" t="str">
        <f t="shared" si="3"/>
        <v xml:space="preserve"> </v>
      </c>
      <c r="U12">
        <f t="shared" si="4"/>
        <v>2023</v>
      </c>
      <c r="AA12" t="str">
        <f t="shared" ca="1" si="1"/>
        <v/>
      </c>
    </row>
    <row r="13" spans="1:37" x14ac:dyDescent="0.3">
      <c r="A13" t="s">
        <v>44</v>
      </c>
      <c r="B13" t="s">
        <v>45</v>
      </c>
      <c r="C13" t="s">
        <v>28</v>
      </c>
      <c r="D13" t="s">
        <v>31</v>
      </c>
      <c r="E13" s="1">
        <v>44624</v>
      </c>
      <c r="F13" t="s">
        <v>14</v>
      </c>
      <c r="G13">
        <v>6176</v>
      </c>
      <c r="H13">
        <v>5301</v>
      </c>
      <c r="I13">
        <v>3.16</v>
      </c>
      <c r="J13">
        <v>37</v>
      </c>
      <c r="P13">
        <f t="shared" ca="1" si="2"/>
        <v>1228</v>
      </c>
      <c r="Q13" t="str" cm="1">
        <f t="array" ref="Q13">_xlfn.IFS(I13&gt;=3.5,"Excellent", I13&gt;3,"Good",I13&gt;2,"Average",I13&lt;2,"Poor")</f>
        <v>Good</v>
      </c>
      <c r="S13" t="b">
        <f t="shared" si="3"/>
        <v>1</v>
      </c>
      <c r="U13">
        <f t="shared" si="4"/>
        <v>2022</v>
      </c>
      <c r="AA13" t="str">
        <f t="shared" ca="1" si="1"/>
        <v/>
      </c>
    </row>
    <row r="14" spans="1:37" x14ac:dyDescent="0.3">
      <c r="A14" t="s">
        <v>46</v>
      </c>
      <c r="B14" t="s">
        <v>47</v>
      </c>
      <c r="C14" t="s">
        <v>17</v>
      </c>
      <c r="D14" t="s">
        <v>18</v>
      </c>
      <c r="E14" s="1">
        <v>45219</v>
      </c>
      <c r="F14" t="s">
        <v>19</v>
      </c>
      <c r="G14">
        <v>11085</v>
      </c>
      <c r="H14">
        <v>1939</v>
      </c>
      <c r="I14">
        <v>3.02</v>
      </c>
      <c r="J14">
        <v>107</v>
      </c>
      <c r="P14" t="str">
        <f t="shared" ca="1" si="2"/>
        <v xml:space="preserve"> </v>
      </c>
      <c r="Q14" t="str" cm="1">
        <f t="array" ref="Q14">_xlfn.IFS(I14&gt;=3.5,"Excellent", I14&gt;3,"Good",I14&gt;2,"Average",I14&lt;2,"Poor")</f>
        <v>Good</v>
      </c>
      <c r="S14" t="str">
        <f t="shared" si="3"/>
        <v xml:space="preserve"> </v>
      </c>
      <c r="U14">
        <f t="shared" si="4"/>
        <v>2023</v>
      </c>
      <c r="AA14">
        <f t="shared" ca="1" si="1"/>
        <v>633</v>
      </c>
    </row>
    <row r="15" spans="1:37" x14ac:dyDescent="0.3">
      <c r="A15" t="s">
        <v>48</v>
      </c>
      <c r="B15" t="s">
        <v>49</v>
      </c>
      <c r="C15" t="s">
        <v>36</v>
      </c>
      <c r="D15" t="s">
        <v>18</v>
      </c>
      <c r="E15" s="1">
        <v>44867</v>
      </c>
      <c r="F15" t="s">
        <v>19</v>
      </c>
      <c r="G15">
        <v>8006</v>
      </c>
      <c r="H15">
        <v>7602</v>
      </c>
      <c r="I15">
        <v>3.38</v>
      </c>
      <c r="J15">
        <v>84</v>
      </c>
      <c r="P15" t="str">
        <f t="shared" ca="1" si="2"/>
        <v xml:space="preserve"> </v>
      </c>
      <c r="Q15" t="str" cm="1">
        <f t="array" ref="Q15">_xlfn.IFS(I15&gt;=3.5,"Excellent", I15&gt;3,"Good",I15&gt;2,"Average",I15&lt;2,"Poor")</f>
        <v>Good</v>
      </c>
      <c r="S15" t="b">
        <f t="shared" si="3"/>
        <v>1</v>
      </c>
      <c r="U15">
        <f t="shared" si="4"/>
        <v>2022</v>
      </c>
      <c r="AA15">
        <f t="shared" ca="1" si="1"/>
        <v>985</v>
      </c>
    </row>
    <row r="16" spans="1:37" x14ac:dyDescent="0.3">
      <c r="A16" t="s">
        <v>50</v>
      </c>
      <c r="B16" t="s">
        <v>51</v>
      </c>
      <c r="C16" t="s">
        <v>36</v>
      </c>
      <c r="D16" t="s">
        <v>18</v>
      </c>
      <c r="E16" s="1">
        <v>45196</v>
      </c>
      <c r="F16" t="s">
        <v>14</v>
      </c>
      <c r="G16">
        <v>14699</v>
      </c>
      <c r="H16">
        <v>4188</v>
      </c>
      <c r="I16">
        <v>3.4</v>
      </c>
      <c r="J16">
        <v>25</v>
      </c>
      <c r="P16">
        <f t="shared" ca="1" si="2"/>
        <v>656</v>
      </c>
      <c r="Q16" t="str" cm="1">
        <f t="array" ref="Q16">_xlfn.IFS(I16&gt;=3.5,"Excellent", I16&gt;3,"Good",I16&gt;2,"Average",I16&lt;2,"Poor")</f>
        <v>Good</v>
      </c>
      <c r="S16" t="str">
        <f t="shared" si="3"/>
        <v xml:space="preserve"> </v>
      </c>
      <c r="U16">
        <f t="shared" si="4"/>
        <v>2023</v>
      </c>
      <c r="AA16" t="str">
        <f t="shared" ca="1" si="1"/>
        <v/>
      </c>
    </row>
    <row r="17" spans="1:27" x14ac:dyDescent="0.3">
      <c r="A17" t="s">
        <v>52</v>
      </c>
      <c r="B17" t="s">
        <v>53</v>
      </c>
      <c r="C17" t="s">
        <v>54</v>
      </c>
      <c r="D17" t="s">
        <v>31</v>
      </c>
      <c r="E17" s="1">
        <v>44685</v>
      </c>
      <c r="F17" t="s">
        <v>19</v>
      </c>
      <c r="G17">
        <v>10985</v>
      </c>
      <c r="H17">
        <v>1391</v>
      </c>
      <c r="I17">
        <v>3.47</v>
      </c>
      <c r="J17">
        <v>18</v>
      </c>
      <c r="P17" t="str">
        <f t="shared" ca="1" si="2"/>
        <v xml:space="preserve"> </v>
      </c>
      <c r="Q17" t="str" cm="1">
        <f t="array" ref="Q17">_xlfn.IFS(I17&gt;=3.5,"Excellent", I17&gt;3,"Good",I17&gt;2,"Average",I17&lt;2,"Poor")</f>
        <v>Good</v>
      </c>
      <c r="S17" t="str">
        <f t="shared" si="3"/>
        <v xml:space="preserve"> </v>
      </c>
      <c r="U17">
        <f t="shared" si="4"/>
        <v>2022</v>
      </c>
      <c r="AA17">
        <f t="shared" ca="1" si="1"/>
        <v>1167</v>
      </c>
    </row>
    <row r="18" spans="1:27" x14ac:dyDescent="0.3">
      <c r="A18" t="s">
        <v>55</v>
      </c>
      <c r="B18" t="s">
        <v>56</v>
      </c>
      <c r="C18" t="s">
        <v>57</v>
      </c>
      <c r="D18" t="s">
        <v>13</v>
      </c>
      <c r="E18" s="1">
        <v>45129</v>
      </c>
      <c r="F18" t="s">
        <v>14</v>
      </c>
      <c r="G18">
        <v>6946</v>
      </c>
      <c r="H18">
        <v>8514</v>
      </c>
      <c r="I18">
        <v>2.08</v>
      </c>
      <c r="J18">
        <v>73</v>
      </c>
      <c r="P18">
        <f t="shared" ca="1" si="2"/>
        <v>723</v>
      </c>
      <c r="Q18" t="str" cm="1">
        <f t="array" ref="Q18">_xlfn.IFS(I18&gt;=3.5,"Excellent", I18&gt;3,"Good",I18&gt;2,"Average",I18&lt;2,"Poor")</f>
        <v>Average</v>
      </c>
      <c r="S18" t="b">
        <f t="shared" si="3"/>
        <v>1</v>
      </c>
      <c r="U18">
        <f t="shared" si="4"/>
        <v>2023</v>
      </c>
      <c r="AA18" t="str">
        <f t="shared" ca="1" si="1"/>
        <v/>
      </c>
    </row>
    <row r="19" spans="1:27" x14ac:dyDescent="0.3">
      <c r="A19" t="s">
        <v>58</v>
      </c>
      <c r="B19" t="s">
        <v>59</v>
      </c>
      <c r="C19" t="s">
        <v>22</v>
      </c>
      <c r="D19" t="s">
        <v>18</v>
      </c>
      <c r="E19" s="1">
        <v>45222</v>
      </c>
      <c r="F19" t="s">
        <v>14</v>
      </c>
      <c r="G19">
        <v>5088</v>
      </c>
      <c r="H19">
        <v>1973</v>
      </c>
      <c r="I19">
        <v>3.56</v>
      </c>
      <c r="J19">
        <v>52</v>
      </c>
      <c r="P19">
        <f t="shared" ca="1" si="2"/>
        <v>630</v>
      </c>
      <c r="Q19" t="str" cm="1">
        <f t="array" ref="Q19">_xlfn.IFS(I19&gt;=3.5,"Excellent", I19&gt;3,"Good",I19&gt;2,"Average",I19&lt;2,"Poor")</f>
        <v>Excellent</v>
      </c>
      <c r="S19" t="str">
        <f t="shared" si="3"/>
        <v xml:space="preserve"> </v>
      </c>
      <c r="U19">
        <f t="shared" si="4"/>
        <v>2023</v>
      </c>
      <c r="AA19" t="str">
        <f t="shared" ca="1" si="1"/>
        <v/>
      </c>
    </row>
    <row r="20" spans="1:27" x14ac:dyDescent="0.3">
      <c r="A20" t="s">
        <v>60</v>
      </c>
      <c r="B20" t="s">
        <v>61</v>
      </c>
      <c r="C20" t="s">
        <v>28</v>
      </c>
      <c r="D20" t="s">
        <v>62</v>
      </c>
      <c r="E20" s="1">
        <v>44961</v>
      </c>
      <c r="F20" t="s">
        <v>14</v>
      </c>
      <c r="G20">
        <v>3188</v>
      </c>
      <c r="H20">
        <v>9735</v>
      </c>
      <c r="I20">
        <v>3.54</v>
      </c>
      <c r="J20">
        <v>67</v>
      </c>
      <c r="P20">
        <f t="shared" ca="1" si="2"/>
        <v>891</v>
      </c>
      <c r="Q20" t="str" cm="1">
        <f t="array" ref="Q20">_xlfn.IFS(I20&gt;=3.5,"Excellent", I20&gt;3,"Good",I20&gt;2,"Average",I20&lt;2,"Poor")</f>
        <v>Excellent</v>
      </c>
      <c r="S20" t="b">
        <f t="shared" si="3"/>
        <v>1</v>
      </c>
      <c r="U20">
        <f t="shared" si="4"/>
        <v>2023</v>
      </c>
      <c r="AA20" t="str">
        <f t="shared" ca="1" si="1"/>
        <v/>
      </c>
    </row>
    <row r="21" spans="1:27" x14ac:dyDescent="0.3">
      <c r="A21" t="s">
        <v>63</v>
      </c>
      <c r="B21" t="s">
        <v>64</v>
      </c>
      <c r="C21" t="s">
        <v>54</v>
      </c>
      <c r="D21" t="s">
        <v>31</v>
      </c>
      <c r="E21" s="1">
        <v>44772</v>
      </c>
      <c r="F21" t="s">
        <v>19</v>
      </c>
      <c r="G21">
        <v>6258</v>
      </c>
      <c r="H21">
        <v>9965</v>
      </c>
      <c r="I21">
        <v>2.48</v>
      </c>
      <c r="J21">
        <v>100</v>
      </c>
      <c r="P21" t="str">
        <f t="shared" ca="1" si="2"/>
        <v xml:space="preserve"> </v>
      </c>
      <c r="Q21" t="str" cm="1">
        <f t="array" ref="Q21">_xlfn.IFS(I21&gt;=3.5,"Excellent", I21&gt;3,"Good",I21&gt;2,"Average",I21&lt;2,"Poor")</f>
        <v>Average</v>
      </c>
      <c r="S21" t="b">
        <f t="shared" si="3"/>
        <v>1</v>
      </c>
      <c r="U21">
        <f t="shared" si="4"/>
        <v>2022</v>
      </c>
      <c r="AA21">
        <f t="shared" ca="1" si="1"/>
        <v>1080</v>
      </c>
    </row>
    <row r="22" spans="1:27" x14ac:dyDescent="0.3">
      <c r="A22" t="s">
        <v>65</v>
      </c>
      <c r="B22" t="s">
        <v>66</v>
      </c>
      <c r="C22" t="s">
        <v>25</v>
      </c>
      <c r="D22" t="s">
        <v>18</v>
      </c>
      <c r="E22" s="1">
        <v>45166</v>
      </c>
      <c r="F22" t="s">
        <v>14</v>
      </c>
      <c r="G22">
        <v>12607</v>
      </c>
      <c r="H22">
        <v>4963</v>
      </c>
      <c r="I22">
        <v>2.86</v>
      </c>
      <c r="J22">
        <v>25</v>
      </c>
      <c r="P22">
        <f t="shared" ca="1" si="2"/>
        <v>686</v>
      </c>
      <c r="Q22" t="str" cm="1">
        <f t="array" ref="Q22">_xlfn.IFS(I22&gt;=3.5,"Excellent", I22&gt;3,"Good",I22&gt;2,"Average",I22&lt;2,"Poor")</f>
        <v>Average</v>
      </c>
      <c r="S22" t="str">
        <f t="shared" si="3"/>
        <v xml:space="preserve"> </v>
      </c>
      <c r="U22">
        <f t="shared" si="4"/>
        <v>2023</v>
      </c>
      <c r="AA22" t="str">
        <f t="shared" ca="1" si="1"/>
        <v/>
      </c>
    </row>
    <row r="23" spans="1:27" x14ac:dyDescent="0.3">
      <c r="A23" t="s">
        <v>67</v>
      </c>
      <c r="B23" t="s">
        <v>68</v>
      </c>
      <c r="C23" t="s">
        <v>25</v>
      </c>
      <c r="D23" t="s">
        <v>31</v>
      </c>
      <c r="E23" s="1">
        <v>45004</v>
      </c>
      <c r="F23" t="s">
        <v>14</v>
      </c>
      <c r="G23">
        <v>9303</v>
      </c>
      <c r="H23">
        <v>9181</v>
      </c>
      <c r="I23">
        <v>2.12</v>
      </c>
      <c r="J23">
        <v>119</v>
      </c>
      <c r="P23">
        <f t="shared" ca="1" si="2"/>
        <v>848</v>
      </c>
      <c r="Q23" t="str" cm="1">
        <f t="array" ref="Q23">_xlfn.IFS(I23&gt;=3.5,"Excellent", I23&gt;3,"Good",I23&gt;2,"Average",I23&lt;2,"Poor")</f>
        <v>Average</v>
      </c>
      <c r="S23" t="b">
        <f t="shared" si="3"/>
        <v>1</v>
      </c>
      <c r="U23">
        <f t="shared" si="4"/>
        <v>2023</v>
      </c>
      <c r="AA23" t="str">
        <f t="shared" ca="1" si="1"/>
        <v/>
      </c>
    </row>
    <row r="24" spans="1:27" x14ac:dyDescent="0.3">
      <c r="A24" t="s">
        <v>69</v>
      </c>
      <c r="B24" t="s">
        <v>70</v>
      </c>
      <c r="C24" t="s">
        <v>36</v>
      </c>
      <c r="D24" t="s">
        <v>13</v>
      </c>
      <c r="E24" s="1">
        <v>44932</v>
      </c>
      <c r="F24" t="s">
        <v>19</v>
      </c>
      <c r="G24">
        <v>2797</v>
      </c>
      <c r="H24">
        <v>6036</v>
      </c>
      <c r="I24">
        <v>2.36</v>
      </c>
      <c r="J24">
        <v>14</v>
      </c>
      <c r="P24" t="str">
        <f t="shared" ca="1" si="2"/>
        <v xml:space="preserve"> </v>
      </c>
      <c r="Q24" t="str" cm="1">
        <f t="array" ref="Q24">_xlfn.IFS(I24&gt;=3.5,"Excellent", I24&gt;3,"Good",I24&gt;2,"Average",I24&lt;2,"Poor")</f>
        <v>Average</v>
      </c>
      <c r="S24" t="b">
        <f t="shared" si="3"/>
        <v>1</v>
      </c>
      <c r="U24">
        <f t="shared" si="4"/>
        <v>2023</v>
      </c>
      <c r="AA24">
        <f t="shared" ca="1" si="1"/>
        <v>920</v>
      </c>
    </row>
    <row r="25" spans="1:27" x14ac:dyDescent="0.3">
      <c r="A25" t="s">
        <v>71</v>
      </c>
      <c r="B25" t="s">
        <v>72</v>
      </c>
      <c r="C25" t="s">
        <v>12</v>
      </c>
      <c r="D25" t="s">
        <v>31</v>
      </c>
      <c r="E25" s="1">
        <v>45083</v>
      </c>
      <c r="F25" t="s">
        <v>19</v>
      </c>
      <c r="G25">
        <v>6057</v>
      </c>
      <c r="H25">
        <v>7133</v>
      </c>
      <c r="I25">
        <v>2.57</v>
      </c>
      <c r="J25">
        <v>93</v>
      </c>
      <c r="P25" t="str">
        <f t="shared" ca="1" si="2"/>
        <v xml:space="preserve"> </v>
      </c>
      <c r="Q25" t="str" cm="1">
        <f t="array" ref="Q25">_xlfn.IFS(I25&gt;=3.5,"Excellent", I25&gt;3,"Good",I25&gt;2,"Average",I25&lt;2,"Poor")</f>
        <v>Average</v>
      </c>
      <c r="S25" t="b">
        <f t="shared" si="3"/>
        <v>1</v>
      </c>
      <c r="U25">
        <f t="shared" si="4"/>
        <v>2023</v>
      </c>
      <c r="AA25">
        <f t="shared" ca="1" si="1"/>
        <v>769</v>
      </c>
    </row>
    <row r="26" spans="1:27" x14ac:dyDescent="0.3">
      <c r="A26" t="s">
        <v>73</v>
      </c>
      <c r="B26" t="s">
        <v>74</v>
      </c>
      <c r="C26" t="s">
        <v>57</v>
      </c>
      <c r="D26" t="s">
        <v>31</v>
      </c>
      <c r="E26" s="1">
        <v>44564</v>
      </c>
      <c r="F26" t="s">
        <v>19</v>
      </c>
      <c r="G26">
        <v>8791</v>
      </c>
      <c r="H26">
        <v>7232</v>
      </c>
      <c r="I26">
        <v>3.2</v>
      </c>
      <c r="J26">
        <v>14</v>
      </c>
      <c r="P26" t="str">
        <f t="shared" ca="1" si="2"/>
        <v xml:space="preserve"> </v>
      </c>
      <c r="Q26" t="str" cm="1">
        <f t="array" ref="Q26">_xlfn.IFS(I26&gt;=3.5,"Excellent", I26&gt;3,"Good",I26&gt;2,"Average",I26&lt;2,"Poor")</f>
        <v>Good</v>
      </c>
      <c r="S26" t="b">
        <f t="shared" si="3"/>
        <v>1</v>
      </c>
      <c r="U26">
        <f t="shared" si="4"/>
        <v>2022</v>
      </c>
      <c r="AA26">
        <f t="shared" ca="1" si="1"/>
        <v>1288</v>
      </c>
    </row>
    <row r="27" spans="1:27" x14ac:dyDescent="0.3">
      <c r="A27" t="s">
        <v>75</v>
      </c>
      <c r="B27" t="s">
        <v>76</v>
      </c>
      <c r="C27" t="s">
        <v>22</v>
      </c>
      <c r="D27" t="s">
        <v>62</v>
      </c>
      <c r="E27" s="1">
        <v>45447</v>
      </c>
      <c r="F27" t="s">
        <v>14</v>
      </c>
      <c r="G27">
        <v>6655</v>
      </c>
      <c r="H27">
        <v>6637</v>
      </c>
      <c r="I27">
        <v>3.15</v>
      </c>
      <c r="J27">
        <v>43</v>
      </c>
      <c r="P27">
        <f t="shared" ca="1" si="2"/>
        <v>405</v>
      </c>
      <c r="Q27" t="str" cm="1">
        <f t="array" ref="Q27">_xlfn.IFS(I27&gt;=3.5,"Excellent", I27&gt;3,"Good",I27&gt;2,"Average",I27&lt;2,"Poor")</f>
        <v>Good</v>
      </c>
      <c r="S27" t="b">
        <f t="shared" si="3"/>
        <v>1</v>
      </c>
      <c r="U27">
        <f t="shared" si="4"/>
        <v>2024</v>
      </c>
      <c r="AA27" t="str">
        <f t="shared" ca="1" si="1"/>
        <v/>
      </c>
    </row>
    <row r="28" spans="1:27" x14ac:dyDescent="0.3">
      <c r="A28" t="s">
        <v>77</v>
      </c>
      <c r="B28" t="s">
        <v>78</v>
      </c>
      <c r="C28" t="s">
        <v>12</v>
      </c>
      <c r="D28" t="s">
        <v>31</v>
      </c>
      <c r="E28" s="1">
        <v>45092</v>
      </c>
      <c r="F28" t="s">
        <v>19</v>
      </c>
      <c r="G28">
        <v>5008</v>
      </c>
      <c r="H28">
        <v>907</v>
      </c>
      <c r="I28">
        <v>3.83</v>
      </c>
      <c r="J28">
        <v>96</v>
      </c>
      <c r="P28" t="str">
        <f t="shared" ca="1" si="2"/>
        <v xml:space="preserve"> </v>
      </c>
      <c r="Q28" t="str" cm="1">
        <f t="array" ref="Q28">_xlfn.IFS(I28&gt;=3.5,"Excellent", I28&gt;3,"Good",I28&gt;2,"Average",I28&lt;2,"Poor")</f>
        <v>Excellent</v>
      </c>
      <c r="S28" t="str">
        <f t="shared" si="3"/>
        <v xml:space="preserve"> </v>
      </c>
      <c r="U28">
        <f t="shared" si="4"/>
        <v>2023</v>
      </c>
      <c r="AA28">
        <f t="shared" ca="1" si="1"/>
        <v>760</v>
      </c>
    </row>
    <row r="29" spans="1:27" x14ac:dyDescent="0.3">
      <c r="A29" t="s">
        <v>79</v>
      </c>
      <c r="B29" t="s">
        <v>80</v>
      </c>
      <c r="C29" t="s">
        <v>36</v>
      </c>
      <c r="D29" t="s">
        <v>18</v>
      </c>
      <c r="E29" s="1">
        <v>44737</v>
      </c>
      <c r="F29" t="s">
        <v>14</v>
      </c>
      <c r="G29">
        <v>13997</v>
      </c>
      <c r="H29">
        <v>2778</v>
      </c>
      <c r="I29">
        <v>3.22</v>
      </c>
      <c r="J29">
        <v>87</v>
      </c>
      <c r="P29">
        <f t="shared" ca="1" si="2"/>
        <v>1115</v>
      </c>
      <c r="Q29" t="str" cm="1">
        <f t="array" ref="Q29">_xlfn.IFS(I29&gt;=3.5,"Excellent", I29&gt;3,"Good",I29&gt;2,"Average",I29&lt;2,"Poor")</f>
        <v>Good</v>
      </c>
      <c r="S29" t="str">
        <f t="shared" si="3"/>
        <v xml:space="preserve"> </v>
      </c>
      <c r="U29">
        <f t="shared" si="4"/>
        <v>2022</v>
      </c>
      <c r="AA29" t="str">
        <f t="shared" ca="1" si="1"/>
        <v/>
      </c>
    </row>
    <row r="30" spans="1:27" x14ac:dyDescent="0.3">
      <c r="A30" t="s">
        <v>81</v>
      </c>
      <c r="B30" t="s">
        <v>82</v>
      </c>
      <c r="C30" t="s">
        <v>22</v>
      </c>
      <c r="D30" t="s">
        <v>62</v>
      </c>
      <c r="E30" s="1">
        <v>45086</v>
      </c>
      <c r="F30" t="s">
        <v>14</v>
      </c>
      <c r="G30">
        <v>4627</v>
      </c>
      <c r="H30">
        <v>5935</v>
      </c>
      <c r="I30">
        <v>2.29</v>
      </c>
      <c r="J30">
        <v>118</v>
      </c>
      <c r="P30">
        <f t="shared" ca="1" si="2"/>
        <v>766</v>
      </c>
      <c r="Q30" t="str" cm="1">
        <f t="array" ref="Q30">_xlfn.IFS(I30&gt;=3.5,"Excellent", I30&gt;3,"Good",I30&gt;2,"Average",I30&lt;2,"Poor")</f>
        <v>Average</v>
      </c>
      <c r="S30" t="b">
        <f t="shared" si="3"/>
        <v>1</v>
      </c>
      <c r="U30">
        <f t="shared" si="4"/>
        <v>2023</v>
      </c>
      <c r="AA30" t="str">
        <f t="shared" ca="1" si="1"/>
        <v/>
      </c>
    </row>
    <row r="31" spans="1:27" x14ac:dyDescent="0.3">
      <c r="A31" t="s">
        <v>83</v>
      </c>
      <c r="B31" t="s">
        <v>84</v>
      </c>
      <c r="C31" t="s">
        <v>12</v>
      </c>
      <c r="D31" t="s">
        <v>18</v>
      </c>
      <c r="E31" s="1">
        <v>45387</v>
      </c>
      <c r="F31" t="s">
        <v>19</v>
      </c>
      <c r="G31">
        <v>6711</v>
      </c>
      <c r="H31">
        <v>9649</v>
      </c>
      <c r="I31">
        <v>3.2</v>
      </c>
      <c r="J31">
        <v>54</v>
      </c>
      <c r="P31" t="str">
        <f t="shared" ca="1" si="2"/>
        <v xml:space="preserve"> </v>
      </c>
      <c r="Q31" t="str" cm="1">
        <f t="array" ref="Q31">_xlfn.IFS(I31&gt;=3.5,"Excellent", I31&gt;3,"Good",I31&gt;2,"Average",I31&lt;2,"Poor")</f>
        <v>Good</v>
      </c>
      <c r="S31" t="b">
        <f t="shared" si="3"/>
        <v>1</v>
      </c>
      <c r="U31">
        <f t="shared" si="4"/>
        <v>2024</v>
      </c>
      <c r="AA31">
        <f t="shared" ca="1" si="1"/>
        <v>465</v>
      </c>
    </row>
    <row r="32" spans="1:27" x14ac:dyDescent="0.3">
      <c r="A32" t="s">
        <v>85</v>
      </c>
      <c r="B32" t="s">
        <v>86</v>
      </c>
      <c r="C32" t="s">
        <v>57</v>
      </c>
      <c r="D32" t="s">
        <v>18</v>
      </c>
      <c r="E32" s="1">
        <v>44831</v>
      </c>
      <c r="F32" t="s">
        <v>19</v>
      </c>
      <c r="G32">
        <v>2173</v>
      </c>
      <c r="H32">
        <v>5739</v>
      </c>
      <c r="I32">
        <v>3.09</v>
      </c>
      <c r="J32">
        <v>97</v>
      </c>
      <c r="P32" t="str">
        <f t="shared" ca="1" si="2"/>
        <v xml:space="preserve"> </v>
      </c>
      <c r="Q32" t="str" cm="1">
        <f t="array" ref="Q32">_xlfn.IFS(I32&gt;=3.5,"Excellent", I32&gt;3,"Good",I32&gt;2,"Average",I32&lt;2,"Poor")</f>
        <v>Good</v>
      </c>
      <c r="S32" t="b">
        <f t="shared" si="3"/>
        <v>1</v>
      </c>
      <c r="U32">
        <f t="shared" si="4"/>
        <v>2022</v>
      </c>
      <c r="AA32">
        <f t="shared" ca="1" si="1"/>
        <v>1021</v>
      </c>
    </row>
    <row r="33" spans="1:27" x14ac:dyDescent="0.3">
      <c r="A33" t="s">
        <v>87</v>
      </c>
      <c r="B33" t="s">
        <v>88</v>
      </c>
      <c r="C33" t="s">
        <v>57</v>
      </c>
      <c r="D33" t="s">
        <v>62</v>
      </c>
      <c r="E33" s="1">
        <v>44602</v>
      </c>
      <c r="F33" t="s">
        <v>14</v>
      </c>
      <c r="G33">
        <v>8163</v>
      </c>
      <c r="H33">
        <v>7715</v>
      </c>
      <c r="I33">
        <v>2.2799999999999998</v>
      </c>
      <c r="J33">
        <v>19</v>
      </c>
      <c r="P33">
        <f t="shared" ca="1" si="2"/>
        <v>1250</v>
      </c>
      <c r="Q33" t="str" cm="1">
        <f t="array" ref="Q33">_xlfn.IFS(I33&gt;=3.5,"Excellent", I33&gt;3,"Good",I33&gt;2,"Average",I33&lt;2,"Poor")</f>
        <v>Average</v>
      </c>
      <c r="S33" t="b">
        <f t="shared" si="3"/>
        <v>1</v>
      </c>
      <c r="U33">
        <f t="shared" si="4"/>
        <v>2022</v>
      </c>
      <c r="AA33" t="str">
        <f t="shared" ca="1" si="1"/>
        <v/>
      </c>
    </row>
    <row r="34" spans="1:27" x14ac:dyDescent="0.3">
      <c r="A34" t="s">
        <v>89</v>
      </c>
      <c r="B34" t="s">
        <v>90</v>
      </c>
      <c r="C34" t="s">
        <v>28</v>
      </c>
      <c r="D34" t="s">
        <v>13</v>
      </c>
      <c r="E34" s="1">
        <v>44562</v>
      </c>
      <c r="F34" t="s">
        <v>14</v>
      </c>
      <c r="G34">
        <v>14774</v>
      </c>
      <c r="H34">
        <v>1884</v>
      </c>
      <c r="I34">
        <v>2.78</v>
      </c>
      <c r="J34">
        <v>9</v>
      </c>
      <c r="P34">
        <f t="shared" ca="1" si="2"/>
        <v>1290</v>
      </c>
      <c r="Q34" t="str" cm="1">
        <f t="array" ref="Q34">_xlfn.IFS(I34&gt;=3.5,"Excellent", I34&gt;3,"Good",I34&gt;2,"Average",I34&lt;2,"Poor")</f>
        <v>Average</v>
      </c>
      <c r="S34" t="str">
        <f t="shared" si="3"/>
        <v xml:space="preserve"> </v>
      </c>
      <c r="U34">
        <f t="shared" si="4"/>
        <v>2022</v>
      </c>
      <c r="AA34" t="str">
        <f t="shared" ca="1" si="1"/>
        <v/>
      </c>
    </row>
    <row r="35" spans="1:27" x14ac:dyDescent="0.3">
      <c r="A35" t="s">
        <v>91</v>
      </c>
      <c r="B35" t="s">
        <v>92</v>
      </c>
      <c r="C35" t="s">
        <v>57</v>
      </c>
      <c r="D35" t="s">
        <v>31</v>
      </c>
      <c r="E35" s="1">
        <v>45091</v>
      </c>
      <c r="F35" t="s">
        <v>19</v>
      </c>
      <c r="G35">
        <v>7783</v>
      </c>
      <c r="H35">
        <v>3240</v>
      </c>
      <c r="I35">
        <v>2.82</v>
      </c>
      <c r="J35">
        <v>115</v>
      </c>
      <c r="P35" t="str">
        <f t="shared" ca="1" si="2"/>
        <v xml:space="preserve"> </v>
      </c>
      <c r="Q35" t="str" cm="1">
        <f t="array" ref="Q35">_xlfn.IFS(I35&gt;=3.5,"Excellent", I35&gt;3,"Good",I35&gt;2,"Average",I35&lt;2,"Poor")</f>
        <v>Average</v>
      </c>
      <c r="S35" t="str">
        <f t="shared" si="3"/>
        <v xml:space="preserve"> </v>
      </c>
      <c r="U35">
        <f t="shared" si="4"/>
        <v>2023</v>
      </c>
      <c r="AA35">
        <f t="shared" ca="1" si="1"/>
        <v>761</v>
      </c>
    </row>
    <row r="36" spans="1:27" x14ac:dyDescent="0.3">
      <c r="A36" t="s">
        <v>93</v>
      </c>
      <c r="B36" t="s">
        <v>94</v>
      </c>
      <c r="C36" t="s">
        <v>25</v>
      </c>
      <c r="D36" t="s">
        <v>31</v>
      </c>
      <c r="E36" s="1">
        <v>44650</v>
      </c>
      <c r="F36" t="s">
        <v>19</v>
      </c>
      <c r="G36">
        <v>14442</v>
      </c>
      <c r="H36">
        <v>7220</v>
      </c>
      <c r="I36">
        <v>2.76</v>
      </c>
      <c r="J36">
        <v>109</v>
      </c>
      <c r="P36" t="str">
        <f t="shared" ca="1" si="2"/>
        <v xml:space="preserve"> </v>
      </c>
      <c r="Q36" t="str" cm="1">
        <f t="array" ref="Q36">_xlfn.IFS(I36&gt;=3.5,"Excellent", I36&gt;3,"Good",I36&gt;2,"Average",I36&lt;2,"Poor")</f>
        <v>Average</v>
      </c>
      <c r="S36" t="str">
        <f t="shared" si="3"/>
        <v xml:space="preserve"> </v>
      </c>
      <c r="U36">
        <f t="shared" si="4"/>
        <v>2022</v>
      </c>
      <c r="AA36">
        <f t="shared" ca="1" si="1"/>
        <v>1202</v>
      </c>
    </row>
    <row r="37" spans="1:27" x14ac:dyDescent="0.3">
      <c r="A37" t="s">
        <v>95</v>
      </c>
      <c r="B37" t="s">
        <v>96</v>
      </c>
      <c r="C37" t="s">
        <v>54</v>
      </c>
      <c r="D37" t="s">
        <v>18</v>
      </c>
      <c r="E37" s="1">
        <v>45053</v>
      </c>
      <c r="F37" t="s">
        <v>14</v>
      </c>
      <c r="G37">
        <v>4770</v>
      </c>
      <c r="H37">
        <v>945</v>
      </c>
      <c r="I37">
        <v>2.75</v>
      </c>
      <c r="J37">
        <v>38</v>
      </c>
      <c r="P37">
        <f t="shared" ca="1" si="2"/>
        <v>799</v>
      </c>
      <c r="Q37" t="str" cm="1">
        <f t="array" ref="Q37">_xlfn.IFS(I37&gt;=3.5,"Excellent", I37&gt;3,"Good",I37&gt;2,"Average",I37&lt;2,"Poor")</f>
        <v>Average</v>
      </c>
      <c r="S37" t="str">
        <f t="shared" si="3"/>
        <v xml:space="preserve"> </v>
      </c>
      <c r="U37">
        <f t="shared" si="4"/>
        <v>2023</v>
      </c>
      <c r="AA37" t="str">
        <f t="shared" ca="1" si="1"/>
        <v/>
      </c>
    </row>
    <row r="38" spans="1:27" x14ac:dyDescent="0.3">
      <c r="A38" t="s">
        <v>97</v>
      </c>
      <c r="B38" t="s">
        <v>98</v>
      </c>
      <c r="C38" t="s">
        <v>17</v>
      </c>
      <c r="D38" t="s">
        <v>13</v>
      </c>
      <c r="E38" s="1">
        <v>45328</v>
      </c>
      <c r="F38" t="s">
        <v>19</v>
      </c>
      <c r="G38">
        <v>14761</v>
      </c>
      <c r="H38">
        <v>4478</v>
      </c>
      <c r="I38">
        <v>2.65</v>
      </c>
      <c r="J38">
        <v>2</v>
      </c>
      <c r="P38" t="str">
        <f t="shared" ca="1" si="2"/>
        <v xml:space="preserve"> </v>
      </c>
      <c r="Q38" t="str" cm="1">
        <f t="array" ref="Q38">_xlfn.IFS(I38&gt;=3.5,"Excellent", I38&gt;3,"Good",I38&gt;2,"Average",I38&lt;2,"Poor")</f>
        <v>Average</v>
      </c>
      <c r="S38" t="str">
        <f t="shared" si="3"/>
        <v xml:space="preserve"> </v>
      </c>
      <c r="U38">
        <f t="shared" si="4"/>
        <v>2024</v>
      </c>
      <c r="AA38">
        <f t="shared" ca="1" si="1"/>
        <v>524</v>
      </c>
    </row>
    <row r="39" spans="1:27" x14ac:dyDescent="0.3">
      <c r="A39" t="s">
        <v>99</v>
      </c>
      <c r="B39" t="s">
        <v>100</v>
      </c>
      <c r="C39" t="s">
        <v>57</v>
      </c>
      <c r="D39" t="s">
        <v>18</v>
      </c>
      <c r="E39" s="1">
        <v>44619</v>
      </c>
      <c r="F39" t="s">
        <v>19</v>
      </c>
      <c r="G39">
        <v>14013</v>
      </c>
      <c r="H39">
        <v>9022</v>
      </c>
      <c r="I39">
        <v>2.13</v>
      </c>
      <c r="J39">
        <v>10</v>
      </c>
      <c r="P39" t="str">
        <f t="shared" ca="1" si="2"/>
        <v xml:space="preserve"> </v>
      </c>
      <c r="Q39" t="str" cm="1">
        <f t="array" ref="Q39">_xlfn.IFS(I39&gt;=3.5,"Excellent", I39&gt;3,"Good",I39&gt;2,"Average",I39&lt;2,"Poor")</f>
        <v>Average</v>
      </c>
      <c r="S39" t="b">
        <f t="shared" si="3"/>
        <v>1</v>
      </c>
      <c r="U39">
        <f t="shared" si="4"/>
        <v>2022</v>
      </c>
      <c r="AA39">
        <f t="shared" ca="1" si="1"/>
        <v>1233</v>
      </c>
    </row>
    <row r="40" spans="1:27" x14ac:dyDescent="0.3">
      <c r="A40" t="s">
        <v>101</v>
      </c>
      <c r="B40" t="s">
        <v>102</v>
      </c>
      <c r="C40" t="s">
        <v>25</v>
      </c>
      <c r="D40" t="s">
        <v>62</v>
      </c>
      <c r="E40" s="1">
        <v>45379</v>
      </c>
      <c r="F40" t="s">
        <v>19</v>
      </c>
      <c r="G40">
        <v>8345</v>
      </c>
      <c r="H40">
        <v>5347</v>
      </c>
      <c r="I40">
        <v>3.8</v>
      </c>
      <c r="J40">
        <v>53</v>
      </c>
      <c r="P40" t="str">
        <f t="shared" ca="1" si="2"/>
        <v xml:space="preserve"> </v>
      </c>
      <c r="Q40" t="str" cm="1">
        <f t="array" ref="Q40">_xlfn.IFS(I40&gt;=3.5,"Excellent", I40&gt;3,"Good",I40&gt;2,"Average",I40&lt;2,"Poor")</f>
        <v>Excellent</v>
      </c>
      <c r="S40" t="b">
        <f t="shared" si="3"/>
        <v>1</v>
      </c>
      <c r="U40">
        <f t="shared" si="4"/>
        <v>2024</v>
      </c>
      <c r="AA40">
        <f t="shared" ca="1" si="1"/>
        <v>473</v>
      </c>
    </row>
    <row r="41" spans="1:27" x14ac:dyDescent="0.3">
      <c r="A41" t="s">
        <v>103</v>
      </c>
      <c r="B41" t="s">
        <v>104</v>
      </c>
      <c r="C41" t="s">
        <v>17</v>
      </c>
      <c r="D41" t="s">
        <v>18</v>
      </c>
      <c r="E41" s="1">
        <v>44883</v>
      </c>
      <c r="F41" t="s">
        <v>14</v>
      </c>
      <c r="G41">
        <v>10449</v>
      </c>
      <c r="H41">
        <v>4324</v>
      </c>
      <c r="I41">
        <v>3.08</v>
      </c>
      <c r="J41">
        <v>2</v>
      </c>
      <c r="P41">
        <f t="shared" ca="1" si="2"/>
        <v>969</v>
      </c>
      <c r="Q41" t="str" cm="1">
        <f t="array" ref="Q41">_xlfn.IFS(I41&gt;=3.5,"Excellent", I41&gt;3,"Good",I41&gt;2,"Average",I41&lt;2,"Poor")</f>
        <v>Good</v>
      </c>
      <c r="S41" t="str">
        <f t="shared" si="3"/>
        <v xml:space="preserve"> </v>
      </c>
      <c r="U41">
        <f t="shared" si="4"/>
        <v>2022</v>
      </c>
      <c r="AA41" t="str">
        <f t="shared" ca="1" si="1"/>
        <v/>
      </c>
    </row>
    <row r="42" spans="1:27" x14ac:dyDescent="0.3">
      <c r="A42" t="s">
        <v>105</v>
      </c>
      <c r="B42" t="s">
        <v>106</v>
      </c>
      <c r="C42" t="s">
        <v>36</v>
      </c>
      <c r="D42" t="s">
        <v>31</v>
      </c>
      <c r="E42" s="1">
        <v>44979</v>
      </c>
      <c r="F42" t="s">
        <v>14</v>
      </c>
      <c r="G42">
        <v>14303</v>
      </c>
      <c r="H42">
        <v>4160</v>
      </c>
      <c r="I42">
        <v>2.39</v>
      </c>
      <c r="J42">
        <v>42</v>
      </c>
      <c r="P42">
        <f t="shared" ca="1" si="2"/>
        <v>873</v>
      </c>
      <c r="Q42" t="str" cm="1">
        <f t="array" ref="Q42">_xlfn.IFS(I42&gt;=3.5,"Excellent", I42&gt;3,"Good",I42&gt;2,"Average",I42&lt;2,"Poor")</f>
        <v>Average</v>
      </c>
      <c r="S42" t="str">
        <f t="shared" si="3"/>
        <v xml:space="preserve"> </v>
      </c>
      <c r="U42">
        <f t="shared" si="4"/>
        <v>2023</v>
      </c>
      <c r="AA42" t="str">
        <f t="shared" ca="1" si="1"/>
        <v/>
      </c>
    </row>
    <row r="43" spans="1:27" x14ac:dyDescent="0.3">
      <c r="A43" t="s">
        <v>107</v>
      </c>
      <c r="B43" t="s">
        <v>108</v>
      </c>
      <c r="C43" t="s">
        <v>54</v>
      </c>
      <c r="D43" t="s">
        <v>18</v>
      </c>
      <c r="E43" s="1">
        <v>44577</v>
      </c>
      <c r="F43" t="s">
        <v>14</v>
      </c>
      <c r="G43">
        <v>5900</v>
      </c>
      <c r="H43">
        <v>9481</v>
      </c>
      <c r="I43">
        <v>3.17</v>
      </c>
      <c r="J43">
        <v>15</v>
      </c>
      <c r="P43">
        <f t="shared" ca="1" si="2"/>
        <v>1275</v>
      </c>
      <c r="Q43" t="str" cm="1">
        <f t="array" ref="Q43">_xlfn.IFS(I43&gt;=3.5,"Excellent", I43&gt;3,"Good",I43&gt;2,"Average",I43&lt;2,"Poor")</f>
        <v>Good</v>
      </c>
      <c r="S43" t="b">
        <f t="shared" si="3"/>
        <v>1</v>
      </c>
      <c r="U43">
        <f t="shared" si="4"/>
        <v>2022</v>
      </c>
      <c r="AA43" t="str">
        <f t="shared" ca="1" si="1"/>
        <v/>
      </c>
    </row>
    <row r="44" spans="1:27" x14ac:dyDescent="0.3">
      <c r="A44" t="s">
        <v>109</v>
      </c>
      <c r="B44" t="s">
        <v>110</v>
      </c>
      <c r="C44" t="s">
        <v>36</v>
      </c>
      <c r="D44" t="s">
        <v>18</v>
      </c>
      <c r="E44" s="1">
        <v>44915</v>
      </c>
      <c r="F44" t="s">
        <v>19</v>
      </c>
      <c r="G44">
        <v>6128</v>
      </c>
      <c r="H44">
        <v>7957</v>
      </c>
      <c r="I44">
        <v>2.2799999999999998</v>
      </c>
      <c r="J44">
        <v>115</v>
      </c>
      <c r="P44" t="str">
        <f t="shared" ca="1" si="2"/>
        <v xml:space="preserve"> </v>
      </c>
      <c r="Q44" t="str" cm="1">
        <f t="array" ref="Q44">_xlfn.IFS(I44&gt;=3.5,"Excellent", I44&gt;3,"Good",I44&gt;2,"Average",I44&lt;2,"Poor")</f>
        <v>Average</v>
      </c>
      <c r="S44" t="b">
        <f t="shared" si="3"/>
        <v>1</v>
      </c>
      <c r="U44">
        <f t="shared" si="4"/>
        <v>2022</v>
      </c>
      <c r="AA44">
        <f t="shared" ca="1" si="1"/>
        <v>937</v>
      </c>
    </row>
    <row r="45" spans="1:27" x14ac:dyDescent="0.3">
      <c r="A45" t="s">
        <v>111</v>
      </c>
      <c r="B45" t="s">
        <v>112</v>
      </c>
      <c r="C45" t="s">
        <v>36</v>
      </c>
      <c r="D45" t="s">
        <v>13</v>
      </c>
      <c r="E45" s="1">
        <v>44997</v>
      </c>
      <c r="F45" t="s">
        <v>14</v>
      </c>
      <c r="G45">
        <v>10731</v>
      </c>
      <c r="H45">
        <v>8324</v>
      </c>
      <c r="I45">
        <v>3.2</v>
      </c>
      <c r="J45">
        <v>13</v>
      </c>
      <c r="P45">
        <f t="shared" ca="1" si="2"/>
        <v>855</v>
      </c>
      <c r="Q45" t="str" cm="1">
        <f t="array" ref="Q45">_xlfn.IFS(I45&gt;=3.5,"Excellent", I45&gt;3,"Good",I45&gt;2,"Average",I45&lt;2,"Poor")</f>
        <v>Good</v>
      </c>
      <c r="S45" t="b">
        <f t="shared" si="3"/>
        <v>1</v>
      </c>
      <c r="U45">
        <f t="shared" si="4"/>
        <v>2023</v>
      </c>
      <c r="AA45" t="str">
        <f t="shared" ca="1" si="1"/>
        <v/>
      </c>
    </row>
    <row r="46" spans="1:27" x14ac:dyDescent="0.3">
      <c r="A46" t="s">
        <v>113</v>
      </c>
      <c r="B46" t="s">
        <v>114</v>
      </c>
      <c r="C46" t="s">
        <v>54</v>
      </c>
      <c r="D46" t="s">
        <v>31</v>
      </c>
      <c r="E46" s="1">
        <v>44649</v>
      </c>
      <c r="F46" t="s">
        <v>14</v>
      </c>
      <c r="G46">
        <v>12461</v>
      </c>
      <c r="H46">
        <v>5874</v>
      </c>
      <c r="I46">
        <v>2.31</v>
      </c>
      <c r="J46">
        <v>114</v>
      </c>
      <c r="P46">
        <f t="shared" ca="1" si="2"/>
        <v>1203</v>
      </c>
      <c r="Q46" t="str" cm="1">
        <f t="array" ref="Q46">_xlfn.IFS(I46&gt;=3.5,"Excellent", I46&gt;3,"Good",I46&gt;2,"Average",I46&lt;2,"Poor")</f>
        <v>Average</v>
      </c>
      <c r="S46" t="str">
        <f t="shared" si="3"/>
        <v xml:space="preserve"> </v>
      </c>
      <c r="U46">
        <f t="shared" si="4"/>
        <v>2022</v>
      </c>
      <c r="AA46" t="str">
        <f t="shared" ca="1" si="1"/>
        <v/>
      </c>
    </row>
    <row r="47" spans="1:27" x14ac:dyDescent="0.3">
      <c r="A47" t="s">
        <v>115</v>
      </c>
      <c r="B47" t="s">
        <v>116</v>
      </c>
      <c r="C47" t="s">
        <v>36</v>
      </c>
      <c r="D47" t="s">
        <v>13</v>
      </c>
      <c r="E47" s="1">
        <v>45160</v>
      </c>
      <c r="F47" t="s">
        <v>14</v>
      </c>
      <c r="G47">
        <v>13677</v>
      </c>
      <c r="H47">
        <v>7817</v>
      </c>
      <c r="I47">
        <v>3.39</v>
      </c>
      <c r="J47">
        <v>74</v>
      </c>
      <c r="P47">
        <f t="shared" ca="1" si="2"/>
        <v>692</v>
      </c>
      <c r="Q47" t="str" cm="1">
        <f t="array" ref="Q47">_xlfn.IFS(I47&gt;=3.5,"Excellent", I47&gt;3,"Good",I47&gt;2,"Average",I47&lt;2,"Poor")</f>
        <v>Good</v>
      </c>
      <c r="S47" t="b">
        <f t="shared" si="3"/>
        <v>1</v>
      </c>
      <c r="U47">
        <f t="shared" si="4"/>
        <v>2023</v>
      </c>
      <c r="AA47" t="str">
        <f t="shared" ca="1" si="1"/>
        <v/>
      </c>
    </row>
    <row r="48" spans="1:27" x14ac:dyDescent="0.3">
      <c r="A48" t="s">
        <v>117</v>
      </c>
      <c r="B48" t="s">
        <v>118</v>
      </c>
      <c r="C48" t="s">
        <v>22</v>
      </c>
      <c r="D48" t="s">
        <v>13</v>
      </c>
      <c r="E48" s="1">
        <v>45170</v>
      </c>
      <c r="F48" t="s">
        <v>14</v>
      </c>
      <c r="G48">
        <v>9276</v>
      </c>
      <c r="H48">
        <v>5837</v>
      </c>
      <c r="I48">
        <v>3.16</v>
      </c>
      <c r="J48">
        <v>92</v>
      </c>
      <c r="P48">
        <f t="shared" ca="1" si="2"/>
        <v>682</v>
      </c>
      <c r="Q48" t="str" cm="1">
        <f t="array" ref="Q48">_xlfn.IFS(I48&gt;=3.5,"Excellent", I48&gt;3,"Good",I48&gt;2,"Average",I48&lt;2,"Poor")</f>
        <v>Good</v>
      </c>
      <c r="S48" t="b">
        <f t="shared" si="3"/>
        <v>1</v>
      </c>
      <c r="U48">
        <f t="shared" si="4"/>
        <v>2023</v>
      </c>
      <c r="AA48" t="str">
        <f t="shared" ca="1" si="1"/>
        <v/>
      </c>
    </row>
    <row r="49" spans="1:27" x14ac:dyDescent="0.3">
      <c r="A49" t="s">
        <v>119</v>
      </c>
      <c r="B49" t="s">
        <v>120</v>
      </c>
      <c r="C49" t="s">
        <v>12</v>
      </c>
      <c r="D49" t="s">
        <v>18</v>
      </c>
      <c r="E49" s="1">
        <v>45182</v>
      </c>
      <c r="F49" t="s">
        <v>14</v>
      </c>
      <c r="G49">
        <v>2183</v>
      </c>
      <c r="H49">
        <v>7214</v>
      </c>
      <c r="I49">
        <v>3.33</v>
      </c>
      <c r="J49">
        <v>97</v>
      </c>
      <c r="P49">
        <f t="shared" ca="1" si="2"/>
        <v>670</v>
      </c>
      <c r="Q49" t="str" cm="1">
        <f t="array" ref="Q49">_xlfn.IFS(I49&gt;=3.5,"Excellent", I49&gt;3,"Good",I49&gt;2,"Average",I49&lt;2,"Poor")</f>
        <v>Good</v>
      </c>
      <c r="S49" t="b">
        <f t="shared" si="3"/>
        <v>1</v>
      </c>
      <c r="U49">
        <f t="shared" si="4"/>
        <v>2023</v>
      </c>
      <c r="AA49" t="str">
        <f t="shared" ca="1" si="1"/>
        <v/>
      </c>
    </row>
    <row r="50" spans="1:27" x14ac:dyDescent="0.3">
      <c r="A50" t="s">
        <v>121</v>
      </c>
      <c r="B50" t="s">
        <v>122</v>
      </c>
      <c r="C50" t="s">
        <v>22</v>
      </c>
      <c r="D50" t="s">
        <v>13</v>
      </c>
      <c r="E50" s="1">
        <v>45042</v>
      </c>
      <c r="F50" t="s">
        <v>19</v>
      </c>
      <c r="G50">
        <v>6227</v>
      </c>
      <c r="H50">
        <v>5349</v>
      </c>
      <c r="I50">
        <v>3.85</v>
      </c>
      <c r="J50">
        <v>75</v>
      </c>
      <c r="P50" t="str">
        <f t="shared" ca="1" si="2"/>
        <v xml:space="preserve"> </v>
      </c>
      <c r="Q50" t="str" cm="1">
        <f t="array" ref="Q50">_xlfn.IFS(I50&gt;=3.5,"Excellent", I50&gt;3,"Good",I50&gt;2,"Average",I50&lt;2,"Poor")</f>
        <v>Excellent</v>
      </c>
      <c r="S50" t="b">
        <f t="shared" si="3"/>
        <v>1</v>
      </c>
      <c r="U50">
        <f t="shared" si="4"/>
        <v>2023</v>
      </c>
      <c r="AA50">
        <f t="shared" ca="1" si="1"/>
        <v>810</v>
      </c>
    </row>
    <row r="51" spans="1:27" x14ac:dyDescent="0.3">
      <c r="A51" t="s">
        <v>123</v>
      </c>
      <c r="B51" t="s">
        <v>124</v>
      </c>
      <c r="C51" t="s">
        <v>28</v>
      </c>
      <c r="D51" t="s">
        <v>13</v>
      </c>
      <c r="E51" s="1">
        <v>44599</v>
      </c>
      <c r="F51" t="s">
        <v>14</v>
      </c>
      <c r="G51">
        <v>4500</v>
      </c>
      <c r="H51">
        <v>1352</v>
      </c>
      <c r="I51">
        <v>2.91</v>
      </c>
      <c r="J51">
        <v>87</v>
      </c>
      <c r="P51">
        <f t="shared" ca="1" si="2"/>
        <v>1253</v>
      </c>
      <c r="Q51" t="str" cm="1">
        <f t="array" ref="Q51">_xlfn.IFS(I51&gt;=3.5,"Excellent", I51&gt;3,"Good",I51&gt;2,"Average",I51&lt;2,"Poor")</f>
        <v>Average</v>
      </c>
      <c r="S51" t="str">
        <f t="shared" si="3"/>
        <v xml:space="preserve"> </v>
      </c>
      <c r="U51">
        <f t="shared" si="4"/>
        <v>2022</v>
      </c>
      <c r="AA51" t="str">
        <f t="shared" ca="1" si="1"/>
        <v/>
      </c>
    </row>
    <row r="52" spans="1:27" x14ac:dyDescent="0.3">
      <c r="A52" t="s">
        <v>125</v>
      </c>
      <c r="B52" t="s">
        <v>126</v>
      </c>
      <c r="C52" t="s">
        <v>36</v>
      </c>
      <c r="D52" t="s">
        <v>18</v>
      </c>
      <c r="E52" s="1">
        <v>45353</v>
      </c>
      <c r="F52" t="s">
        <v>14</v>
      </c>
      <c r="G52">
        <v>4615</v>
      </c>
      <c r="H52">
        <v>3667</v>
      </c>
      <c r="I52">
        <v>3.61</v>
      </c>
      <c r="J52">
        <v>41</v>
      </c>
      <c r="P52">
        <f t="shared" ca="1" si="2"/>
        <v>499</v>
      </c>
      <c r="Q52" t="str" cm="1">
        <f t="array" ref="Q52">_xlfn.IFS(I52&gt;=3.5,"Excellent", I52&gt;3,"Good",I52&gt;2,"Average",I52&lt;2,"Poor")</f>
        <v>Excellent</v>
      </c>
      <c r="S52" t="b">
        <f t="shared" si="3"/>
        <v>1</v>
      </c>
      <c r="U52">
        <f t="shared" si="4"/>
        <v>2024</v>
      </c>
      <c r="AA52" t="str">
        <f t="shared" ca="1" si="1"/>
        <v/>
      </c>
    </row>
    <row r="53" spans="1:27" x14ac:dyDescent="0.3">
      <c r="A53" t="s">
        <v>127</v>
      </c>
      <c r="B53" t="s">
        <v>128</v>
      </c>
      <c r="C53" t="s">
        <v>28</v>
      </c>
      <c r="D53" t="s">
        <v>62</v>
      </c>
      <c r="E53" s="1">
        <v>44705</v>
      </c>
      <c r="F53" t="s">
        <v>14</v>
      </c>
      <c r="G53">
        <v>11879</v>
      </c>
      <c r="H53">
        <v>1955</v>
      </c>
      <c r="I53">
        <v>3.1</v>
      </c>
      <c r="J53">
        <v>7</v>
      </c>
      <c r="P53">
        <f t="shared" ca="1" si="2"/>
        <v>1147</v>
      </c>
      <c r="Q53" t="str" cm="1">
        <f t="array" ref="Q53">_xlfn.IFS(I53&gt;=3.5,"Excellent", I53&gt;3,"Good",I53&gt;2,"Average",I53&lt;2,"Poor")</f>
        <v>Good</v>
      </c>
      <c r="S53" t="str">
        <f t="shared" si="3"/>
        <v xml:space="preserve"> </v>
      </c>
      <c r="U53">
        <f t="shared" si="4"/>
        <v>2022</v>
      </c>
      <c r="AA53" t="str">
        <f t="shared" ca="1" si="1"/>
        <v/>
      </c>
    </row>
    <row r="54" spans="1:27" x14ac:dyDescent="0.3">
      <c r="A54" t="s">
        <v>129</v>
      </c>
      <c r="B54" t="s">
        <v>130</v>
      </c>
      <c r="C54" t="s">
        <v>36</v>
      </c>
      <c r="D54" t="s">
        <v>62</v>
      </c>
      <c r="E54" s="1">
        <v>44893</v>
      </c>
      <c r="F54" t="s">
        <v>14</v>
      </c>
      <c r="G54">
        <v>4067</v>
      </c>
      <c r="H54">
        <v>6992</v>
      </c>
      <c r="I54">
        <v>2.34</v>
      </c>
      <c r="J54">
        <v>20</v>
      </c>
      <c r="P54">
        <f t="shared" ca="1" si="2"/>
        <v>959</v>
      </c>
      <c r="Q54" t="str" cm="1">
        <f t="array" ref="Q54">_xlfn.IFS(I54&gt;=3.5,"Excellent", I54&gt;3,"Good",I54&gt;2,"Average",I54&lt;2,"Poor")</f>
        <v>Average</v>
      </c>
      <c r="S54" t="b">
        <f t="shared" si="3"/>
        <v>1</v>
      </c>
      <c r="U54">
        <f t="shared" si="4"/>
        <v>2022</v>
      </c>
      <c r="AA54" t="str">
        <f t="shared" ca="1" si="1"/>
        <v/>
      </c>
    </row>
    <row r="55" spans="1:27" x14ac:dyDescent="0.3">
      <c r="A55" t="s">
        <v>131</v>
      </c>
      <c r="B55" t="s">
        <v>132</v>
      </c>
      <c r="C55" t="s">
        <v>25</v>
      </c>
      <c r="D55" t="s">
        <v>18</v>
      </c>
      <c r="E55" s="1">
        <v>44998</v>
      </c>
      <c r="F55" t="s">
        <v>19</v>
      </c>
      <c r="G55">
        <v>4873</v>
      </c>
      <c r="H55">
        <v>4377</v>
      </c>
      <c r="I55">
        <v>3.78</v>
      </c>
      <c r="J55">
        <v>80</v>
      </c>
      <c r="P55" t="str">
        <f t="shared" ca="1" si="2"/>
        <v xml:space="preserve"> </v>
      </c>
      <c r="Q55" t="str" cm="1">
        <f t="array" ref="Q55">_xlfn.IFS(I55&gt;=3.5,"Excellent", I55&gt;3,"Good",I55&gt;2,"Average",I55&lt;2,"Poor")</f>
        <v>Excellent</v>
      </c>
      <c r="S55" t="b">
        <f t="shared" si="3"/>
        <v>1</v>
      </c>
      <c r="U55">
        <f t="shared" si="4"/>
        <v>2023</v>
      </c>
      <c r="AA55">
        <f t="shared" ca="1" si="1"/>
        <v>854</v>
      </c>
    </row>
    <row r="56" spans="1:27" x14ac:dyDescent="0.3">
      <c r="A56" t="s">
        <v>133</v>
      </c>
      <c r="B56" t="s">
        <v>134</v>
      </c>
      <c r="C56" t="s">
        <v>17</v>
      </c>
      <c r="D56" t="s">
        <v>62</v>
      </c>
      <c r="E56" s="1">
        <v>44930</v>
      </c>
      <c r="F56" t="s">
        <v>14</v>
      </c>
      <c r="G56">
        <v>3391</v>
      </c>
      <c r="H56">
        <v>8884</v>
      </c>
      <c r="I56">
        <v>3.88</v>
      </c>
      <c r="J56">
        <v>59</v>
      </c>
      <c r="P56">
        <f t="shared" ca="1" si="2"/>
        <v>922</v>
      </c>
      <c r="Q56" t="str" cm="1">
        <f t="array" ref="Q56">_xlfn.IFS(I56&gt;=3.5,"Excellent", I56&gt;3,"Good",I56&gt;2,"Average",I56&lt;2,"Poor")</f>
        <v>Excellent</v>
      </c>
      <c r="S56" t="b">
        <f t="shared" si="3"/>
        <v>1</v>
      </c>
      <c r="U56">
        <f t="shared" si="4"/>
        <v>2023</v>
      </c>
      <c r="AA56" t="str">
        <f t="shared" ca="1" si="1"/>
        <v/>
      </c>
    </row>
    <row r="57" spans="1:27" x14ac:dyDescent="0.3">
      <c r="A57" t="s">
        <v>135</v>
      </c>
      <c r="B57" t="s">
        <v>136</v>
      </c>
      <c r="C57" t="s">
        <v>25</v>
      </c>
      <c r="D57" t="s">
        <v>62</v>
      </c>
      <c r="E57" s="1">
        <v>45300</v>
      </c>
      <c r="F57" t="s">
        <v>14</v>
      </c>
      <c r="G57">
        <v>10808</v>
      </c>
      <c r="H57">
        <v>8868</v>
      </c>
      <c r="I57">
        <v>2.4300000000000002</v>
      </c>
      <c r="J57">
        <v>18</v>
      </c>
      <c r="P57">
        <f t="shared" ca="1" si="2"/>
        <v>552</v>
      </c>
      <c r="Q57" t="str" cm="1">
        <f t="array" ref="Q57">_xlfn.IFS(I57&gt;=3.5,"Excellent", I57&gt;3,"Good",I57&gt;2,"Average",I57&lt;2,"Poor")</f>
        <v>Average</v>
      </c>
      <c r="S57" t="b">
        <f t="shared" si="3"/>
        <v>1</v>
      </c>
      <c r="U57">
        <f t="shared" si="4"/>
        <v>2024</v>
      </c>
      <c r="AA57" t="str">
        <f t="shared" ca="1" si="1"/>
        <v/>
      </c>
    </row>
    <row r="58" spans="1:27" x14ac:dyDescent="0.3">
      <c r="A58" t="s">
        <v>137</v>
      </c>
      <c r="B58" t="s">
        <v>138</v>
      </c>
      <c r="C58" t="s">
        <v>54</v>
      </c>
      <c r="D58" t="s">
        <v>13</v>
      </c>
      <c r="E58" s="1">
        <v>44785</v>
      </c>
      <c r="F58" t="s">
        <v>14</v>
      </c>
      <c r="G58">
        <v>5739</v>
      </c>
      <c r="H58">
        <v>9881</v>
      </c>
      <c r="I58">
        <v>2.42</v>
      </c>
      <c r="J58">
        <v>78</v>
      </c>
      <c r="P58">
        <f t="shared" ca="1" si="2"/>
        <v>1067</v>
      </c>
      <c r="Q58" t="str" cm="1">
        <f t="array" ref="Q58">_xlfn.IFS(I58&gt;=3.5,"Excellent", I58&gt;3,"Good",I58&gt;2,"Average",I58&lt;2,"Poor")</f>
        <v>Average</v>
      </c>
      <c r="S58" t="b">
        <f t="shared" si="3"/>
        <v>1</v>
      </c>
      <c r="U58">
        <f t="shared" si="4"/>
        <v>2022</v>
      </c>
      <c r="AA58" t="str">
        <f t="shared" ca="1" si="1"/>
        <v/>
      </c>
    </row>
    <row r="59" spans="1:27" x14ac:dyDescent="0.3">
      <c r="A59" t="s">
        <v>139</v>
      </c>
      <c r="B59" t="s">
        <v>140</v>
      </c>
      <c r="C59" t="s">
        <v>22</v>
      </c>
      <c r="D59" t="s">
        <v>31</v>
      </c>
      <c r="E59" s="1">
        <v>45086</v>
      </c>
      <c r="F59" t="s">
        <v>14</v>
      </c>
      <c r="G59">
        <v>4317</v>
      </c>
      <c r="H59">
        <v>4541</v>
      </c>
      <c r="I59">
        <v>3.49</v>
      </c>
      <c r="J59">
        <v>107</v>
      </c>
      <c r="P59">
        <f t="shared" ca="1" si="2"/>
        <v>766</v>
      </c>
      <c r="Q59" t="str" cm="1">
        <f t="array" ref="Q59">_xlfn.IFS(I59&gt;=3.5,"Excellent", I59&gt;3,"Good",I59&gt;2,"Average",I59&lt;2,"Poor")</f>
        <v>Good</v>
      </c>
      <c r="S59" t="b">
        <f t="shared" si="3"/>
        <v>1</v>
      </c>
      <c r="U59">
        <f t="shared" si="4"/>
        <v>2023</v>
      </c>
      <c r="AA59" t="str">
        <f t="shared" ca="1" si="1"/>
        <v/>
      </c>
    </row>
    <row r="60" spans="1:27" x14ac:dyDescent="0.3">
      <c r="A60" t="s">
        <v>141</v>
      </c>
      <c r="B60" t="s">
        <v>142</v>
      </c>
      <c r="C60" t="s">
        <v>17</v>
      </c>
      <c r="D60" t="s">
        <v>18</v>
      </c>
      <c r="E60" s="1">
        <v>45255</v>
      </c>
      <c r="F60" t="s">
        <v>39</v>
      </c>
      <c r="G60">
        <v>7954</v>
      </c>
      <c r="H60">
        <v>9329</v>
      </c>
      <c r="I60">
        <v>3.4</v>
      </c>
      <c r="J60">
        <v>64</v>
      </c>
      <c r="P60" t="str">
        <f t="shared" ca="1" si="2"/>
        <v xml:space="preserve"> </v>
      </c>
      <c r="Q60" t="str" cm="1">
        <f t="array" ref="Q60">_xlfn.IFS(I60&gt;=3.5,"Excellent", I60&gt;3,"Good",I60&gt;2,"Average",I60&lt;2,"Poor")</f>
        <v>Good</v>
      </c>
      <c r="S60" t="b">
        <f t="shared" si="3"/>
        <v>1</v>
      </c>
      <c r="U60">
        <f t="shared" si="4"/>
        <v>2023</v>
      </c>
      <c r="AA60" t="str">
        <f t="shared" ca="1" si="1"/>
        <v/>
      </c>
    </row>
    <row r="61" spans="1:27" x14ac:dyDescent="0.3">
      <c r="A61" t="s">
        <v>143</v>
      </c>
      <c r="B61" t="s">
        <v>144</v>
      </c>
      <c r="C61" t="s">
        <v>54</v>
      </c>
      <c r="D61" t="s">
        <v>18</v>
      </c>
      <c r="E61" s="1">
        <v>44786</v>
      </c>
      <c r="F61" t="s">
        <v>39</v>
      </c>
      <c r="G61">
        <v>10043</v>
      </c>
      <c r="H61">
        <v>631</v>
      </c>
      <c r="I61">
        <v>2.68</v>
      </c>
      <c r="J61">
        <v>77</v>
      </c>
      <c r="P61" t="str">
        <f t="shared" ca="1" si="2"/>
        <v xml:space="preserve"> </v>
      </c>
      <c r="Q61" t="str" cm="1">
        <f t="array" ref="Q61">_xlfn.IFS(I61&gt;=3.5,"Excellent", I61&gt;3,"Good",I61&gt;2,"Average",I61&lt;2,"Poor")</f>
        <v>Average</v>
      </c>
      <c r="S61" t="str">
        <f t="shared" si="3"/>
        <v xml:space="preserve"> </v>
      </c>
      <c r="U61">
        <f t="shared" si="4"/>
        <v>2022</v>
      </c>
      <c r="AA61" t="str">
        <f t="shared" ca="1" si="1"/>
        <v/>
      </c>
    </row>
    <row r="62" spans="1:27" x14ac:dyDescent="0.3">
      <c r="A62" t="s">
        <v>145</v>
      </c>
      <c r="B62" t="s">
        <v>146</v>
      </c>
      <c r="C62" t="s">
        <v>36</v>
      </c>
      <c r="D62" t="s">
        <v>62</v>
      </c>
      <c r="E62" s="1">
        <v>44870</v>
      </c>
      <c r="F62" t="s">
        <v>14</v>
      </c>
      <c r="G62">
        <v>6418</v>
      </c>
      <c r="H62">
        <v>3384</v>
      </c>
      <c r="I62">
        <v>2</v>
      </c>
      <c r="J62">
        <v>93</v>
      </c>
      <c r="P62">
        <f t="shared" ca="1" si="2"/>
        <v>982</v>
      </c>
      <c r="Q62" t="e" cm="1">
        <f t="array" ref="Q62">_xlfn.IFS(I62&gt;=3.5,"Excellent", I62&gt;3,"Good",I62&gt;2,"Average",I62&lt;2,"Poor")</f>
        <v>#N/A</v>
      </c>
      <c r="S62" t="b">
        <f t="shared" si="3"/>
        <v>1</v>
      </c>
      <c r="U62">
        <f t="shared" si="4"/>
        <v>2022</v>
      </c>
      <c r="AA62" t="str">
        <f t="shared" ca="1" si="1"/>
        <v/>
      </c>
    </row>
    <row r="63" spans="1:27" x14ac:dyDescent="0.3">
      <c r="A63" t="s">
        <v>147</v>
      </c>
      <c r="B63" t="s">
        <v>148</v>
      </c>
      <c r="C63" t="s">
        <v>36</v>
      </c>
      <c r="D63" t="s">
        <v>62</v>
      </c>
      <c r="E63" s="1">
        <v>45256</v>
      </c>
      <c r="F63" t="s">
        <v>14</v>
      </c>
      <c r="G63">
        <v>4274</v>
      </c>
      <c r="H63">
        <v>2777</v>
      </c>
      <c r="I63">
        <v>3.53</v>
      </c>
      <c r="J63">
        <v>22</v>
      </c>
      <c r="P63">
        <f t="shared" ca="1" si="2"/>
        <v>596</v>
      </c>
      <c r="Q63" t="str" cm="1">
        <f t="array" ref="Q63">_xlfn.IFS(I63&gt;=3.5,"Excellent", I63&gt;3,"Good",I63&gt;2,"Average",I63&lt;2,"Poor")</f>
        <v>Excellent</v>
      </c>
      <c r="S63" t="b">
        <f t="shared" si="3"/>
        <v>1</v>
      </c>
      <c r="U63">
        <f t="shared" si="4"/>
        <v>2023</v>
      </c>
      <c r="AA63" t="str">
        <f t="shared" ca="1" si="1"/>
        <v/>
      </c>
    </row>
    <row r="64" spans="1:27" x14ac:dyDescent="0.3">
      <c r="A64" t="s">
        <v>149</v>
      </c>
      <c r="B64" t="s">
        <v>150</v>
      </c>
      <c r="C64" t="s">
        <v>25</v>
      </c>
      <c r="D64" t="s">
        <v>62</v>
      </c>
      <c r="E64" s="1">
        <v>44736</v>
      </c>
      <c r="F64" t="s">
        <v>14</v>
      </c>
      <c r="G64">
        <v>14423</v>
      </c>
      <c r="H64">
        <v>883</v>
      </c>
      <c r="I64">
        <v>2.12</v>
      </c>
      <c r="J64">
        <v>84</v>
      </c>
      <c r="P64">
        <f t="shared" ca="1" si="2"/>
        <v>1116</v>
      </c>
      <c r="Q64" t="str" cm="1">
        <f t="array" ref="Q64">_xlfn.IFS(I64&gt;=3.5,"Excellent", I64&gt;3,"Good",I64&gt;2,"Average",I64&lt;2,"Poor")</f>
        <v>Average</v>
      </c>
      <c r="S64" t="str">
        <f t="shared" si="3"/>
        <v xml:space="preserve"> </v>
      </c>
      <c r="U64">
        <f t="shared" si="4"/>
        <v>2022</v>
      </c>
      <c r="AA64" t="str">
        <f t="shared" ca="1" si="1"/>
        <v/>
      </c>
    </row>
    <row r="65" spans="1:27" x14ac:dyDescent="0.3">
      <c r="A65" t="s">
        <v>151</v>
      </c>
      <c r="B65" t="s">
        <v>152</v>
      </c>
      <c r="C65" t="s">
        <v>12</v>
      </c>
      <c r="D65" t="s">
        <v>18</v>
      </c>
      <c r="E65" s="1">
        <v>44801</v>
      </c>
      <c r="F65" t="s">
        <v>19</v>
      </c>
      <c r="G65">
        <v>5263</v>
      </c>
      <c r="H65">
        <v>8683</v>
      </c>
      <c r="I65">
        <v>2.31</v>
      </c>
      <c r="J65">
        <v>45</v>
      </c>
      <c r="P65" t="str">
        <f t="shared" ca="1" si="2"/>
        <v xml:space="preserve"> </v>
      </c>
      <c r="Q65" t="str" cm="1">
        <f t="array" ref="Q65">_xlfn.IFS(I65&gt;=3.5,"Excellent", I65&gt;3,"Good",I65&gt;2,"Average",I65&lt;2,"Poor")</f>
        <v>Average</v>
      </c>
      <c r="S65" t="b">
        <f t="shared" si="3"/>
        <v>1</v>
      </c>
      <c r="U65">
        <f t="shared" si="4"/>
        <v>2022</v>
      </c>
      <c r="AA65">
        <f t="shared" ca="1" si="1"/>
        <v>1051</v>
      </c>
    </row>
    <row r="66" spans="1:27" x14ac:dyDescent="0.3">
      <c r="A66" t="s">
        <v>153</v>
      </c>
      <c r="B66" t="s">
        <v>154</v>
      </c>
      <c r="C66" t="s">
        <v>22</v>
      </c>
      <c r="D66" t="s">
        <v>18</v>
      </c>
      <c r="E66" s="1">
        <v>44884</v>
      </c>
      <c r="F66" t="s">
        <v>14</v>
      </c>
      <c r="G66">
        <v>11418</v>
      </c>
      <c r="H66">
        <v>7383</v>
      </c>
      <c r="I66">
        <v>2.23</v>
      </c>
      <c r="J66">
        <v>98</v>
      </c>
      <c r="P66">
        <f t="shared" ca="1" si="2"/>
        <v>968</v>
      </c>
      <c r="Q66" t="str" cm="1">
        <f t="array" ref="Q66">_xlfn.IFS(I66&gt;=3.5,"Excellent", I66&gt;3,"Good",I66&gt;2,"Average",I66&lt;2,"Poor")</f>
        <v>Average</v>
      </c>
      <c r="S66" t="b">
        <f t="shared" si="3"/>
        <v>1</v>
      </c>
      <c r="U66">
        <f t="shared" si="4"/>
        <v>2022</v>
      </c>
      <c r="AA66" t="str">
        <f t="shared" ca="1" si="1"/>
        <v/>
      </c>
    </row>
    <row r="67" spans="1:27" x14ac:dyDescent="0.3">
      <c r="A67" t="s">
        <v>155</v>
      </c>
      <c r="B67" t="s">
        <v>156</v>
      </c>
      <c r="C67" t="s">
        <v>17</v>
      </c>
      <c r="D67" t="s">
        <v>62</v>
      </c>
      <c r="E67" s="1">
        <v>45102</v>
      </c>
      <c r="F67" t="s">
        <v>14</v>
      </c>
      <c r="G67">
        <v>12257</v>
      </c>
      <c r="H67">
        <v>1265</v>
      </c>
      <c r="I67">
        <v>2.67</v>
      </c>
      <c r="J67">
        <v>77</v>
      </c>
      <c r="P67">
        <f t="shared" ref="P67:P130" ca="1" si="5">IF(F67="Enrolled",TODAY()-E67, " ")</f>
        <v>750</v>
      </c>
      <c r="Q67" t="str" cm="1">
        <f t="array" ref="Q67">_xlfn.IFS(I67&gt;=3.5,"Excellent", I67&gt;3,"Good",I67&gt;2,"Average",I67&lt;2,"Poor")</f>
        <v>Average</v>
      </c>
      <c r="S67" t="str">
        <f t="shared" ref="S67:S130" si="6">IF(H67&gt;0.5*G67,TRUE, " " )</f>
        <v xml:space="preserve"> </v>
      </c>
      <c r="U67">
        <f t="shared" ref="U67:U130" si="7">YEAR(E67)</f>
        <v>2023</v>
      </c>
      <c r="AA67" t="str">
        <f t="shared" ref="AA67:AA130" ca="1" si="8">IF(F67="Completed",TODAY()-E67,"")</f>
        <v/>
      </c>
    </row>
    <row r="68" spans="1:27" x14ac:dyDescent="0.3">
      <c r="A68" t="s">
        <v>157</v>
      </c>
      <c r="B68" t="s">
        <v>158</v>
      </c>
      <c r="C68" t="s">
        <v>28</v>
      </c>
      <c r="D68" t="s">
        <v>31</v>
      </c>
      <c r="E68" s="1">
        <v>45061</v>
      </c>
      <c r="F68" t="s">
        <v>14</v>
      </c>
      <c r="G68">
        <v>11963</v>
      </c>
      <c r="H68">
        <v>6042</v>
      </c>
      <c r="I68">
        <v>3.93</v>
      </c>
      <c r="J68">
        <v>15</v>
      </c>
      <c r="P68">
        <f t="shared" ca="1" si="5"/>
        <v>791</v>
      </c>
      <c r="Q68" t="str" cm="1">
        <f t="array" ref="Q68">_xlfn.IFS(I68&gt;=3.5,"Excellent", I68&gt;3,"Good",I68&gt;2,"Average",I68&lt;2,"Poor")</f>
        <v>Excellent</v>
      </c>
      <c r="S68" t="b">
        <f t="shared" si="6"/>
        <v>1</v>
      </c>
      <c r="U68">
        <f t="shared" si="7"/>
        <v>2023</v>
      </c>
      <c r="AA68" t="str">
        <f t="shared" ca="1" si="8"/>
        <v/>
      </c>
    </row>
    <row r="69" spans="1:27" x14ac:dyDescent="0.3">
      <c r="A69" t="s">
        <v>159</v>
      </c>
      <c r="B69" t="s">
        <v>160</v>
      </c>
      <c r="C69" t="s">
        <v>28</v>
      </c>
      <c r="D69" t="s">
        <v>31</v>
      </c>
      <c r="E69" s="1">
        <v>45185</v>
      </c>
      <c r="F69" t="s">
        <v>14</v>
      </c>
      <c r="G69">
        <v>14287</v>
      </c>
      <c r="H69">
        <v>7031</v>
      </c>
      <c r="I69">
        <v>3.57</v>
      </c>
      <c r="J69">
        <v>47</v>
      </c>
      <c r="P69">
        <f t="shared" ca="1" si="5"/>
        <v>667</v>
      </c>
      <c r="Q69" t="str" cm="1">
        <f t="array" ref="Q69">_xlfn.IFS(I69&gt;=3.5,"Excellent", I69&gt;3,"Good",I69&gt;2,"Average",I69&lt;2,"Poor")</f>
        <v>Excellent</v>
      </c>
      <c r="S69" t="str">
        <f t="shared" si="6"/>
        <v xml:space="preserve"> </v>
      </c>
      <c r="U69">
        <f t="shared" si="7"/>
        <v>2023</v>
      </c>
      <c r="AA69" t="str">
        <f t="shared" ca="1" si="8"/>
        <v/>
      </c>
    </row>
    <row r="70" spans="1:27" x14ac:dyDescent="0.3">
      <c r="A70" t="s">
        <v>161</v>
      </c>
      <c r="B70" t="s">
        <v>162</v>
      </c>
      <c r="C70" t="s">
        <v>22</v>
      </c>
      <c r="D70" t="s">
        <v>18</v>
      </c>
      <c r="E70" s="1">
        <v>45097</v>
      </c>
      <c r="F70" t="s">
        <v>14</v>
      </c>
      <c r="G70">
        <v>13017</v>
      </c>
      <c r="H70">
        <v>5214</v>
      </c>
      <c r="I70">
        <v>3.64</v>
      </c>
      <c r="J70">
        <v>1</v>
      </c>
      <c r="P70">
        <f t="shared" ca="1" si="5"/>
        <v>755</v>
      </c>
      <c r="Q70" t="str" cm="1">
        <f t="array" ref="Q70">_xlfn.IFS(I70&gt;=3.5,"Excellent", I70&gt;3,"Good",I70&gt;2,"Average",I70&lt;2,"Poor")</f>
        <v>Excellent</v>
      </c>
      <c r="S70" t="str">
        <f t="shared" si="6"/>
        <v xml:space="preserve"> </v>
      </c>
      <c r="U70">
        <f t="shared" si="7"/>
        <v>2023</v>
      </c>
      <c r="AA70" t="str">
        <f t="shared" ca="1" si="8"/>
        <v/>
      </c>
    </row>
    <row r="71" spans="1:27" x14ac:dyDescent="0.3">
      <c r="A71" t="s">
        <v>163</v>
      </c>
      <c r="B71" t="s">
        <v>164</v>
      </c>
      <c r="C71" t="s">
        <v>36</v>
      </c>
      <c r="D71" t="s">
        <v>13</v>
      </c>
      <c r="E71" s="1">
        <v>44858</v>
      </c>
      <c r="F71" t="s">
        <v>14</v>
      </c>
      <c r="G71">
        <v>5312</v>
      </c>
      <c r="H71">
        <v>9048</v>
      </c>
      <c r="I71">
        <v>3.35</v>
      </c>
      <c r="J71">
        <v>66</v>
      </c>
      <c r="P71">
        <f t="shared" ca="1" si="5"/>
        <v>994</v>
      </c>
      <c r="Q71" t="str" cm="1">
        <f t="array" ref="Q71">_xlfn.IFS(I71&gt;=3.5,"Excellent", I71&gt;3,"Good",I71&gt;2,"Average",I71&lt;2,"Poor")</f>
        <v>Good</v>
      </c>
      <c r="S71" t="b">
        <f t="shared" si="6"/>
        <v>1</v>
      </c>
      <c r="U71">
        <f t="shared" si="7"/>
        <v>2022</v>
      </c>
      <c r="AA71" t="str">
        <f t="shared" ca="1" si="8"/>
        <v/>
      </c>
    </row>
    <row r="72" spans="1:27" x14ac:dyDescent="0.3">
      <c r="A72" t="s">
        <v>165</v>
      </c>
      <c r="B72" t="s">
        <v>166</v>
      </c>
      <c r="C72" t="s">
        <v>17</v>
      </c>
      <c r="D72" t="s">
        <v>62</v>
      </c>
      <c r="E72" s="1">
        <v>45156</v>
      </c>
      <c r="F72" t="s">
        <v>14</v>
      </c>
      <c r="G72">
        <v>3888</v>
      </c>
      <c r="H72">
        <v>3552</v>
      </c>
      <c r="I72">
        <v>3.89</v>
      </c>
      <c r="J72">
        <v>104</v>
      </c>
      <c r="P72">
        <f t="shared" ca="1" si="5"/>
        <v>696</v>
      </c>
      <c r="Q72" t="str" cm="1">
        <f t="array" ref="Q72">_xlfn.IFS(I72&gt;=3.5,"Excellent", I72&gt;3,"Good",I72&gt;2,"Average",I72&lt;2,"Poor")</f>
        <v>Excellent</v>
      </c>
      <c r="S72" t="b">
        <f t="shared" si="6"/>
        <v>1</v>
      </c>
      <c r="U72">
        <f t="shared" si="7"/>
        <v>2023</v>
      </c>
      <c r="AA72" t="str">
        <f t="shared" ca="1" si="8"/>
        <v/>
      </c>
    </row>
    <row r="73" spans="1:27" x14ac:dyDescent="0.3">
      <c r="A73" t="s">
        <v>167</v>
      </c>
      <c r="B73" t="s">
        <v>168</v>
      </c>
      <c r="C73" t="s">
        <v>17</v>
      </c>
      <c r="D73" t="s">
        <v>18</v>
      </c>
      <c r="E73" s="1">
        <v>44599</v>
      </c>
      <c r="F73" t="s">
        <v>14</v>
      </c>
      <c r="G73">
        <v>5609</v>
      </c>
      <c r="H73">
        <v>3376</v>
      </c>
      <c r="I73">
        <v>2.75</v>
      </c>
      <c r="J73">
        <v>105</v>
      </c>
      <c r="P73">
        <f t="shared" ca="1" si="5"/>
        <v>1253</v>
      </c>
      <c r="Q73" t="str" cm="1">
        <f t="array" ref="Q73">_xlfn.IFS(I73&gt;=3.5,"Excellent", I73&gt;3,"Good",I73&gt;2,"Average",I73&lt;2,"Poor")</f>
        <v>Average</v>
      </c>
      <c r="S73" t="b">
        <f t="shared" si="6"/>
        <v>1</v>
      </c>
      <c r="U73">
        <f t="shared" si="7"/>
        <v>2022</v>
      </c>
      <c r="AA73" t="str">
        <f t="shared" ca="1" si="8"/>
        <v/>
      </c>
    </row>
    <row r="74" spans="1:27" x14ac:dyDescent="0.3">
      <c r="A74" t="s">
        <v>169</v>
      </c>
      <c r="B74" t="s">
        <v>170</v>
      </c>
      <c r="C74" t="s">
        <v>28</v>
      </c>
      <c r="D74" t="s">
        <v>18</v>
      </c>
      <c r="E74" s="1">
        <v>44672</v>
      </c>
      <c r="F74" t="s">
        <v>14</v>
      </c>
      <c r="G74">
        <v>12778</v>
      </c>
      <c r="H74">
        <v>4343</v>
      </c>
      <c r="I74">
        <v>2.79</v>
      </c>
      <c r="J74">
        <v>109</v>
      </c>
      <c r="P74">
        <f t="shared" ca="1" si="5"/>
        <v>1180</v>
      </c>
      <c r="Q74" t="str" cm="1">
        <f t="array" ref="Q74">_xlfn.IFS(I74&gt;=3.5,"Excellent", I74&gt;3,"Good",I74&gt;2,"Average",I74&lt;2,"Poor")</f>
        <v>Average</v>
      </c>
      <c r="S74" t="str">
        <f t="shared" si="6"/>
        <v xml:space="preserve"> </v>
      </c>
      <c r="U74">
        <f t="shared" si="7"/>
        <v>2022</v>
      </c>
      <c r="AA74" t="str">
        <f t="shared" ca="1" si="8"/>
        <v/>
      </c>
    </row>
    <row r="75" spans="1:27" x14ac:dyDescent="0.3">
      <c r="A75" t="s">
        <v>171</v>
      </c>
      <c r="B75" t="s">
        <v>172</v>
      </c>
      <c r="C75" t="s">
        <v>36</v>
      </c>
      <c r="D75" t="s">
        <v>13</v>
      </c>
      <c r="E75" s="1">
        <v>45237</v>
      </c>
      <c r="F75" t="s">
        <v>19</v>
      </c>
      <c r="G75">
        <v>13270</v>
      </c>
      <c r="H75">
        <v>5520</v>
      </c>
      <c r="I75">
        <v>2.12</v>
      </c>
      <c r="J75">
        <v>111</v>
      </c>
      <c r="P75" t="str">
        <f t="shared" ca="1" si="5"/>
        <v xml:space="preserve"> </v>
      </c>
      <c r="Q75" t="str" cm="1">
        <f t="array" ref="Q75">_xlfn.IFS(I75&gt;=3.5,"Excellent", I75&gt;3,"Good",I75&gt;2,"Average",I75&lt;2,"Poor")</f>
        <v>Average</v>
      </c>
      <c r="S75" t="str">
        <f t="shared" si="6"/>
        <v xml:space="preserve"> </v>
      </c>
      <c r="U75">
        <f t="shared" si="7"/>
        <v>2023</v>
      </c>
      <c r="AA75">
        <f t="shared" ca="1" si="8"/>
        <v>615</v>
      </c>
    </row>
    <row r="76" spans="1:27" x14ac:dyDescent="0.3">
      <c r="A76" t="s">
        <v>173</v>
      </c>
      <c r="B76" t="s">
        <v>174</v>
      </c>
      <c r="C76" t="s">
        <v>25</v>
      </c>
      <c r="D76" t="s">
        <v>18</v>
      </c>
      <c r="E76" s="1">
        <v>44745</v>
      </c>
      <c r="F76" t="s">
        <v>14</v>
      </c>
      <c r="G76">
        <v>13617</v>
      </c>
      <c r="H76">
        <v>7511</v>
      </c>
      <c r="I76">
        <v>3.37</v>
      </c>
      <c r="J76">
        <v>72</v>
      </c>
      <c r="P76">
        <f t="shared" ca="1" si="5"/>
        <v>1107</v>
      </c>
      <c r="Q76" t="str" cm="1">
        <f t="array" ref="Q76">_xlfn.IFS(I76&gt;=3.5,"Excellent", I76&gt;3,"Good",I76&gt;2,"Average",I76&lt;2,"Poor")</f>
        <v>Good</v>
      </c>
      <c r="S76" t="b">
        <f t="shared" si="6"/>
        <v>1</v>
      </c>
      <c r="U76">
        <f t="shared" si="7"/>
        <v>2022</v>
      </c>
      <c r="AA76" t="str">
        <f t="shared" ca="1" si="8"/>
        <v/>
      </c>
    </row>
    <row r="77" spans="1:27" x14ac:dyDescent="0.3">
      <c r="A77" t="s">
        <v>175</v>
      </c>
      <c r="B77" t="s">
        <v>176</v>
      </c>
      <c r="C77" t="s">
        <v>22</v>
      </c>
      <c r="D77" t="s">
        <v>31</v>
      </c>
      <c r="E77" s="1">
        <v>44750</v>
      </c>
      <c r="F77" t="s">
        <v>39</v>
      </c>
      <c r="G77">
        <v>5155</v>
      </c>
      <c r="H77">
        <v>596</v>
      </c>
      <c r="I77">
        <v>3.34</v>
      </c>
      <c r="J77">
        <v>18</v>
      </c>
      <c r="P77" t="str">
        <f t="shared" ca="1" si="5"/>
        <v xml:space="preserve"> </v>
      </c>
      <c r="Q77" t="str" cm="1">
        <f t="array" ref="Q77">_xlfn.IFS(I77&gt;=3.5,"Excellent", I77&gt;3,"Good",I77&gt;2,"Average",I77&lt;2,"Poor")</f>
        <v>Good</v>
      </c>
      <c r="S77" t="str">
        <f t="shared" si="6"/>
        <v xml:space="preserve"> </v>
      </c>
      <c r="U77">
        <f t="shared" si="7"/>
        <v>2022</v>
      </c>
      <c r="AA77" t="str">
        <f t="shared" ca="1" si="8"/>
        <v/>
      </c>
    </row>
    <row r="78" spans="1:27" x14ac:dyDescent="0.3">
      <c r="A78" t="s">
        <v>177</v>
      </c>
      <c r="B78" t="s">
        <v>178</v>
      </c>
      <c r="C78" t="s">
        <v>17</v>
      </c>
      <c r="D78" t="s">
        <v>62</v>
      </c>
      <c r="E78" s="1">
        <v>44896</v>
      </c>
      <c r="F78" t="s">
        <v>14</v>
      </c>
      <c r="G78">
        <v>14298</v>
      </c>
      <c r="H78">
        <v>5064</v>
      </c>
      <c r="I78">
        <v>3.83</v>
      </c>
      <c r="J78">
        <v>17</v>
      </c>
      <c r="P78">
        <f t="shared" ca="1" si="5"/>
        <v>956</v>
      </c>
      <c r="Q78" t="str" cm="1">
        <f t="array" ref="Q78">_xlfn.IFS(I78&gt;=3.5,"Excellent", I78&gt;3,"Good",I78&gt;2,"Average",I78&lt;2,"Poor")</f>
        <v>Excellent</v>
      </c>
      <c r="S78" t="str">
        <f t="shared" si="6"/>
        <v xml:space="preserve"> </v>
      </c>
      <c r="U78">
        <f t="shared" si="7"/>
        <v>2022</v>
      </c>
      <c r="AA78" t="str">
        <f t="shared" ca="1" si="8"/>
        <v/>
      </c>
    </row>
    <row r="79" spans="1:27" x14ac:dyDescent="0.3">
      <c r="A79" t="s">
        <v>179</v>
      </c>
      <c r="B79" t="s">
        <v>180</v>
      </c>
      <c r="C79" t="s">
        <v>17</v>
      </c>
      <c r="D79" t="s">
        <v>13</v>
      </c>
      <c r="E79" s="1">
        <v>45058</v>
      </c>
      <c r="F79" t="s">
        <v>14</v>
      </c>
      <c r="G79">
        <v>4932</v>
      </c>
      <c r="H79">
        <v>9149</v>
      </c>
      <c r="I79">
        <v>2.38</v>
      </c>
      <c r="J79">
        <v>32</v>
      </c>
      <c r="P79">
        <f t="shared" ca="1" si="5"/>
        <v>794</v>
      </c>
      <c r="Q79" t="str" cm="1">
        <f t="array" ref="Q79">_xlfn.IFS(I79&gt;=3.5,"Excellent", I79&gt;3,"Good",I79&gt;2,"Average",I79&lt;2,"Poor")</f>
        <v>Average</v>
      </c>
      <c r="S79" t="b">
        <f t="shared" si="6"/>
        <v>1</v>
      </c>
      <c r="U79">
        <f t="shared" si="7"/>
        <v>2023</v>
      </c>
      <c r="AA79" t="str">
        <f t="shared" ca="1" si="8"/>
        <v/>
      </c>
    </row>
    <row r="80" spans="1:27" x14ac:dyDescent="0.3">
      <c r="A80" t="s">
        <v>181</v>
      </c>
      <c r="B80" t="s">
        <v>182</v>
      </c>
      <c r="C80" t="s">
        <v>54</v>
      </c>
      <c r="D80" t="s">
        <v>18</v>
      </c>
      <c r="E80" s="1">
        <v>45287</v>
      </c>
      <c r="F80" t="s">
        <v>14</v>
      </c>
      <c r="G80">
        <v>14685</v>
      </c>
      <c r="H80">
        <v>9078</v>
      </c>
      <c r="I80">
        <v>2.02</v>
      </c>
      <c r="J80">
        <v>27</v>
      </c>
      <c r="P80">
        <f t="shared" ca="1" si="5"/>
        <v>565</v>
      </c>
      <c r="Q80" t="str" cm="1">
        <f t="array" ref="Q80">_xlfn.IFS(I80&gt;=3.5,"Excellent", I80&gt;3,"Good",I80&gt;2,"Average",I80&lt;2,"Poor")</f>
        <v>Average</v>
      </c>
      <c r="S80" t="b">
        <f t="shared" si="6"/>
        <v>1</v>
      </c>
      <c r="U80">
        <f t="shared" si="7"/>
        <v>2023</v>
      </c>
      <c r="AA80" t="str">
        <f t="shared" ca="1" si="8"/>
        <v/>
      </c>
    </row>
    <row r="81" spans="1:27" x14ac:dyDescent="0.3">
      <c r="A81" t="s">
        <v>183</v>
      </c>
      <c r="B81" t="s">
        <v>184</v>
      </c>
      <c r="C81" t="s">
        <v>22</v>
      </c>
      <c r="D81" t="s">
        <v>13</v>
      </c>
      <c r="E81" s="1">
        <v>45438</v>
      </c>
      <c r="F81" t="s">
        <v>14</v>
      </c>
      <c r="G81">
        <v>4021</v>
      </c>
      <c r="H81">
        <v>9984</v>
      </c>
      <c r="I81">
        <v>2.65</v>
      </c>
      <c r="J81">
        <v>55</v>
      </c>
      <c r="P81">
        <f t="shared" ca="1" si="5"/>
        <v>414</v>
      </c>
      <c r="Q81" t="str" cm="1">
        <f t="array" ref="Q81">_xlfn.IFS(I81&gt;=3.5,"Excellent", I81&gt;3,"Good",I81&gt;2,"Average",I81&lt;2,"Poor")</f>
        <v>Average</v>
      </c>
      <c r="S81" t="b">
        <f t="shared" si="6"/>
        <v>1</v>
      </c>
      <c r="U81">
        <f t="shared" si="7"/>
        <v>2024</v>
      </c>
      <c r="AA81" t="str">
        <f t="shared" ca="1" si="8"/>
        <v/>
      </c>
    </row>
    <row r="82" spans="1:27" x14ac:dyDescent="0.3">
      <c r="A82" t="s">
        <v>185</v>
      </c>
      <c r="B82" t="s">
        <v>186</v>
      </c>
      <c r="C82" t="s">
        <v>22</v>
      </c>
      <c r="D82" t="s">
        <v>31</v>
      </c>
      <c r="E82" s="1">
        <v>45172</v>
      </c>
      <c r="F82" t="s">
        <v>14</v>
      </c>
      <c r="G82">
        <v>14754</v>
      </c>
      <c r="H82">
        <v>8580</v>
      </c>
      <c r="I82">
        <v>3.89</v>
      </c>
      <c r="J82">
        <v>68</v>
      </c>
      <c r="P82">
        <f t="shared" ca="1" si="5"/>
        <v>680</v>
      </c>
      <c r="Q82" t="str" cm="1">
        <f t="array" ref="Q82">_xlfn.IFS(I82&gt;=3.5,"Excellent", I82&gt;3,"Good",I82&gt;2,"Average",I82&lt;2,"Poor")</f>
        <v>Excellent</v>
      </c>
      <c r="S82" t="b">
        <f t="shared" si="6"/>
        <v>1</v>
      </c>
      <c r="U82">
        <f t="shared" si="7"/>
        <v>2023</v>
      </c>
      <c r="AA82" t="str">
        <f t="shared" ca="1" si="8"/>
        <v/>
      </c>
    </row>
    <row r="83" spans="1:27" x14ac:dyDescent="0.3">
      <c r="A83" t="s">
        <v>187</v>
      </c>
      <c r="B83" t="s">
        <v>188</v>
      </c>
      <c r="C83" t="s">
        <v>57</v>
      </c>
      <c r="D83" t="s">
        <v>62</v>
      </c>
      <c r="E83" s="1">
        <v>44824</v>
      </c>
      <c r="F83" t="s">
        <v>39</v>
      </c>
      <c r="G83">
        <v>7359</v>
      </c>
      <c r="H83">
        <v>9908</v>
      </c>
      <c r="I83">
        <v>3.53</v>
      </c>
      <c r="J83">
        <v>35</v>
      </c>
      <c r="P83" t="str">
        <f t="shared" ca="1" si="5"/>
        <v xml:space="preserve"> </v>
      </c>
      <c r="Q83" t="str" cm="1">
        <f t="array" ref="Q83">_xlfn.IFS(I83&gt;=3.5,"Excellent", I83&gt;3,"Good",I83&gt;2,"Average",I83&lt;2,"Poor")</f>
        <v>Excellent</v>
      </c>
      <c r="S83" t="b">
        <f t="shared" si="6"/>
        <v>1</v>
      </c>
      <c r="U83">
        <f t="shared" si="7"/>
        <v>2022</v>
      </c>
      <c r="AA83" t="str">
        <f t="shared" ca="1" si="8"/>
        <v/>
      </c>
    </row>
    <row r="84" spans="1:27" x14ac:dyDescent="0.3">
      <c r="A84" t="s">
        <v>189</v>
      </c>
      <c r="B84" t="s">
        <v>190</v>
      </c>
      <c r="C84" t="s">
        <v>36</v>
      </c>
      <c r="D84" t="s">
        <v>62</v>
      </c>
      <c r="E84" s="1">
        <v>44653</v>
      </c>
      <c r="F84" t="s">
        <v>14</v>
      </c>
      <c r="G84">
        <v>9833</v>
      </c>
      <c r="H84">
        <v>1595</v>
      </c>
      <c r="I84">
        <v>3.64</v>
      </c>
      <c r="J84">
        <v>28</v>
      </c>
      <c r="P84">
        <f t="shared" ca="1" si="5"/>
        <v>1199</v>
      </c>
      <c r="Q84" t="str" cm="1">
        <f t="array" ref="Q84">_xlfn.IFS(I84&gt;=3.5,"Excellent", I84&gt;3,"Good",I84&gt;2,"Average",I84&lt;2,"Poor")</f>
        <v>Excellent</v>
      </c>
      <c r="S84" t="str">
        <f t="shared" si="6"/>
        <v xml:space="preserve"> </v>
      </c>
      <c r="U84">
        <f t="shared" si="7"/>
        <v>2022</v>
      </c>
      <c r="AA84" t="str">
        <f t="shared" ca="1" si="8"/>
        <v/>
      </c>
    </row>
    <row r="85" spans="1:27" x14ac:dyDescent="0.3">
      <c r="A85" t="s">
        <v>191</v>
      </c>
      <c r="B85" t="s">
        <v>192</v>
      </c>
      <c r="C85" t="s">
        <v>25</v>
      </c>
      <c r="D85" t="s">
        <v>31</v>
      </c>
      <c r="E85" s="1">
        <v>45186</v>
      </c>
      <c r="F85" t="s">
        <v>19</v>
      </c>
      <c r="G85">
        <v>9039</v>
      </c>
      <c r="H85">
        <v>6799</v>
      </c>
      <c r="I85">
        <v>2.57</v>
      </c>
      <c r="J85">
        <v>74</v>
      </c>
      <c r="P85" t="str">
        <f t="shared" ca="1" si="5"/>
        <v xml:space="preserve"> </v>
      </c>
      <c r="Q85" t="str" cm="1">
        <f t="array" ref="Q85">_xlfn.IFS(I85&gt;=3.5,"Excellent", I85&gt;3,"Good",I85&gt;2,"Average",I85&lt;2,"Poor")</f>
        <v>Average</v>
      </c>
      <c r="S85" t="b">
        <f t="shared" si="6"/>
        <v>1</v>
      </c>
      <c r="U85">
        <f t="shared" si="7"/>
        <v>2023</v>
      </c>
      <c r="AA85">
        <f t="shared" ca="1" si="8"/>
        <v>666</v>
      </c>
    </row>
    <row r="86" spans="1:27" x14ac:dyDescent="0.3">
      <c r="A86" t="s">
        <v>193</v>
      </c>
      <c r="B86" t="s">
        <v>194</v>
      </c>
      <c r="C86" t="s">
        <v>25</v>
      </c>
      <c r="D86" t="s">
        <v>13</v>
      </c>
      <c r="E86" s="1">
        <v>44627</v>
      </c>
      <c r="F86" t="s">
        <v>19</v>
      </c>
      <c r="G86">
        <v>7072</v>
      </c>
      <c r="H86">
        <v>3108</v>
      </c>
      <c r="I86">
        <v>3.66</v>
      </c>
      <c r="J86">
        <v>82</v>
      </c>
      <c r="P86" t="str">
        <f t="shared" ca="1" si="5"/>
        <v xml:space="preserve"> </v>
      </c>
      <c r="Q86" t="str" cm="1">
        <f t="array" ref="Q86">_xlfn.IFS(I86&gt;=3.5,"Excellent", I86&gt;3,"Good",I86&gt;2,"Average",I86&lt;2,"Poor")</f>
        <v>Excellent</v>
      </c>
      <c r="S86" t="str">
        <f t="shared" si="6"/>
        <v xml:space="preserve"> </v>
      </c>
      <c r="U86">
        <f t="shared" si="7"/>
        <v>2022</v>
      </c>
      <c r="AA86">
        <f t="shared" ca="1" si="8"/>
        <v>1225</v>
      </c>
    </row>
    <row r="87" spans="1:27" x14ac:dyDescent="0.3">
      <c r="A87" t="s">
        <v>195</v>
      </c>
      <c r="B87" t="s">
        <v>196</v>
      </c>
      <c r="C87" t="s">
        <v>36</v>
      </c>
      <c r="D87" t="s">
        <v>31</v>
      </c>
      <c r="E87" s="1">
        <v>44894</v>
      </c>
      <c r="F87" t="s">
        <v>14</v>
      </c>
      <c r="G87">
        <v>14564</v>
      </c>
      <c r="H87">
        <v>9872</v>
      </c>
      <c r="I87">
        <v>2.64</v>
      </c>
      <c r="J87">
        <v>81</v>
      </c>
      <c r="P87">
        <f t="shared" ca="1" si="5"/>
        <v>958</v>
      </c>
      <c r="Q87" t="str" cm="1">
        <f t="array" ref="Q87">_xlfn.IFS(I87&gt;=3.5,"Excellent", I87&gt;3,"Good",I87&gt;2,"Average",I87&lt;2,"Poor")</f>
        <v>Average</v>
      </c>
      <c r="S87" t="b">
        <f t="shared" si="6"/>
        <v>1</v>
      </c>
      <c r="U87">
        <f t="shared" si="7"/>
        <v>2022</v>
      </c>
      <c r="AA87" t="str">
        <f t="shared" ca="1" si="8"/>
        <v/>
      </c>
    </row>
    <row r="88" spans="1:27" x14ac:dyDescent="0.3">
      <c r="A88" t="s">
        <v>197</v>
      </c>
      <c r="B88" t="s">
        <v>198</v>
      </c>
      <c r="C88" t="s">
        <v>54</v>
      </c>
      <c r="D88" t="s">
        <v>18</v>
      </c>
      <c r="E88" s="1">
        <v>44839</v>
      </c>
      <c r="F88" t="s">
        <v>14</v>
      </c>
      <c r="G88">
        <v>9580</v>
      </c>
      <c r="H88">
        <v>3701</v>
      </c>
      <c r="I88">
        <v>2.27</v>
      </c>
      <c r="J88">
        <v>14</v>
      </c>
      <c r="P88">
        <f t="shared" ca="1" si="5"/>
        <v>1013</v>
      </c>
      <c r="Q88" t="str" cm="1">
        <f t="array" ref="Q88">_xlfn.IFS(I88&gt;=3.5,"Excellent", I88&gt;3,"Good",I88&gt;2,"Average",I88&lt;2,"Poor")</f>
        <v>Average</v>
      </c>
      <c r="S88" t="str">
        <f t="shared" si="6"/>
        <v xml:space="preserve"> </v>
      </c>
      <c r="U88">
        <f t="shared" si="7"/>
        <v>2022</v>
      </c>
      <c r="AA88" t="str">
        <f t="shared" ca="1" si="8"/>
        <v/>
      </c>
    </row>
    <row r="89" spans="1:27" x14ac:dyDescent="0.3">
      <c r="A89" t="s">
        <v>199</v>
      </c>
      <c r="B89" t="s">
        <v>200</v>
      </c>
      <c r="C89" t="s">
        <v>22</v>
      </c>
      <c r="D89" t="s">
        <v>62</v>
      </c>
      <c r="E89" s="1">
        <v>44801</v>
      </c>
      <c r="F89" t="s">
        <v>14</v>
      </c>
      <c r="G89">
        <v>13295</v>
      </c>
      <c r="H89">
        <v>1841</v>
      </c>
      <c r="I89">
        <v>2.4</v>
      </c>
      <c r="J89">
        <v>41</v>
      </c>
      <c r="P89">
        <f t="shared" ca="1" si="5"/>
        <v>1051</v>
      </c>
      <c r="Q89" t="str" cm="1">
        <f t="array" ref="Q89">_xlfn.IFS(I89&gt;=3.5,"Excellent", I89&gt;3,"Good",I89&gt;2,"Average",I89&lt;2,"Poor")</f>
        <v>Average</v>
      </c>
      <c r="S89" t="str">
        <f t="shared" si="6"/>
        <v xml:space="preserve"> </v>
      </c>
      <c r="U89">
        <f t="shared" si="7"/>
        <v>2022</v>
      </c>
      <c r="AA89" t="str">
        <f t="shared" ca="1" si="8"/>
        <v/>
      </c>
    </row>
    <row r="90" spans="1:27" x14ac:dyDescent="0.3">
      <c r="A90" t="s">
        <v>201</v>
      </c>
      <c r="B90" t="s">
        <v>202</v>
      </c>
      <c r="C90" t="s">
        <v>36</v>
      </c>
      <c r="D90" t="s">
        <v>13</v>
      </c>
      <c r="E90" s="1">
        <v>45073</v>
      </c>
      <c r="F90" t="s">
        <v>14</v>
      </c>
      <c r="G90">
        <v>13755</v>
      </c>
      <c r="H90">
        <v>1211</v>
      </c>
      <c r="I90">
        <v>2.92</v>
      </c>
      <c r="J90">
        <v>95</v>
      </c>
      <c r="P90">
        <f t="shared" ca="1" si="5"/>
        <v>779</v>
      </c>
      <c r="Q90" t="str" cm="1">
        <f t="array" ref="Q90">_xlfn.IFS(I90&gt;=3.5,"Excellent", I90&gt;3,"Good",I90&gt;2,"Average",I90&lt;2,"Poor")</f>
        <v>Average</v>
      </c>
      <c r="S90" t="str">
        <f t="shared" si="6"/>
        <v xml:space="preserve"> </v>
      </c>
      <c r="U90">
        <f t="shared" si="7"/>
        <v>2023</v>
      </c>
      <c r="AA90" t="str">
        <f t="shared" ca="1" si="8"/>
        <v/>
      </c>
    </row>
    <row r="91" spans="1:27" x14ac:dyDescent="0.3">
      <c r="A91" t="s">
        <v>203</v>
      </c>
      <c r="B91" t="s">
        <v>204</v>
      </c>
      <c r="C91" t="s">
        <v>22</v>
      </c>
      <c r="D91" t="s">
        <v>62</v>
      </c>
      <c r="E91" s="1">
        <v>44946</v>
      </c>
      <c r="F91" t="s">
        <v>19</v>
      </c>
      <c r="G91">
        <v>5803</v>
      </c>
      <c r="H91">
        <v>4278</v>
      </c>
      <c r="I91">
        <v>3.56</v>
      </c>
      <c r="J91">
        <v>54</v>
      </c>
      <c r="P91" t="str">
        <f t="shared" ca="1" si="5"/>
        <v xml:space="preserve"> </v>
      </c>
      <c r="Q91" t="str" cm="1">
        <f t="array" ref="Q91">_xlfn.IFS(I91&gt;=3.5,"Excellent", I91&gt;3,"Good",I91&gt;2,"Average",I91&lt;2,"Poor")</f>
        <v>Excellent</v>
      </c>
      <c r="S91" t="b">
        <f t="shared" si="6"/>
        <v>1</v>
      </c>
      <c r="U91">
        <f t="shared" si="7"/>
        <v>2023</v>
      </c>
      <c r="AA91">
        <f t="shared" ca="1" si="8"/>
        <v>906</v>
      </c>
    </row>
    <row r="92" spans="1:27" x14ac:dyDescent="0.3">
      <c r="A92" t="s">
        <v>205</v>
      </c>
      <c r="B92" t="s">
        <v>206</v>
      </c>
      <c r="C92" t="s">
        <v>25</v>
      </c>
      <c r="D92" t="s">
        <v>13</v>
      </c>
      <c r="E92" s="1">
        <v>44620</v>
      </c>
      <c r="F92" t="s">
        <v>19</v>
      </c>
      <c r="G92">
        <v>4425</v>
      </c>
      <c r="H92">
        <v>3762</v>
      </c>
      <c r="I92">
        <v>3.25</v>
      </c>
      <c r="J92">
        <v>88</v>
      </c>
      <c r="P92" t="str">
        <f t="shared" ca="1" si="5"/>
        <v xml:space="preserve"> </v>
      </c>
      <c r="Q92" t="str" cm="1">
        <f t="array" ref="Q92">_xlfn.IFS(I92&gt;=3.5,"Excellent", I92&gt;3,"Good",I92&gt;2,"Average",I92&lt;2,"Poor")</f>
        <v>Good</v>
      </c>
      <c r="S92" t="b">
        <f t="shared" si="6"/>
        <v>1</v>
      </c>
      <c r="U92">
        <f t="shared" si="7"/>
        <v>2022</v>
      </c>
      <c r="AA92">
        <f t="shared" ca="1" si="8"/>
        <v>1232</v>
      </c>
    </row>
    <row r="93" spans="1:27" x14ac:dyDescent="0.3">
      <c r="A93" t="s">
        <v>207</v>
      </c>
      <c r="B93" t="s">
        <v>208</v>
      </c>
      <c r="C93" t="s">
        <v>57</v>
      </c>
      <c r="D93" t="s">
        <v>31</v>
      </c>
      <c r="E93" s="1">
        <v>45013</v>
      </c>
      <c r="F93" t="s">
        <v>14</v>
      </c>
      <c r="G93">
        <v>10595</v>
      </c>
      <c r="H93">
        <v>583</v>
      </c>
      <c r="I93">
        <v>2.06</v>
      </c>
      <c r="J93">
        <v>53</v>
      </c>
      <c r="P93">
        <f t="shared" ca="1" si="5"/>
        <v>839</v>
      </c>
      <c r="Q93" t="str" cm="1">
        <f t="array" ref="Q93">_xlfn.IFS(I93&gt;=3.5,"Excellent", I93&gt;3,"Good",I93&gt;2,"Average",I93&lt;2,"Poor")</f>
        <v>Average</v>
      </c>
      <c r="S93" t="str">
        <f t="shared" si="6"/>
        <v xml:space="preserve"> </v>
      </c>
      <c r="U93">
        <f t="shared" si="7"/>
        <v>2023</v>
      </c>
      <c r="AA93" t="str">
        <f t="shared" ca="1" si="8"/>
        <v/>
      </c>
    </row>
    <row r="94" spans="1:27" x14ac:dyDescent="0.3">
      <c r="A94" t="s">
        <v>209</v>
      </c>
      <c r="B94" t="s">
        <v>210</v>
      </c>
      <c r="C94" t="s">
        <v>54</v>
      </c>
      <c r="D94" t="s">
        <v>62</v>
      </c>
      <c r="E94" s="1">
        <v>44877</v>
      </c>
      <c r="F94" t="s">
        <v>14</v>
      </c>
      <c r="G94">
        <v>4640</v>
      </c>
      <c r="H94">
        <v>9029</v>
      </c>
      <c r="I94">
        <v>2.2000000000000002</v>
      </c>
      <c r="J94">
        <v>49</v>
      </c>
      <c r="P94">
        <f t="shared" ca="1" si="5"/>
        <v>975</v>
      </c>
      <c r="Q94" t="str" cm="1">
        <f t="array" ref="Q94">_xlfn.IFS(I94&gt;=3.5,"Excellent", I94&gt;3,"Good",I94&gt;2,"Average",I94&lt;2,"Poor")</f>
        <v>Average</v>
      </c>
      <c r="S94" t="b">
        <f t="shared" si="6"/>
        <v>1</v>
      </c>
      <c r="U94">
        <f t="shared" si="7"/>
        <v>2022</v>
      </c>
      <c r="AA94" t="str">
        <f t="shared" ca="1" si="8"/>
        <v/>
      </c>
    </row>
    <row r="95" spans="1:27" x14ac:dyDescent="0.3">
      <c r="A95" t="s">
        <v>211</v>
      </c>
      <c r="B95" t="s">
        <v>212</v>
      </c>
      <c r="C95" t="s">
        <v>22</v>
      </c>
      <c r="D95" t="s">
        <v>18</v>
      </c>
      <c r="E95" s="1">
        <v>44934</v>
      </c>
      <c r="F95" t="s">
        <v>14</v>
      </c>
      <c r="G95">
        <v>10193</v>
      </c>
      <c r="H95">
        <v>2692</v>
      </c>
      <c r="I95">
        <v>2.72</v>
      </c>
      <c r="J95">
        <v>65</v>
      </c>
      <c r="P95">
        <f t="shared" ca="1" si="5"/>
        <v>918</v>
      </c>
      <c r="Q95" t="str" cm="1">
        <f t="array" ref="Q95">_xlfn.IFS(I95&gt;=3.5,"Excellent", I95&gt;3,"Good",I95&gt;2,"Average",I95&lt;2,"Poor")</f>
        <v>Average</v>
      </c>
      <c r="S95" t="str">
        <f t="shared" si="6"/>
        <v xml:space="preserve"> </v>
      </c>
      <c r="U95">
        <f t="shared" si="7"/>
        <v>2023</v>
      </c>
      <c r="AA95" t="str">
        <f t="shared" ca="1" si="8"/>
        <v/>
      </c>
    </row>
    <row r="96" spans="1:27" x14ac:dyDescent="0.3">
      <c r="A96" t="s">
        <v>213</v>
      </c>
      <c r="B96" t="s">
        <v>214</v>
      </c>
      <c r="C96" t="s">
        <v>25</v>
      </c>
      <c r="D96" t="s">
        <v>13</v>
      </c>
      <c r="E96" s="1">
        <v>45293</v>
      </c>
      <c r="F96" t="s">
        <v>19</v>
      </c>
      <c r="G96">
        <v>8635</v>
      </c>
      <c r="H96">
        <v>4086</v>
      </c>
      <c r="I96">
        <v>3.63</v>
      </c>
      <c r="J96">
        <v>15</v>
      </c>
      <c r="P96" t="str">
        <f t="shared" ca="1" si="5"/>
        <v xml:space="preserve"> </v>
      </c>
      <c r="Q96" t="str" cm="1">
        <f t="array" ref="Q96">_xlfn.IFS(I96&gt;=3.5,"Excellent", I96&gt;3,"Good",I96&gt;2,"Average",I96&lt;2,"Poor")</f>
        <v>Excellent</v>
      </c>
      <c r="S96" t="str">
        <f t="shared" si="6"/>
        <v xml:space="preserve"> </v>
      </c>
      <c r="U96">
        <f t="shared" si="7"/>
        <v>2024</v>
      </c>
      <c r="AA96">
        <f t="shared" ca="1" si="8"/>
        <v>559</v>
      </c>
    </row>
    <row r="97" spans="1:27" x14ac:dyDescent="0.3">
      <c r="A97" t="s">
        <v>215</v>
      </c>
      <c r="B97" t="s">
        <v>216</v>
      </c>
      <c r="C97" t="s">
        <v>36</v>
      </c>
      <c r="D97" t="s">
        <v>62</v>
      </c>
      <c r="E97" s="1">
        <v>44632</v>
      </c>
      <c r="F97" t="s">
        <v>19</v>
      </c>
      <c r="G97">
        <v>14890</v>
      </c>
      <c r="H97">
        <v>2674</v>
      </c>
      <c r="I97">
        <v>3.17</v>
      </c>
      <c r="J97">
        <v>93</v>
      </c>
      <c r="P97" t="str">
        <f t="shared" ca="1" si="5"/>
        <v xml:space="preserve"> </v>
      </c>
      <c r="Q97" t="str" cm="1">
        <f t="array" ref="Q97">_xlfn.IFS(I97&gt;=3.5,"Excellent", I97&gt;3,"Good",I97&gt;2,"Average",I97&lt;2,"Poor")</f>
        <v>Good</v>
      </c>
      <c r="S97" t="str">
        <f t="shared" si="6"/>
        <v xml:space="preserve"> </v>
      </c>
      <c r="U97">
        <f t="shared" si="7"/>
        <v>2022</v>
      </c>
      <c r="AA97">
        <f t="shared" ca="1" si="8"/>
        <v>1220</v>
      </c>
    </row>
    <row r="98" spans="1:27" x14ac:dyDescent="0.3">
      <c r="A98" t="s">
        <v>217</v>
      </c>
      <c r="B98" t="s">
        <v>218</v>
      </c>
      <c r="C98" t="s">
        <v>17</v>
      </c>
      <c r="D98" t="s">
        <v>62</v>
      </c>
      <c r="E98" s="1">
        <v>44630</v>
      </c>
      <c r="F98" t="s">
        <v>14</v>
      </c>
      <c r="G98">
        <v>4942</v>
      </c>
      <c r="H98">
        <v>4382</v>
      </c>
      <c r="I98">
        <v>3.43</v>
      </c>
      <c r="J98">
        <v>39</v>
      </c>
      <c r="P98">
        <f t="shared" ca="1" si="5"/>
        <v>1222</v>
      </c>
      <c r="Q98" t="str" cm="1">
        <f t="array" ref="Q98">_xlfn.IFS(I98&gt;=3.5,"Excellent", I98&gt;3,"Good",I98&gt;2,"Average",I98&lt;2,"Poor")</f>
        <v>Good</v>
      </c>
      <c r="S98" t="b">
        <f t="shared" si="6"/>
        <v>1</v>
      </c>
      <c r="U98">
        <f t="shared" si="7"/>
        <v>2022</v>
      </c>
      <c r="AA98" t="str">
        <f t="shared" ca="1" si="8"/>
        <v/>
      </c>
    </row>
    <row r="99" spans="1:27" x14ac:dyDescent="0.3">
      <c r="A99" t="s">
        <v>219</v>
      </c>
      <c r="B99" t="s">
        <v>220</v>
      </c>
      <c r="C99" t="s">
        <v>28</v>
      </c>
      <c r="D99" t="s">
        <v>13</v>
      </c>
      <c r="E99" s="1">
        <v>45214</v>
      </c>
      <c r="F99" t="s">
        <v>14</v>
      </c>
      <c r="G99">
        <v>12134</v>
      </c>
      <c r="H99">
        <v>838</v>
      </c>
      <c r="I99">
        <v>3.48</v>
      </c>
      <c r="J99">
        <v>20</v>
      </c>
      <c r="P99">
        <f t="shared" ca="1" si="5"/>
        <v>638</v>
      </c>
      <c r="Q99" t="str" cm="1">
        <f t="array" ref="Q99">_xlfn.IFS(I99&gt;=3.5,"Excellent", I99&gt;3,"Good",I99&gt;2,"Average",I99&lt;2,"Poor")</f>
        <v>Good</v>
      </c>
      <c r="S99" t="str">
        <f t="shared" si="6"/>
        <v xml:space="preserve"> </v>
      </c>
      <c r="U99">
        <f t="shared" si="7"/>
        <v>2023</v>
      </c>
      <c r="AA99" t="str">
        <f t="shared" ca="1" si="8"/>
        <v/>
      </c>
    </row>
    <row r="100" spans="1:27" x14ac:dyDescent="0.3">
      <c r="A100" t="s">
        <v>221</v>
      </c>
      <c r="B100" t="s">
        <v>222</v>
      </c>
      <c r="C100" t="s">
        <v>36</v>
      </c>
      <c r="D100" t="s">
        <v>13</v>
      </c>
      <c r="E100" s="1">
        <v>44936</v>
      </c>
      <c r="F100" t="s">
        <v>14</v>
      </c>
      <c r="G100">
        <v>5970</v>
      </c>
      <c r="H100">
        <v>5622</v>
      </c>
      <c r="I100">
        <v>3.22</v>
      </c>
      <c r="J100">
        <v>118</v>
      </c>
      <c r="P100">
        <f t="shared" ca="1" si="5"/>
        <v>916</v>
      </c>
      <c r="Q100" t="str" cm="1">
        <f t="array" ref="Q100">_xlfn.IFS(I100&gt;=3.5,"Excellent", I100&gt;3,"Good",I100&gt;2,"Average",I100&lt;2,"Poor")</f>
        <v>Good</v>
      </c>
      <c r="S100" t="b">
        <f t="shared" si="6"/>
        <v>1</v>
      </c>
      <c r="U100">
        <f t="shared" si="7"/>
        <v>2023</v>
      </c>
      <c r="AA100" t="str">
        <f t="shared" ca="1" si="8"/>
        <v/>
      </c>
    </row>
    <row r="101" spans="1:27" x14ac:dyDescent="0.3">
      <c r="A101" t="s">
        <v>223</v>
      </c>
      <c r="B101" t="s">
        <v>224</v>
      </c>
      <c r="C101" t="s">
        <v>54</v>
      </c>
      <c r="D101" t="s">
        <v>31</v>
      </c>
      <c r="E101" s="1">
        <v>45200</v>
      </c>
      <c r="F101" t="s">
        <v>14</v>
      </c>
      <c r="G101">
        <v>4576</v>
      </c>
      <c r="H101">
        <v>8102</v>
      </c>
      <c r="I101">
        <v>2.91</v>
      </c>
      <c r="J101">
        <v>111</v>
      </c>
      <c r="P101">
        <f t="shared" ca="1" si="5"/>
        <v>652</v>
      </c>
      <c r="Q101" t="str" cm="1">
        <f t="array" ref="Q101">_xlfn.IFS(I101&gt;=3.5,"Excellent", I101&gt;3,"Good",I101&gt;2,"Average",I101&lt;2,"Poor")</f>
        <v>Average</v>
      </c>
      <c r="S101" t="b">
        <f t="shared" si="6"/>
        <v>1</v>
      </c>
      <c r="U101">
        <f t="shared" si="7"/>
        <v>2023</v>
      </c>
      <c r="AA101" t="str">
        <f t="shared" ca="1" si="8"/>
        <v/>
      </c>
    </row>
    <row r="102" spans="1:27" x14ac:dyDescent="0.3">
      <c r="A102" t="s">
        <v>225</v>
      </c>
      <c r="B102" t="s">
        <v>226</v>
      </c>
      <c r="C102" t="s">
        <v>54</v>
      </c>
      <c r="D102" t="s">
        <v>62</v>
      </c>
      <c r="E102" s="1">
        <v>44673</v>
      </c>
      <c r="F102" t="s">
        <v>19</v>
      </c>
      <c r="G102">
        <v>4673</v>
      </c>
      <c r="H102">
        <v>5393</v>
      </c>
      <c r="I102">
        <v>2.2799999999999998</v>
      </c>
      <c r="J102">
        <v>35</v>
      </c>
      <c r="P102" t="str">
        <f t="shared" ca="1" si="5"/>
        <v xml:space="preserve"> </v>
      </c>
      <c r="Q102" t="str" cm="1">
        <f t="array" ref="Q102">_xlfn.IFS(I102&gt;=3.5,"Excellent", I102&gt;3,"Good",I102&gt;2,"Average",I102&lt;2,"Poor")</f>
        <v>Average</v>
      </c>
      <c r="S102" t="b">
        <f t="shared" si="6"/>
        <v>1</v>
      </c>
      <c r="U102">
        <f t="shared" si="7"/>
        <v>2022</v>
      </c>
      <c r="AA102">
        <f t="shared" ca="1" si="8"/>
        <v>1179</v>
      </c>
    </row>
    <row r="103" spans="1:27" x14ac:dyDescent="0.3">
      <c r="A103" t="s">
        <v>227</v>
      </c>
      <c r="B103" t="s">
        <v>228</v>
      </c>
      <c r="C103" t="s">
        <v>22</v>
      </c>
      <c r="D103" t="s">
        <v>31</v>
      </c>
      <c r="E103" s="1">
        <v>44883</v>
      </c>
      <c r="F103" t="s">
        <v>19</v>
      </c>
      <c r="G103">
        <v>11777</v>
      </c>
      <c r="H103">
        <v>5757</v>
      </c>
      <c r="I103">
        <v>3.22</v>
      </c>
      <c r="J103">
        <v>19</v>
      </c>
      <c r="P103" t="str">
        <f t="shared" ca="1" si="5"/>
        <v xml:space="preserve"> </v>
      </c>
      <c r="Q103" t="str" cm="1">
        <f t="array" ref="Q103">_xlfn.IFS(I103&gt;=3.5,"Excellent", I103&gt;3,"Good",I103&gt;2,"Average",I103&lt;2,"Poor")</f>
        <v>Good</v>
      </c>
      <c r="S103" t="str">
        <f t="shared" si="6"/>
        <v xml:space="preserve"> </v>
      </c>
      <c r="U103">
        <f t="shared" si="7"/>
        <v>2022</v>
      </c>
      <c r="AA103">
        <f t="shared" ca="1" si="8"/>
        <v>969</v>
      </c>
    </row>
    <row r="104" spans="1:27" x14ac:dyDescent="0.3">
      <c r="A104" t="s">
        <v>229</v>
      </c>
      <c r="B104" t="s">
        <v>230</v>
      </c>
      <c r="C104" t="s">
        <v>36</v>
      </c>
      <c r="D104" t="s">
        <v>18</v>
      </c>
      <c r="E104" s="1">
        <v>45415</v>
      </c>
      <c r="F104" t="s">
        <v>14</v>
      </c>
      <c r="G104">
        <v>3948</v>
      </c>
      <c r="H104">
        <v>913</v>
      </c>
      <c r="I104">
        <v>3.44</v>
      </c>
      <c r="J104">
        <v>101</v>
      </c>
      <c r="P104">
        <f t="shared" ca="1" si="5"/>
        <v>437</v>
      </c>
      <c r="Q104" t="str" cm="1">
        <f t="array" ref="Q104">_xlfn.IFS(I104&gt;=3.5,"Excellent", I104&gt;3,"Good",I104&gt;2,"Average",I104&lt;2,"Poor")</f>
        <v>Good</v>
      </c>
      <c r="S104" t="str">
        <f t="shared" si="6"/>
        <v xml:space="preserve"> </v>
      </c>
      <c r="U104">
        <f t="shared" si="7"/>
        <v>2024</v>
      </c>
      <c r="AA104" t="str">
        <f t="shared" ca="1" si="8"/>
        <v/>
      </c>
    </row>
    <row r="105" spans="1:27" x14ac:dyDescent="0.3">
      <c r="A105" t="s">
        <v>231</v>
      </c>
      <c r="B105" t="s">
        <v>232</v>
      </c>
      <c r="C105" t="s">
        <v>57</v>
      </c>
      <c r="D105" t="s">
        <v>31</v>
      </c>
      <c r="E105" s="1">
        <v>45150</v>
      </c>
      <c r="F105" t="s">
        <v>19</v>
      </c>
      <c r="G105">
        <v>3512</v>
      </c>
      <c r="H105">
        <v>4473</v>
      </c>
      <c r="I105">
        <v>2.92</v>
      </c>
      <c r="J105">
        <v>63</v>
      </c>
      <c r="P105" t="str">
        <f t="shared" ca="1" si="5"/>
        <v xml:space="preserve"> </v>
      </c>
      <c r="Q105" t="str" cm="1">
        <f t="array" ref="Q105">_xlfn.IFS(I105&gt;=3.5,"Excellent", I105&gt;3,"Good",I105&gt;2,"Average",I105&lt;2,"Poor")</f>
        <v>Average</v>
      </c>
      <c r="S105" t="b">
        <f t="shared" si="6"/>
        <v>1</v>
      </c>
      <c r="U105">
        <f t="shared" si="7"/>
        <v>2023</v>
      </c>
      <c r="AA105">
        <f t="shared" ca="1" si="8"/>
        <v>702</v>
      </c>
    </row>
    <row r="106" spans="1:27" x14ac:dyDescent="0.3">
      <c r="A106" t="s">
        <v>233</v>
      </c>
      <c r="B106" t="s">
        <v>234</v>
      </c>
      <c r="C106" t="s">
        <v>17</v>
      </c>
      <c r="D106" t="s">
        <v>31</v>
      </c>
      <c r="E106" s="1">
        <v>45456</v>
      </c>
      <c r="F106" t="s">
        <v>14</v>
      </c>
      <c r="G106">
        <v>4717</v>
      </c>
      <c r="H106">
        <v>7462</v>
      </c>
      <c r="I106">
        <v>3.58</v>
      </c>
      <c r="J106">
        <v>1</v>
      </c>
      <c r="P106">
        <f t="shared" ca="1" si="5"/>
        <v>396</v>
      </c>
      <c r="Q106" t="str" cm="1">
        <f t="array" ref="Q106">_xlfn.IFS(I106&gt;=3.5,"Excellent", I106&gt;3,"Good",I106&gt;2,"Average",I106&lt;2,"Poor")</f>
        <v>Excellent</v>
      </c>
      <c r="S106" t="b">
        <f t="shared" si="6"/>
        <v>1</v>
      </c>
      <c r="U106">
        <f t="shared" si="7"/>
        <v>2024</v>
      </c>
      <c r="AA106" t="str">
        <f t="shared" ca="1" si="8"/>
        <v/>
      </c>
    </row>
    <row r="107" spans="1:27" x14ac:dyDescent="0.3">
      <c r="A107" t="s">
        <v>235</v>
      </c>
      <c r="B107" t="s">
        <v>236</v>
      </c>
      <c r="C107" t="s">
        <v>22</v>
      </c>
      <c r="D107" t="s">
        <v>13</v>
      </c>
      <c r="E107" s="1">
        <v>45092</v>
      </c>
      <c r="F107" t="s">
        <v>39</v>
      </c>
      <c r="G107">
        <v>2717</v>
      </c>
      <c r="H107">
        <v>9601</v>
      </c>
      <c r="I107">
        <v>2.14</v>
      </c>
      <c r="J107">
        <v>11</v>
      </c>
      <c r="P107" t="str">
        <f t="shared" ca="1" si="5"/>
        <v xml:space="preserve"> </v>
      </c>
      <c r="Q107" t="str" cm="1">
        <f t="array" ref="Q107">_xlfn.IFS(I107&gt;=3.5,"Excellent", I107&gt;3,"Good",I107&gt;2,"Average",I107&lt;2,"Poor")</f>
        <v>Average</v>
      </c>
      <c r="S107" t="b">
        <f t="shared" si="6"/>
        <v>1</v>
      </c>
      <c r="U107">
        <f t="shared" si="7"/>
        <v>2023</v>
      </c>
      <c r="AA107" t="str">
        <f t="shared" ca="1" si="8"/>
        <v/>
      </c>
    </row>
    <row r="108" spans="1:27" x14ac:dyDescent="0.3">
      <c r="A108" t="s">
        <v>237</v>
      </c>
      <c r="B108" t="s">
        <v>238</v>
      </c>
      <c r="C108" t="s">
        <v>17</v>
      </c>
      <c r="D108" t="s">
        <v>31</v>
      </c>
      <c r="E108" s="1">
        <v>44601</v>
      </c>
      <c r="F108" t="s">
        <v>19</v>
      </c>
      <c r="G108">
        <v>9160</v>
      </c>
      <c r="H108">
        <v>3049</v>
      </c>
      <c r="I108">
        <v>3.59</v>
      </c>
      <c r="J108">
        <v>2</v>
      </c>
      <c r="P108" t="str">
        <f t="shared" ca="1" si="5"/>
        <v xml:space="preserve"> </v>
      </c>
      <c r="Q108" t="str" cm="1">
        <f t="array" ref="Q108">_xlfn.IFS(I108&gt;=3.5,"Excellent", I108&gt;3,"Good",I108&gt;2,"Average",I108&lt;2,"Poor")</f>
        <v>Excellent</v>
      </c>
      <c r="S108" t="str">
        <f t="shared" si="6"/>
        <v xml:space="preserve"> </v>
      </c>
      <c r="U108">
        <f t="shared" si="7"/>
        <v>2022</v>
      </c>
      <c r="AA108">
        <f t="shared" ca="1" si="8"/>
        <v>1251</v>
      </c>
    </row>
    <row r="109" spans="1:27" x14ac:dyDescent="0.3">
      <c r="A109" t="s">
        <v>239</v>
      </c>
      <c r="B109" t="s">
        <v>240</v>
      </c>
      <c r="C109" t="s">
        <v>57</v>
      </c>
      <c r="D109" t="s">
        <v>13</v>
      </c>
      <c r="E109" s="1">
        <v>45019</v>
      </c>
      <c r="F109" t="s">
        <v>14</v>
      </c>
      <c r="G109">
        <v>3268</v>
      </c>
      <c r="H109">
        <v>424</v>
      </c>
      <c r="I109">
        <v>2.85</v>
      </c>
      <c r="J109">
        <v>59</v>
      </c>
      <c r="P109">
        <f t="shared" ca="1" si="5"/>
        <v>833</v>
      </c>
      <c r="Q109" t="str" cm="1">
        <f t="array" ref="Q109">_xlfn.IFS(I109&gt;=3.5,"Excellent", I109&gt;3,"Good",I109&gt;2,"Average",I109&lt;2,"Poor")</f>
        <v>Average</v>
      </c>
      <c r="S109" t="str">
        <f t="shared" si="6"/>
        <v xml:space="preserve"> </v>
      </c>
      <c r="U109">
        <f t="shared" si="7"/>
        <v>2023</v>
      </c>
      <c r="AA109" t="str">
        <f t="shared" ca="1" si="8"/>
        <v/>
      </c>
    </row>
    <row r="110" spans="1:27" x14ac:dyDescent="0.3">
      <c r="A110" t="s">
        <v>241</v>
      </c>
      <c r="B110" t="s">
        <v>242</v>
      </c>
      <c r="C110" t="s">
        <v>25</v>
      </c>
      <c r="D110" t="s">
        <v>31</v>
      </c>
      <c r="E110" s="1">
        <v>44932</v>
      </c>
      <c r="F110" t="s">
        <v>14</v>
      </c>
      <c r="G110">
        <v>4636</v>
      </c>
      <c r="H110">
        <v>2544</v>
      </c>
      <c r="I110">
        <v>3.31</v>
      </c>
      <c r="J110">
        <v>60</v>
      </c>
      <c r="P110">
        <f t="shared" ca="1" si="5"/>
        <v>920</v>
      </c>
      <c r="Q110" t="str" cm="1">
        <f t="array" ref="Q110">_xlfn.IFS(I110&gt;=3.5,"Excellent", I110&gt;3,"Good",I110&gt;2,"Average",I110&lt;2,"Poor")</f>
        <v>Good</v>
      </c>
      <c r="S110" t="b">
        <f t="shared" si="6"/>
        <v>1</v>
      </c>
      <c r="U110">
        <f t="shared" si="7"/>
        <v>2023</v>
      </c>
      <c r="AA110" t="str">
        <f t="shared" ca="1" si="8"/>
        <v/>
      </c>
    </row>
    <row r="111" spans="1:27" x14ac:dyDescent="0.3">
      <c r="A111" t="s">
        <v>243</v>
      </c>
      <c r="B111" t="s">
        <v>244</v>
      </c>
      <c r="C111" t="s">
        <v>28</v>
      </c>
      <c r="D111" t="s">
        <v>31</v>
      </c>
      <c r="E111" s="1">
        <v>45223</v>
      </c>
      <c r="F111" t="s">
        <v>14</v>
      </c>
      <c r="G111">
        <v>10654</v>
      </c>
      <c r="H111">
        <v>4738</v>
      </c>
      <c r="I111">
        <v>2.67</v>
      </c>
      <c r="J111">
        <v>53</v>
      </c>
      <c r="P111">
        <f t="shared" ca="1" si="5"/>
        <v>629</v>
      </c>
      <c r="Q111" t="str" cm="1">
        <f t="array" ref="Q111">_xlfn.IFS(I111&gt;=3.5,"Excellent", I111&gt;3,"Good",I111&gt;2,"Average",I111&lt;2,"Poor")</f>
        <v>Average</v>
      </c>
      <c r="S111" t="str">
        <f t="shared" si="6"/>
        <v xml:space="preserve"> </v>
      </c>
      <c r="U111">
        <f t="shared" si="7"/>
        <v>2023</v>
      </c>
      <c r="AA111" t="str">
        <f t="shared" ca="1" si="8"/>
        <v/>
      </c>
    </row>
    <row r="112" spans="1:27" x14ac:dyDescent="0.3">
      <c r="A112" t="s">
        <v>245</v>
      </c>
      <c r="B112" t="s">
        <v>246</v>
      </c>
      <c r="C112" t="s">
        <v>28</v>
      </c>
      <c r="D112" t="s">
        <v>31</v>
      </c>
      <c r="E112" s="1">
        <v>45036</v>
      </c>
      <c r="F112" t="s">
        <v>14</v>
      </c>
      <c r="G112">
        <v>9355</v>
      </c>
      <c r="H112">
        <v>8250</v>
      </c>
      <c r="I112">
        <v>3.02</v>
      </c>
      <c r="J112">
        <v>92</v>
      </c>
      <c r="P112">
        <f t="shared" ca="1" si="5"/>
        <v>816</v>
      </c>
      <c r="Q112" t="str" cm="1">
        <f t="array" ref="Q112">_xlfn.IFS(I112&gt;=3.5,"Excellent", I112&gt;3,"Good",I112&gt;2,"Average",I112&lt;2,"Poor")</f>
        <v>Good</v>
      </c>
      <c r="S112" t="b">
        <f t="shared" si="6"/>
        <v>1</v>
      </c>
      <c r="U112">
        <f t="shared" si="7"/>
        <v>2023</v>
      </c>
      <c r="AA112" t="str">
        <f t="shared" ca="1" si="8"/>
        <v/>
      </c>
    </row>
    <row r="113" spans="1:27" x14ac:dyDescent="0.3">
      <c r="A113" t="s">
        <v>247</v>
      </c>
      <c r="B113" t="s">
        <v>248</v>
      </c>
      <c r="C113" t="s">
        <v>36</v>
      </c>
      <c r="D113" t="s">
        <v>18</v>
      </c>
      <c r="E113" s="1">
        <v>44864</v>
      </c>
      <c r="F113" t="s">
        <v>14</v>
      </c>
      <c r="G113">
        <v>12309</v>
      </c>
      <c r="H113">
        <v>1062</v>
      </c>
      <c r="I113">
        <v>2.71</v>
      </c>
      <c r="J113">
        <v>116</v>
      </c>
      <c r="P113">
        <f t="shared" ca="1" si="5"/>
        <v>988</v>
      </c>
      <c r="Q113" t="str" cm="1">
        <f t="array" ref="Q113">_xlfn.IFS(I113&gt;=3.5,"Excellent", I113&gt;3,"Good",I113&gt;2,"Average",I113&lt;2,"Poor")</f>
        <v>Average</v>
      </c>
      <c r="S113" t="str">
        <f t="shared" si="6"/>
        <v xml:space="preserve"> </v>
      </c>
      <c r="U113">
        <f t="shared" si="7"/>
        <v>2022</v>
      </c>
      <c r="AA113" t="str">
        <f t="shared" ca="1" si="8"/>
        <v/>
      </c>
    </row>
    <row r="114" spans="1:27" x14ac:dyDescent="0.3">
      <c r="A114" t="s">
        <v>249</v>
      </c>
      <c r="B114" t="s">
        <v>250</v>
      </c>
      <c r="C114" t="s">
        <v>25</v>
      </c>
      <c r="D114" t="s">
        <v>31</v>
      </c>
      <c r="E114" s="1">
        <v>45333</v>
      </c>
      <c r="F114" t="s">
        <v>14</v>
      </c>
      <c r="G114">
        <v>8529</v>
      </c>
      <c r="H114">
        <v>5629</v>
      </c>
      <c r="I114">
        <v>3.62</v>
      </c>
      <c r="J114">
        <v>95</v>
      </c>
      <c r="P114">
        <f t="shared" ca="1" si="5"/>
        <v>519</v>
      </c>
      <c r="Q114" t="str" cm="1">
        <f t="array" ref="Q114">_xlfn.IFS(I114&gt;=3.5,"Excellent", I114&gt;3,"Good",I114&gt;2,"Average",I114&lt;2,"Poor")</f>
        <v>Excellent</v>
      </c>
      <c r="S114" t="b">
        <f t="shared" si="6"/>
        <v>1</v>
      </c>
      <c r="U114">
        <f t="shared" si="7"/>
        <v>2024</v>
      </c>
      <c r="AA114" t="str">
        <f t="shared" ca="1" si="8"/>
        <v/>
      </c>
    </row>
    <row r="115" spans="1:27" x14ac:dyDescent="0.3">
      <c r="A115" t="s">
        <v>251</v>
      </c>
      <c r="B115" t="s">
        <v>252</v>
      </c>
      <c r="C115" t="s">
        <v>12</v>
      </c>
      <c r="D115" t="s">
        <v>62</v>
      </c>
      <c r="E115" s="1">
        <v>44835</v>
      </c>
      <c r="F115" t="s">
        <v>14</v>
      </c>
      <c r="G115">
        <v>7580</v>
      </c>
      <c r="H115">
        <v>7611</v>
      </c>
      <c r="I115">
        <v>3.77</v>
      </c>
      <c r="J115">
        <v>82</v>
      </c>
      <c r="P115">
        <f t="shared" ca="1" si="5"/>
        <v>1017</v>
      </c>
      <c r="Q115" t="str" cm="1">
        <f t="array" ref="Q115">_xlfn.IFS(I115&gt;=3.5,"Excellent", I115&gt;3,"Good",I115&gt;2,"Average",I115&lt;2,"Poor")</f>
        <v>Excellent</v>
      </c>
      <c r="S115" t="b">
        <f t="shared" si="6"/>
        <v>1</v>
      </c>
      <c r="U115">
        <f t="shared" si="7"/>
        <v>2022</v>
      </c>
      <c r="AA115" t="str">
        <f t="shared" ca="1" si="8"/>
        <v/>
      </c>
    </row>
    <row r="116" spans="1:27" x14ac:dyDescent="0.3">
      <c r="A116" t="s">
        <v>253</v>
      </c>
      <c r="B116" t="s">
        <v>254</v>
      </c>
      <c r="C116" t="s">
        <v>36</v>
      </c>
      <c r="D116" t="s">
        <v>62</v>
      </c>
      <c r="E116" s="1">
        <v>44594</v>
      </c>
      <c r="F116" t="s">
        <v>14</v>
      </c>
      <c r="G116">
        <v>4713</v>
      </c>
      <c r="H116">
        <v>8232</v>
      </c>
      <c r="I116">
        <v>2.87</v>
      </c>
      <c r="J116">
        <v>98</v>
      </c>
      <c r="P116">
        <f t="shared" ca="1" si="5"/>
        <v>1258</v>
      </c>
      <c r="Q116" t="str" cm="1">
        <f t="array" ref="Q116">_xlfn.IFS(I116&gt;=3.5,"Excellent", I116&gt;3,"Good",I116&gt;2,"Average",I116&lt;2,"Poor")</f>
        <v>Average</v>
      </c>
      <c r="S116" t="b">
        <f t="shared" si="6"/>
        <v>1</v>
      </c>
      <c r="U116">
        <f t="shared" si="7"/>
        <v>2022</v>
      </c>
      <c r="AA116" t="str">
        <f t="shared" ca="1" si="8"/>
        <v/>
      </c>
    </row>
    <row r="117" spans="1:27" x14ac:dyDescent="0.3">
      <c r="A117" t="s">
        <v>255</v>
      </c>
      <c r="B117" t="s">
        <v>256</v>
      </c>
      <c r="C117" t="s">
        <v>12</v>
      </c>
      <c r="D117" t="s">
        <v>18</v>
      </c>
      <c r="E117" s="1">
        <v>44596</v>
      </c>
      <c r="F117" t="s">
        <v>14</v>
      </c>
      <c r="G117">
        <v>9304</v>
      </c>
      <c r="H117">
        <v>1312</v>
      </c>
      <c r="I117">
        <v>2.62</v>
      </c>
      <c r="J117">
        <v>102</v>
      </c>
      <c r="P117">
        <f t="shared" ca="1" si="5"/>
        <v>1256</v>
      </c>
      <c r="Q117" t="str" cm="1">
        <f t="array" ref="Q117">_xlfn.IFS(I117&gt;=3.5,"Excellent", I117&gt;3,"Good",I117&gt;2,"Average",I117&lt;2,"Poor")</f>
        <v>Average</v>
      </c>
      <c r="S117" t="str">
        <f t="shared" si="6"/>
        <v xml:space="preserve"> </v>
      </c>
      <c r="U117">
        <f t="shared" si="7"/>
        <v>2022</v>
      </c>
      <c r="AA117" t="str">
        <f t="shared" ca="1" si="8"/>
        <v/>
      </c>
    </row>
    <row r="118" spans="1:27" x14ac:dyDescent="0.3">
      <c r="A118" t="s">
        <v>257</v>
      </c>
      <c r="B118" t="s">
        <v>258</v>
      </c>
      <c r="C118" t="s">
        <v>22</v>
      </c>
      <c r="D118" t="s">
        <v>18</v>
      </c>
      <c r="E118" s="1">
        <v>45369</v>
      </c>
      <c r="F118" t="s">
        <v>14</v>
      </c>
      <c r="G118">
        <v>2599</v>
      </c>
      <c r="H118">
        <v>6425</v>
      </c>
      <c r="I118">
        <v>3.62</v>
      </c>
      <c r="J118">
        <v>5</v>
      </c>
      <c r="P118">
        <f t="shared" ca="1" si="5"/>
        <v>483</v>
      </c>
      <c r="Q118" t="str" cm="1">
        <f t="array" ref="Q118">_xlfn.IFS(I118&gt;=3.5,"Excellent", I118&gt;3,"Good",I118&gt;2,"Average",I118&lt;2,"Poor")</f>
        <v>Excellent</v>
      </c>
      <c r="S118" t="b">
        <f t="shared" si="6"/>
        <v>1</v>
      </c>
      <c r="U118">
        <f t="shared" si="7"/>
        <v>2024</v>
      </c>
      <c r="AA118" t="str">
        <f t="shared" ca="1" si="8"/>
        <v/>
      </c>
    </row>
    <row r="119" spans="1:27" x14ac:dyDescent="0.3">
      <c r="A119" t="s">
        <v>259</v>
      </c>
      <c r="B119" t="s">
        <v>260</v>
      </c>
      <c r="C119" t="s">
        <v>17</v>
      </c>
      <c r="D119" t="s">
        <v>62</v>
      </c>
      <c r="E119" s="1">
        <v>45202</v>
      </c>
      <c r="F119" t="s">
        <v>14</v>
      </c>
      <c r="G119">
        <v>12572</v>
      </c>
      <c r="H119">
        <v>8587</v>
      </c>
      <c r="I119">
        <v>3.67</v>
      </c>
      <c r="J119">
        <v>14</v>
      </c>
      <c r="P119">
        <f t="shared" ca="1" si="5"/>
        <v>650</v>
      </c>
      <c r="Q119" t="str" cm="1">
        <f t="array" ref="Q119">_xlfn.IFS(I119&gt;=3.5,"Excellent", I119&gt;3,"Good",I119&gt;2,"Average",I119&lt;2,"Poor")</f>
        <v>Excellent</v>
      </c>
      <c r="S119" t="b">
        <f t="shared" si="6"/>
        <v>1</v>
      </c>
      <c r="U119">
        <f t="shared" si="7"/>
        <v>2023</v>
      </c>
      <c r="AA119" t="str">
        <f t="shared" ca="1" si="8"/>
        <v/>
      </c>
    </row>
    <row r="120" spans="1:27" x14ac:dyDescent="0.3">
      <c r="A120" t="s">
        <v>261</v>
      </c>
      <c r="B120" t="s">
        <v>262</v>
      </c>
      <c r="C120" t="s">
        <v>22</v>
      </c>
      <c r="D120" t="s">
        <v>13</v>
      </c>
      <c r="E120" s="1">
        <v>45350</v>
      </c>
      <c r="F120" t="s">
        <v>14</v>
      </c>
      <c r="G120">
        <v>10736</v>
      </c>
      <c r="H120">
        <v>6508</v>
      </c>
      <c r="I120">
        <v>2.48</v>
      </c>
      <c r="J120">
        <v>21</v>
      </c>
      <c r="P120">
        <f t="shared" ca="1" si="5"/>
        <v>502</v>
      </c>
      <c r="Q120" t="str" cm="1">
        <f t="array" ref="Q120">_xlfn.IFS(I120&gt;=3.5,"Excellent", I120&gt;3,"Good",I120&gt;2,"Average",I120&lt;2,"Poor")</f>
        <v>Average</v>
      </c>
      <c r="S120" t="b">
        <f t="shared" si="6"/>
        <v>1</v>
      </c>
      <c r="U120">
        <f t="shared" si="7"/>
        <v>2024</v>
      </c>
      <c r="AA120" t="str">
        <f t="shared" ca="1" si="8"/>
        <v/>
      </c>
    </row>
    <row r="121" spans="1:27" x14ac:dyDescent="0.3">
      <c r="A121" t="s">
        <v>263</v>
      </c>
      <c r="B121" t="s">
        <v>264</v>
      </c>
      <c r="C121" t="s">
        <v>54</v>
      </c>
      <c r="D121" t="s">
        <v>31</v>
      </c>
      <c r="E121" s="1">
        <v>44609</v>
      </c>
      <c r="F121" t="s">
        <v>14</v>
      </c>
      <c r="G121">
        <v>11349</v>
      </c>
      <c r="H121">
        <v>8642</v>
      </c>
      <c r="I121">
        <v>3.5</v>
      </c>
      <c r="J121">
        <v>112</v>
      </c>
      <c r="P121">
        <f t="shared" ca="1" si="5"/>
        <v>1243</v>
      </c>
      <c r="Q121" t="str" cm="1">
        <f t="array" ref="Q121">_xlfn.IFS(I121&gt;=3.5,"Excellent", I121&gt;3,"Good",I121&gt;2,"Average",I121&lt;2,"Poor")</f>
        <v>Excellent</v>
      </c>
      <c r="S121" t="b">
        <f t="shared" si="6"/>
        <v>1</v>
      </c>
      <c r="U121">
        <f t="shared" si="7"/>
        <v>2022</v>
      </c>
      <c r="AA121" t="str">
        <f t="shared" ca="1" si="8"/>
        <v/>
      </c>
    </row>
    <row r="122" spans="1:27" x14ac:dyDescent="0.3">
      <c r="A122" t="s">
        <v>265</v>
      </c>
      <c r="B122" t="s">
        <v>266</v>
      </c>
      <c r="C122" t="s">
        <v>25</v>
      </c>
      <c r="D122" t="s">
        <v>13</v>
      </c>
      <c r="E122" s="1">
        <v>45118</v>
      </c>
      <c r="F122" t="s">
        <v>14</v>
      </c>
      <c r="G122">
        <v>2073</v>
      </c>
      <c r="H122">
        <v>1993</v>
      </c>
      <c r="I122">
        <v>3.62</v>
      </c>
      <c r="J122">
        <v>0</v>
      </c>
      <c r="P122">
        <f t="shared" ca="1" si="5"/>
        <v>734</v>
      </c>
      <c r="Q122" t="str" cm="1">
        <f t="array" ref="Q122">_xlfn.IFS(I122&gt;=3.5,"Excellent", I122&gt;3,"Good",I122&gt;2,"Average",I122&lt;2,"Poor")</f>
        <v>Excellent</v>
      </c>
      <c r="S122" t="b">
        <f t="shared" si="6"/>
        <v>1</v>
      </c>
      <c r="U122">
        <f t="shared" si="7"/>
        <v>2023</v>
      </c>
      <c r="AA122" t="str">
        <f t="shared" ca="1" si="8"/>
        <v/>
      </c>
    </row>
    <row r="123" spans="1:27" x14ac:dyDescent="0.3">
      <c r="A123" t="s">
        <v>267</v>
      </c>
      <c r="B123" t="s">
        <v>268</v>
      </c>
      <c r="C123" t="s">
        <v>25</v>
      </c>
      <c r="D123" t="s">
        <v>31</v>
      </c>
      <c r="E123" s="1">
        <v>45236</v>
      </c>
      <c r="F123" t="s">
        <v>19</v>
      </c>
      <c r="G123">
        <v>3742</v>
      </c>
      <c r="H123">
        <v>4389</v>
      </c>
      <c r="I123">
        <v>2.67</v>
      </c>
      <c r="J123">
        <v>9</v>
      </c>
      <c r="P123" t="str">
        <f t="shared" ca="1" si="5"/>
        <v xml:space="preserve"> </v>
      </c>
      <c r="Q123" t="str" cm="1">
        <f t="array" ref="Q123">_xlfn.IFS(I123&gt;=3.5,"Excellent", I123&gt;3,"Good",I123&gt;2,"Average",I123&lt;2,"Poor")</f>
        <v>Average</v>
      </c>
      <c r="S123" t="b">
        <f t="shared" si="6"/>
        <v>1</v>
      </c>
      <c r="U123">
        <f t="shared" si="7"/>
        <v>2023</v>
      </c>
      <c r="AA123">
        <f t="shared" ca="1" si="8"/>
        <v>616</v>
      </c>
    </row>
    <row r="124" spans="1:27" x14ac:dyDescent="0.3">
      <c r="A124" t="s">
        <v>269</v>
      </c>
      <c r="B124" t="s">
        <v>270</v>
      </c>
      <c r="C124" t="s">
        <v>17</v>
      </c>
      <c r="D124" t="s">
        <v>18</v>
      </c>
      <c r="E124" s="1">
        <v>45299</v>
      </c>
      <c r="F124" t="s">
        <v>14</v>
      </c>
      <c r="G124">
        <v>5954</v>
      </c>
      <c r="H124">
        <v>8075</v>
      </c>
      <c r="I124">
        <v>2.82</v>
      </c>
      <c r="J124">
        <v>57</v>
      </c>
      <c r="P124">
        <f t="shared" ca="1" si="5"/>
        <v>553</v>
      </c>
      <c r="Q124" t="str" cm="1">
        <f t="array" ref="Q124">_xlfn.IFS(I124&gt;=3.5,"Excellent", I124&gt;3,"Good",I124&gt;2,"Average",I124&lt;2,"Poor")</f>
        <v>Average</v>
      </c>
      <c r="S124" t="b">
        <f t="shared" si="6"/>
        <v>1</v>
      </c>
      <c r="U124">
        <f t="shared" si="7"/>
        <v>2024</v>
      </c>
      <c r="AA124" t="str">
        <f t="shared" ca="1" si="8"/>
        <v/>
      </c>
    </row>
    <row r="125" spans="1:27" x14ac:dyDescent="0.3">
      <c r="A125" t="s">
        <v>271</v>
      </c>
      <c r="B125" t="s">
        <v>272</v>
      </c>
      <c r="C125" t="s">
        <v>17</v>
      </c>
      <c r="D125" t="s">
        <v>13</v>
      </c>
      <c r="E125" s="1">
        <v>45256</v>
      </c>
      <c r="F125" t="s">
        <v>19</v>
      </c>
      <c r="G125">
        <v>5513</v>
      </c>
      <c r="H125">
        <v>1545</v>
      </c>
      <c r="I125">
        <v>2.72</v>
      </c>
      <c r="J125">
        <v>79</v>
      </c>
      <c r="P125" t="str">
        <f t="shared" ca="1" si="5"/>
        <v xml:space="preserve"> </v>
      </c>
      <c r="Q125" t="str" cm="1">
        <f t="array" ref="Q125">_xlfn.IFS(I125&gt;=3.5,"Excellent", I125&gt;3,"Good",I125&gt;2,"Average",I125&lt;2,"Poor")</f>
        <v>Average</v>
      </c>
      <c r="S125" t="str">
        <f t="shared" si="6"/>
        <v xml:space="preserve"> </v>
      </c>
      <c r="U125">
        <f t="shared" si="7"/>
        <v>2023</v>
      </c>
      <c r="AA125">
        <f t="shared" ca="1" si="8"/>
        <v>596</v>
      </c>
    </row>
    <row r="126" spans="1:27" x14ac:dyDescent="0.3">
      <c r="A126" t="s">
        <v>273</v>
      </c>
      <c r="B126" t="s">
        <v>274</v>
      </c>
      <c r="C126" t="s">
        <v>54</v>
      </c>
      <c r="D126" t="s">
        <v>13</v>
      </c>
      <c r="E126" s="1">
        <v>45364</v>
      </c>
      <c r="F126" t="s">
        <v>19</v>
      </c>
      <c r="G126">
        <v>9374</v>
      </c>
      <c r="H126">
        <v>3980</v>
      </c>
      <c r="I126">
        <v>3.9</v>
      </c>
      <c r="J126">
        <v>92</v>
      </c>
      <c r="P126" t="str">
        <f t="shared" ca="1" si="5"/>
        <v xml:space="preserve"> </v>
      </c>
      <c r="Q126" t="str" cm="1">
        <f t="array" ref="Q126">_xlfn.IFS(I126&gt;=3.5,"Excellent", I126&gt;3,"Good",I126&gt;2,"Average",I126&lt;2,"Poor")</f>
        <v>Excellent</v>
      </c>
      <c r="S126" t="str">
        <f t="shared" si="6"/>
        <v xml:space="preserve"> </v>
      </c>
      <c r="U126">
        <f t="shared" si="7"/>
        <v>2024</v>
      </c>
      <c r="AA126">
        <f t="shared" ca="1" si="8"/>
        <v>488</v>
      </c>
    </row>
    <row r="127" spans="1:27" x14ac:dyDescent="0.3">
      <c r="A127" t="s">
        <v>275</v>
      </c>
      <c r="B127" t="s">
        <v>276</v>
      </c>
      <c r="C127" t="s">
        <v>54</v>
      </c>
      <c r="D127" t="s">
        <v>62</v>
      </c>
      <c r="E127" s="1">
        <v>44825</v>
      </c>
      <c r="F127" t="s">
        <v>14</v>
      </c>
      <c r="G127">
        <v>13694</v>
      </c>
      <c r="H127">
        <v>5031</v>
      </c>
      <c r="I127">
        <v>2.2400000000000002</v>
      </c>
      <c r="J127">
        <v>42</v>
      </c>
      <c r="P127">
        <f t="shared" ca="1" si="5"/>
        <v>1027</v>
      </c>
      <c r="Q127" t="str" cm="1">
        <f t="array" ref="Q127">_xlfn.IFS(I127&gt;=3.5,"Excellent", I127&gt;3,"Good",I127&gt;2,"Average",I127&lt;2,"Poor")</f>
        <v>Average</v>
      </c>
      <c r="S127" t="str">
        <f t="shared" si="6"/>
        <v xml:space="preserve"> </v>
      </c>
      <c r="U127">
        <f t="shared" si="7"/>
        <v>2022</v>
      </c>
      <c r="AA127" t="str">
        <f t="shared" ca="1" si="8"/>
        <v/>
      </c>
    </row>
    <row r="128" spans="1:27" x14ac:dyDescent="0.3">
      <c r="A128" t="s">
        <v>277</v>
      </c>
      <c r="B128" t="s">
        <v>278</v>
      </c>
      <c r="C128" t="s">
        <v>28</v>
      </c>
      <c r="D128" t="s">
        <v>62</v>
      </c>
      <c r="E128" s="1">
        <v>45271</v>
      </c>
      <c r="F128" t="s">
        <v>19</v>
      </c>
      <c r="G128">
        <v>7401</v>
      </c>
      <c r="H128">
        <v>5862</v>
      </c>
      <c r="I128">
        <v>3.24</v>
      </c>
      <c r="J128">
        <v>1</v>
      </c>
      <c r="P128" t="str">
        <f t="shared" ca="1" si="5"/>
        <v xml:space="preserve"> </v>
      </c>
      <c r="Q128" t="str" cm="1">
        <f t="array" ref="Q128">_xlfn.IFS(I128&gt;=3.5,"Excellent", I128&gt;3,"Good",I128&gt;2,"Average",I128&lt;2,"Poor")</f>
        <v>Good</v>
      </c>
      <c r="S128" t="b">
        <f t="shared" si="6"/>
        <v>1</v>
      </c>
      <c r="U128">
        <f t="shared" si="7"/>
        <v>2023</v>
      </c>
      <c r="AA128">
        <f t="shared" ca="1" si="8"/>
        <v>581</v>
      </c>
    </row>
    <row r="129" spans="1:27" x14ac:dyDescent="0.3">
      <c r="A129" t="s">
        <v>279</v>
      </c>
      <c r="B129" t="s">
        <v>280</v>
      </c>
      <c r="C129" t="s">
        <v>28</v>
      </c>
      <c r="D129" t="s">
        <v>31</v>
      </c>
      <c r="E129" s="1">
        <v>45379</v>
      </c>
      <c r="F129" t="s">
        <v>14</v>
      </c>
      <c r="G129">
        <v>10718</v>
      </c>
      <c r="H129">
        <v>5162</v>
      </c>
      <c r="I129">
        <v>3.21</v>
      </c>
      <c r="J129">
        <v>32</v>
      </c>
      <c r="P129">
        <f t="shared" ca="1" si="5"/>
        <v>473</v>
      </c>
      <c r="Q129" t="str" cm="1">
        <f t="array" ref="Q129">_xlfn.IFS(I129&gt;=3.5,"Excellent", I129&gt;3,"Good",I129&gt;2,"Average",I129&lt;2,"Poor")</f>
        <v>Good</v>
      </c>
      <c r="S129" t="str">
        <f t="shared" si="6"/>
        <v xml:space="preserve"> </v>
      </c>
      <c r="U129">
        <f t="shared" si="7"/>
        <v>2024</v>
      </c>
      <c r="AA129" t="str">
        <f t="shared" ca="1" si="8"/>
        <v/>
      </c>
    </row>
    <row r="130" spans="1:27" x14ac:dyDescent="0.3">
      <c r="A130" t="s">
        <v>281</v>
      </c>
      <c r="B130" t="s">
        <v>282</v>
      </c>
      <c r="C130" t="s">
        <v>36</v>
      </c>
      <c r="D130" t="s">
        <v>31</v>
      </c>
      <c r="E130" s="1">
        <v>44619</v>
      </c>
      <c r="F130" t="s">
        <v>14</v>
      </c>
      <c r="G130">
        <v>8809</v>
      </c>
      <c r="H130">
        <v>7719</v>
      </c>
      <c r="I130">
        <v>2.92</v>
      </c>
      <c r="J130">
        <v>39</v>
      </c>
      <c r="P130">
        <f t="shared" ca="1" si="5"/>
        <v>1233</v>
      </c>
      <c r="Q130" t="str" cm="1">
        <f t="array" ref="Q130">_xlfn.IFS(I130&gt;=3.5,"Excellent", I130&gt;3,"Good",I130&gt;2,"Average",I130&lt;2,"Poor")</f>
        <v>Average</v>
      </c>
      <c r="S130" t="b">
        <f t="shared" si="6"/>
        <v>1</v>
      </c>
      <c r="U130">
        <f t="shared" si="7"/>
        <v>2022</v>
      </c>
      <c r="AA130" t="str">
        <f t="shared" ca="1" si="8"/>
        <v/>
      </c>
    </row>
    <row r="131" spans="1:27" x14ac:dyDescent="0.3">
      <c r="A131" t="s">
        <v>283</v>
      </c>
      <c r="B131" t="s">
        <v>284</v>
      </c>
      <c r="C131" t="s">
        <v>25</v>
      </c>
      <c r="D131" t="s">
        <v>62</v>
      </c>
      <c r="E131" s="1">
        <v>45037</v>
      </c>
      <c r="F131" t="s">
        <v>39</v>
      </c>
      <c r="G131">
        <v>5590</v>
      </c>
      <c r="H131">
        <v>9943</v>
      </c>
      <c r="I131">
        <v>2.37</v>
      </c>
      <c r="J131">
        <v>4</v>
      </c>
      <c r="P131" t="str">
        <f t="shared" ref="P131:P194" ca="1" si="9">IF(F131="Enrolled",TODAY()-E131, " ")</f>
        <v xml:space="preserve"> </v>
      </c>
      <c r="Q131" t="str" cm="1">
        <f t="array" ref="Q131">_xlfn.IFS(I131&gt;=3.5,"Excellent", I131&gt;3,"Good",I131&gt;2,"Average",I131&lt;2,"Poor")</f>
        <v>Average</v>
      </c>
      <c r="S131" t="b">
        <f t="shared" ref="S131:S194" si="10">IF(H131&gt;0.5*G131,TRUE, " " )</f>
        <v>1</v>
      </c>
      <c r="U131">
        <f t="shared" ref="U131:U194" si="11">YEAR(E131)</f>
        <v>2023</v>
      </c>
      <c r="AA131" t="str">
        <f t="shared" ref="AA131:AA194" ca="1" si="12">IF(F131="Completed",TODAY()-E131,"")</f>
        <v/>
      </c>
    </row>
    <row r="132" spans="1:27" x14ac:dyDescent="0.3">
      <c r="A132" t="s">
        <v>285</v>
      </c>
      <c r="B132" t="s">
        <v>286</v>
      </c>
      <c r="C132" t="s">
        <v>36</v>
      </c>
      <c r="D132" t="s">
        <v>31</v>
      </c>
      <c r="E132" s="1">
        <v>44714</v>
      </c>
      <c r="F132" t="s">
        <v>19</v>
      </c>
      <c r="G132">
        <v>4728</v>
      </c>
      <c r="H132">
        <v>2909</v>
      </c>
      <c r="I132">
        <v>3.64</v>
      </c>
      <c r="J132">
        <v>39</v>
      </c>
      <c r="P132" t="str">
        <f t="shared" ca="1" si="9"/>
        <v xml:space="preserve"> </v>
      </c>
      <c r="Q132" t="str" cm="1">
        <f t="array" ref="Q132">_xlfn.IFS(I132&gt;=3.5,"Excellent", I132&gt;3,"Good",I132&gt;2,"Average",I132&lt;2,"Poor")</f>
        <v>Excellent</v>
      </c>
      <c r="S132" t="b">
        <f t="shared" si="10"/>
        <v>1</v>
      </c>
      <c r="U132">
        <f t="shared" si="11"/>
        <v>2022</v>
      </c>
      <c r="AA132">
        <f t="shared" ca="1" si="12"/>
        <v>1138</v>
      </c>
    </row>
    <row r="133" spans="1:27" x14ac:dyDescent="0.3">
      <c r="A133" t="s">
        <v>287</v>
      </c>
      <c r="B133" t="s">
        <v>288</v>
      </c>
      <c r="C133" t="s">
        <v>28</v>
      </c>
      <c r="D133" t="s">
        <v>31</v>
      </c>
      <c r="E133" s="1">
        <v>44689</v>
      </c>
      <c r="F133" t="s">
        <v>19</v>
      </c>
      <c r="G133">
        <v>9469</v>
      </c>
      <c r="H133">
        <v>6841</v>
      </c>
      <c r="I133">
        <v>2.94</v>
      </c>
      <c r="J133">
        <v>53</v>
      </c>
      <c r="P133" t="str">
        <f t="shared" ca="1" si="9"/>
        <v xml:space="preserve"> </v>
      </c>
      <c r="Q133" t="str" cm="1">
        <f t="array" ref="Q133">_xlfn.IFS(I133&gt;=3.5,"Excellent", I133&gt;3,"Good",I133&gt;2,"Average",I133&lt;2,"Poor")</f>
        <v>Average</v>
      </c>
      <c r="S133" t="b">
        <f t="shared" si="10"/>
        <v>1</v>
      </c>
      <c r="U133">
        <f t="shared" si="11"/>
        <v>2022</v>
      </c>
      <c r="AA133">
        <f t="shared" ca="1" si="12"/>
        <v>1163</v>
      </c>
    </row>
    <row r="134" spans="1:27" x14ac:dyDescent="0.3">
      <c r="A134" t="s">
        <v>289</v>
      </c>
      <c r="B134" t="s">
        <v>290</v>
      </c>
      <c r="C134" t="s">
        <v>57</v>
      </c>
      <c r="D134" t="s">
        <v>62</v>
      </c>
      <c r="E134" s="1">
        <v>44773</v>
      </c>
      <c r="F134" t="s">
        <v>14</v>
      </c>
      <c r="G134">
        <v>10140</v>
      </c>
      <c r="H134">
        <v>8620</v>
      </c>
      <c r="I134">
        <v>3.6</v>
      </c>
      <c r="J134">
        <v>115</v>
      </c>
      <c r="P134">
        <f t="shared" ca="1" si="9"/>
        <v>1079</v>
      </c>
      <c r="Q134" t="str" cm="1">
        <f t="array" ref="Q134">_xlfn.IFS(I134&gt;=3.5,"Excellent", I134&gt;3,"Good",I134&gt;2,"Average",I134&lt;2,"Poor")</f>
        <v>Excellent</v>
      </c>
      <c r="S134" t="b">
        <f t="shared" si="10"/>
        <v>1</v>
      </c>
      <c r="U134">
        <f t="shared" si="11"/>
        <v>2022</v>
      </c>
      <c r="AA134" t="str">
        <f t="shared" ca="1" si="12"/>
        <v/>
      </c>
    </row>
    <row r="135" spans="1:27" x14ac:dyDescent="0.3">
      <c r="A135" t="s">
        <v>291</v>
      </c>
      <c r="B135" t="s">
        <v>292</v>
      </c>
      <c r="C135" t="s">
        <v>36</v>
      </c>
      <c r="D135" t="s">
        <v>31</v>
      </c>
      <c r="E135" s="1">
        <v>45307</v>
      </c>
      <c r="F135" t="s">
        <v>14</v>
      </c>
      <c r="G135">
        <v>9766</v>
      </c>
      <c r="H135">
        <v>5059</v>
      </c>
      <c r="I135">
        <v>3.41</v>
      </c>
      <c r="J135">
        <v>56</v>
      </c>
      <c r="P135">
        <f t="shared" ca="1" si="9"/>
        <v>545</v>
      </c>
      <c r="Q135" t="str" cm="1">
        <f t="array" ref="Q135">_xlfn.IFS(I135&gt;=3.5,"Excellent", I135&gt;3,"Good",I135&gt;2,"Average",I135&lt;2,"Poor")</f>
        <v>Good</v>
      </c>
      <c r="S135" t="b">
        <f t="shared" si="10"/>
        <v>1</v>
      </c>
      <c r="U135">
        <f t="shared" si="11"/>
        <v>2024</v>
      </c>
      <c r="AA135" t="str">
        <f t="shared" ca="1" si="12"/>
        <v/>
      </c>
    </row>
    <row r="136" spans="1:27" x14ac:dyDescent="0.3">
      <c r="A136" t="s">
        <v>293</v>
      </c>
      <c r="B136" t="s">
        <v>294</v>
      </c>
      <c r="C136" t="s">
        <v>22</v>
      </c>
      <c r="D136" t="s">
        <v>31</v>
      </c>
      <c r="E136" s="1">
        <v>45259</v>
      </c>
      <c r="F136" t="s">
        <v>19</v>
      </c>
      <c r="G136">
        <v>3860</v>
      </c>
      <c r="H136">
        <v>8811</v>
      </c>
      <c r="I136">
        <v>3.15</v>
      </c>
      <c r="J136">
        <v>103</v>
      </c>
      <c r="P136" t="str">
        <f t="shared" ca="1" si="9"/>
        <v xml:space="preserve"> </v>
      </c>
      <c r="Q136" t="str" cm="1">
        <f t="array" ref="Q136">_xlfn.IFS(I136&gt;=3.5,"Excellent", I136&gt;3,"Good",I136&gt;2,"Average",I136&lt;2,"Poor")</f>
        <v>Good</v>
      </c>
      <c r="S136" t="b">
        <f t="shared" si="10"/>
        <v>1</v>
      </c>
      <c r="U136">
        <f t="shared" si="11"/>
        <v>2023</v>
      </c>
      <c r="AA136">
        <f t="shared" ca="1" si="12"/>
        <v>593</v>
      </c>
    </row>
    <row r="137" spans="1:27" x14ac:dyDescent="0.3">
      <c r="A137" t="s">
        <v>295</v>
      </c>
      <c r="B137" t="s">
        <v>296</v>
      </c>
      <c r="C137" t="s">
        <v>17</v>
      </c>
      <c r="D137" t="s">
        <v>13</v>
      </c>
      <c r="E137" s="1">
        <v>45109</v>
      </c>
      <c r="F137" t="s">
        <v>19</v>
      </c>
      <c r="G137">
        <v>7810</v>
      </c>
      <c r="H137">
        <v>857</v>
      </c>
      <c r="I137">
        <v>3.97</v>
      </c>
      <c r="J137">
        <v>63</v>
      </c>
      <c r="P137" t="str">
        <f t="shared" ca="1" si="9"/>
        <v xml:space="preserve"> </v>
      </c>
      <c r="Q137" t="str" cm="1">
        <f t="array" ref="Q137">_xlfn.IFS(I137&gt;=3.5,"Excellent", I137&gt;3,"Good",I137&gt;2,"Average",I137&lt;2,"Poor")</f>
        <v>Excellent</v>
      </c>
      <c r="S137" t="str">
        <f t="shared" si="10"/>
        <v xml:space="preserve"> </v>
      </c>
      <c r="U137">
        <f t="shared" si="11"/>
        <v>2023</v>
      </c>
      <c r="AA137">
        <f t="shared" ca="1" si="12"/>
        <v>743</v>
      </c>
    </row>
    <row r="138" spans="1:27" x14ac:dyDescent="0.3">
      <c r="A138" t="s">
        <v>297</v>
      </c>
      <c r="B138" t="s">
        <v>298</v>
      </c>
      <c r="C138" t="s">
        <v>28</v>
      </c>
      <c r="D138" t="s">
        <v>31</v>
      </c>
      <c r="E138" s="1">
        <v>45364</v>
      </c>
      <c r="F138" t="s">
        <v>39</v>
      </c>
      <c r="G138">
        <v>2993</v>
      </c>
      <c r="H138">
        <v>1240</v>
      </c>
      <c r="I138">
        <v>3.79</v>
      </c>
      <c r="J138">
        <v>111</v>
      </c>
      <c r="P138" t="str">
        <f t="shared" ca="1" si="9"/>
        <v xml:space="preserve"> </v>
      </c>
      <c r="Q138" t="str" cm="1">
        <f t="array" ref="Q138">_xlfn.IFS(I138&gt;=3.5,"Excellent", I138&gt;3,"Good",I138&gt;2,"Average",I138&lt;2,"Poor")</f>
        <v>Excellent</v>
      </c>
      <c r="S138" t="str">
        <f t="shared" si="10"/>
        <v xml:space="preserve"> </v>
      </c>
      <c r="U138">
        <f t="shared" si="11"/>
        <v>2024</v>
      </c>
      <c r="AA138" t="str">
        <f t="shared" ca="1" si="12"/>
        <v/>
      </c>
    </row>
    <row r="139" spans="1:27" x14ac:dyDescent="0.3">
      <c r="A139" t="s">
        <v>299</v>
      </c>
      <c r="B139" t="s">
        <v>300</v>
      </c>
      <c r="C139" t="s">
        <v>28</v>
      </c>
      <c r="D139" t="s">
        <v>18</v>
      </c>
      <c r="E139" s="1">
        <v>44745</v>
      </c>
      <c r="F139" t="s">
        <v>14</v>
      </c>
      <c r="G139">
        <v>2004</v>
      </c>
      <c r="H139">
        <v>965</v>
      </c>
      <c r="I139">
        <v>3.84</v>
      </c>
      <c r="J139">
        <v>87</v>
      </c>
      <c r="P139">
        <f t="shared" ca="1" si="9"/>
        <v>1107</v>
      </c>
      <c r="Q139" t="str" cm="1">
        <f t="array" ref="Q139">_xlfn.IFS(I139&gt;=3.5,"Excellent", I139&gt;3,"Good",I139&gt;2,"Average",I139&lt;2,"Poor")</f>
        <v>Excellent</v>
      </c>
      <c r="S139" t="str">
        <f t="shared" si="10"/>
        <v xml:space="preserve"> </v>
      </c>
      <c r="U139">
        <f t="shared" si="11"/>
        <v>2022</v>
      </c>
      <c r="AA139" t="str">
        <f t="shared" ca="1" si="12"/>
        <v/>
      </c>
    </row>
    <row r="140" spans="1:27" x14ac:dyDescent="0.3">
      <c r="A140" t="s">
        <v>301</v>
      </c>
      <c r="B140" t="s">
        <v>302</v>
      </c>
      <c r="C140" t="s">
        <v>57</v>
      </c>
      <c r="D140" t="s">
        <v>13</v>
      </c>
      <c r="E140" s="1">
        <v>44756</v>
      </c>
      <c r="F140" t="s">
        <v>39</v>
      </c>
      <c r="G140">
        <v>8745</v>
      </c>
      <c r="H140">
        <v>7279</v>
      </c>
      <c r="I140">
        <v>2.97</v>
      </c>
      <c r="J140">
        <v>31</v>
      </c>
      <c r="P140" t="str">
        <f t="shared" ca="1" si="9"/>
        <v xml:space="preserve"> </v>
      </c>
      <c r="Q140" t="str" cm="1">
        <f t="array" ref="Q140">_xlfn.IFS(I140&gt;=3.5,"Excellent", I140&gt;3,"Good",I140&gt;2,"Average",I140&lt;2,"Poor")</f>
        <v>Average</v>
      </c>
      <c r="S140" t="b">
        <f t="shared" si="10"/>
        <v>1</v>
      </c>
      <c r="U140">
        <f t="shared" si="11"/>
        <v>2022</v>
      </c>
      <c r="AA140" t="str">
        <f t="shared" ca="1" si="12"/>
        <v/>
      </c>
    </row>
    <row r="141" spans="1:27" x14ac:dyDescent="0.3">
      <c r="A141" t="s">
        <v>303</v>
      </c>
      <c r="B141" t="s">
        <v>304</v>
      </c>
      <c r="C141" t="s">
        <v>36</v>
      </c>
      <c r="D141" t="s">
        <v>18</v>
      </c>
      <c r="E141" s="1">
        <v>44631</v>
      </c>
      <c r="F141" t="s">
        <v>14</v>
      </c>
      <c r="G141">
        <v>13687</v>
      </c>
      <c r="H141">
        <v>366</v>
      </c>
      <c r="I141">
        <v>3.07</v>
      </c>
      <c r="J141">
        <v>39</v>
      </c>
      <c r="P141">
        <f t="shared" ca="1" si="9"/>
        <v>1221</v>
      </c>
      <c r="Q141" t="str" cm="1">
        <f t="array" ref="Q141">_xlfn.IFS(I141&gt;=3.5,"Excellent", I141&gt;3,"Good",I141&gt;2,"Average",I141&lt;2,"Poor")</f>
        <v>Good</v>
      </c>
      <c r="S141" t="str">
        <f t="shared" si="10"/>
        <v xml:space="preserve"> </v>
      </c>
      <c r="U141">
        <f t="shared" si="11"/>
        <v>2022</v>
      </c>
      <c r="AA141" t="str">
        <f t="shared" ca="1" si="12"/>
        <v/>
      </c>
    </row>
    <row r="142" spans="1:27" x14ac:dyDescent="0.3">
      <c r="A142" t="s">
        <v>305</v>
      </c>
      <c r="B142" t="s">
        <v>306</v>
      </c>
      <c r="C142" t="s">
        <v>54</v>
      </c>
      <c r="D142" t="s">
        <v>13</v>
      </c>
      <c r="E142" s="1">
        <v>44766</v>
      </c>
      <c r="F142" t="s">
        <v>14</v>
      </c>
      <c r="G142">
        <v>14018</v>
      </c>
      <c r="H142">
        <v>463</v>
      </c>
      <c r="I142">
        <v>2.0699999999999998</v>
      </c>
      <c r="J142">
        <v>33</v>
      </c>
      <c r="P142">
        <f t="shared" ca="1" si="9"/>
        <v>1086</v>
      </c>
      <c r="Q142" t="str" cm="1">
        <f t="array" ref="Q142">_xlfn.IFS(I142&gt;=3.5,"Excellent", I142&gt;3,"Good",I142&gt;2,"Average",I142&lt;2,"Poor")</f>
        <v>Average</v>
      </c>
      <c r="S142" t="str">
        <f t="shared" si="10"/>
        <v xml:space="preserve"> </v>
      </c>
      <c r="U142">
        <f t="shared" si="11"/>
        <v>2022</v>
      </c>
      <c r="AA142" t="str">
        <f t="shared" ca="1" si="12"/>
        <v/>
      </c>
    </row>
    <row r="143" spans="1:27" x14ac:dyDescent="0.3">
      <c r="A143" t="s">
        <v>307</v>
      </c>
      <c r="B143" t="s">
        <v>308</v>
      </c>
      <c r="C143" t="s">
        <v>57</v>
      </c>
      <c r="D143" t="s">
        <v>31</v>
      </c>
      <c r="E143" s="1">
        <v>44841</v>
      </c>
      <c r="F143" t="s">
        <v>14</v>
      </c>
      <c r="G143">
        <v>9817</v>
      </c>
      <c r="H143">
        <v>5564</v>
      </c>
      <c r="I143">
        <v>2.57</v>
      </c>
      <c r="J143">
        <v>48</v>
      </c>
      <c r="P143">
        <f t="shared" ca="1" si="9"/>
        <v>1011</v>
      </c>
      <c r="Q143" t="str" cm="1">
        <f t="array" ref="Q143">_xlfn.IFS(I143&gt;=3.5,"Excellent", I143&gt;3,"Good",I143&gt;2,"Average",I143&lt;2,"Poor")</f>
        <v>Average</v>
      </c>
      <c r="S143" t="b">
        <f t="shared" si="10"/>
        <v>1</v>
      </c>
      <c r="U143">
        <f t="shared" si="11"/>
        <v>2022</v>
      </c>
      <c r="AA143" t="str">
        <f t="shared" ca="1" si="12"/>
        <v/>
      </c>
    </row>
    <row r="144" spans="1:27" x14ac:dyDescent="0.3">
      <c r="A144" t="s">
        <v>309</v>
      </c>
      <c r="B144" t="s">
        <v>310</v>
      </c>
      <c r="C144" t="s">
        <v>28</v>
      </c>
      <c r="D144" t="s">
        <v>13</v>
      </c>
      <c r="E144" s="1">
        <v>45000</v>
      </c>
      <c r="F144" t="s">
        <v>19</v>
      </c>
      <c r="G144">
        <v>13150</v>
      </c>
      <c r="H144">
        <v>5003</v>
      </c>
      <c r="I144">
        <v>2.38</v>
      </c>
      <c r="J144">
        <v>87</v>
      </c>
      <c r="P144" t="str">
        <f t="shared" ca="1" si="9"/>
        <v xml:space="preserve"> </v>
      </c>
      <c r="Q144" t="str" cm="1">
        <f t="array" ref="Q144">_xlfn.IFS(I144&gt;=3.5,"Excellent", I144&gt;3,"Good",I144&gt;2,"Average",I144&lt;2,"Poor")</f>
        <v>Average</v>
      </c>
      <c r="S144" t="str">
        <f t="shared" si="10"/>
        <v xml:space="preserve"> </v>
      </c>
      <c r="U144">
        <f t="shared" si="11"/>
        <v>2023</v>
      </c>
      <c r="AA144">
        <f t="shared" ca="1" si="12"/>
        <v>852</v>
      </c>
    </row>
    <row r="145" spans="1:27" x14ac:dyDescent="0.3">
      <c r="A145" t="s">
        <v>311</v>
      </c>
      <c r="B145" t="s">
        <v>312</v>
      </c>
      <c r="C145" t="s">
        <v>28</v>
      </c>
      <c r="D145" t="s">
        <v>13</v>
      </c>
      <c r="E145" s="1">
        <v>45123</v>
      </c>
      <c r="F145" t="s">
        <v>19</v>
      </c>
      <c r="G145">
        <v>14774</v>
      </c>
      <c r="H145">
        <v>3722</v>
      </c>
      <c r="I145">
        <v>3.78</v>
      </c>
      <c r="J145">
        <v>106</v>
      </c>
      <c r="P145" t="str">
        <f t="shared" ca="1" si="9"/>
        <v xml:space="preserve"> </v>
      </c>
      <c r="Q145" t="str" cm="1">
        <f t="array" ref="Q145">_xlfn.IFS(I145&gt;=3.5,"Excellent", I145&gt;3,"Good",I145&gt;2,"Average",I145&lt;2,"Poor")</f>
        <v>Excellent</v>
      </c>
      <c r="S145" t="str">
        <f t="shared" si="10"/>
        <v xml:space="preserve"> </v>
      </c>
      <c r="U145">
        <f t="shared" si="11"/>
        <v>2023</v>
      </c>
      <c r="AA145">
        <f t="shared" ca="1" si="12"/>
        <v>729</v>
      </c>
    </row>
    <row r="146" spans="1:27" x14ac:dyDescent="0.3">
      <c r="A146" t="s">
        <v>313</v>
      </c>
      <c r="B146" t="s">
        <v>314</v>
      </c>
      <c r="C146" t="s">
        <v>36</v>
      </c>
      <c r="D146" t="s">
        <v>31</v>
      </c>
      <c r="E146" s="1">
        <v>45368</v>
      </c>
      <c r="F146" t="s">
        <v>14</v>
      </c>
      <c r="G146">
        <v>5340</v>
      </c>
      <c r="H146">
        <v>8997</v>
      </c>
      <c r="I146">
        <v>2.54</v>
      </c>
      <c r="J146">
        <v>59</v>
      </c>
      <c r="P146">
        <f t="shared" ca="1" si="9"/>
        <v>484</v>
      </c>
      <c r="Q146" t="str" cm="1">
        <f t="array" ref="Q146">_xlfn.IFS(I146&gt;=3.5,"Excellent", I146&gt;3,"Good",I146&gt;2,"Average",I146&lt;2,"Poor")</f>
        <v>Average</v>
      </c>
      <c r="S146" t="b">
        <f t="shared" si="10"/>
        <v>1</v>
      </c>
      <c r="U146">
        <f t="shared" si="11"/>
        <v>2024</v>
      </c>
      <c r="AA146" t="str">
        <f t="shared" ca="1" si="12"/>
        <v/>
      </c>
    </row>
    <row r="147" spans="1:27" x14ac:dyDescent="0.3">
      <c r="A147" t="s">
        <v>315</v>
      </c>
      <c r="B147" t="s">
        <v>316</v>
      </c>
      <c r="C147" t="s">
        <v>22</v>
      </c>
      <c r="D147" t="s">
        <v>31</v>
      </c>
      <c r="E147" s="1">
        <v>44579</v>
      </c>
      <c r="F147" t="s">
        <v>19</v>
      </c>
      <c r="G147">
        <v>12094</v>
      </c>
      <c r="H147">
        <v>3403</v>
      </c>
      <c r="I147">
        <v>2.27</v>
      </c>
      <c r="J147">
        <v>69</v>
      </c>
      <c r="P147" t="str">
        <f t="shared" ca="1" si="9"/>
        <v xml:space="preserve"> </v>
      </c>
      <c r="Q147" t="str" cm="1">
        <f t="array" ref="Q147">_xlfn.IFS(I147&gt;=3.5,"Excellent", I147&gt;3,"Good",I147&gt;2,"Average",I147&lt;2,"Poor")</f>
        <v>Average</v>
      </c>
      <c r="S147" t="str">
        <f t="shared" si="10"/>
        <v xml:space="preserve"> </v>
      </c>
      <c r="U147">
        <f t="shared" si="11"/>
        <v>2022</v>
      </c>
      <c r="AA147">
        <f t="shared" ca="1" si="12"/>
        <v>1273</v>
      </c>
    </row>
    <row r="148" spans="1:27" x14ac:dyDescent="0.3">
      <c r="A148" t="s">
        <v>317</v>
      </c>
      <c r="B148" t="s">
        <v>318</v>
      </c>
      <c r="C148" t="s">
        <v>54</v>
      </c>
      <c r="D148" t="s">
        <v>13</v>
      </c>
      <c r="E148" s="1">
        <v>45014</v>
      </c>
      <c r="F148" t="s">
        <v>14</v>
      </c>
      <c r="G148">
        <v>14344</v>
      </c>
      <c r="H148">
        <v>1358</v>
      </c>
      <c r="I148">
        <v>3.34</v>
      </c>
      <c r="J148">
        <v>3</v>
      </c>
      <c r="P148">
        <f t="shared" ca="1" si="9"/>
        <v>838</v>
      </c>
      <c r="Q148" t="str" cm="1">
        <f t="array" ref="Q148">_xlfn.IFS(I148&gt;=3.5,"Excellent", I148&gt;3,"Good",I148&gt;2,"Average",I148&lt;2,"Poor")</f>
        <v>Good</v>
      </c>
      <c r="S148" t="str">
        <f t="shared" si="10"/>
        <v xml:space="preserve"> </v>
      </c>
      <c r="U148">
        <f t="shared" si="11"/>
        <v>2023</v>
      </c>
      <c r="AA148" t="str">
        <f t="shared" ca="1" si="12"/>
        <v/>
      </c>
    </row>
    <row r="149" spans="1:27" x14ac:dyDescent="0.3">
      <c r="A149" t="s">
        <v>319</v>
      </c>
      <c r="B149" t="s">
        <v>320</v>
      </c>
      <c r="C149" t="s">
        <v>54</v>
      </c>
      <c r="D149" t="s">
        <v>18</v>
      </c>
      <c r="E149" s="1">
        <v>44794</v>
      </c>
      <c r="F149" t="s">
        <v>14</v>
      </c>
      <c r="G149">
        <v>7247</v>
      </c>
      <c r="H149">
        <v>6919</v>
      </c>
      <c r="I149">
        <v>2.27</v>
      </c>
      <c r="J149">
        <v>109</v>
      </c>
      <c r="P149">
        <f t="shared" ca="1" si="9"/>
        <v>1058</v>
      </c>
      <c r="Q149" t="str" cm="1">
        <f t="array" ref="Q149">_xlfn.IFS(I149&gt;=3.5,"Excellent", I149&gt;3,"Good",I149&gt;2,"Average",I149&lt;2,"Poor")</f>
        <v>Average</v>
      </c>
      <c r="S149" t="b">
        <f t="shared" si="10"/>
        <v>1</v>
      </c>
      <c r="U149">
        <f t="shared" si="11"/>
        <v>2022</v>
      </c>
      <c r="AA149" t="str">
        <f t="shared" ca="1" si="12"/>
        <v/>
      </c>
    </row>
    <row r="150" spans="1:27" x14ac:dyDescent="0.3">
      <c r="A150" t="s">
        <v>321</v>
      </c>
      <c r="B150" t="s">
        <v>322</v>
      </c>
      <c r="C150" t="s">
        <v>36</v>
      </c>
      <c r="D150" t="s">
        <v>62</v>
      </c>
      <c r="E150" s="1">
        <v>45138</v>
      </c>
      <c r="F150" t="s">
        <v>14</v>
      </c>
      <c r="G150">
        <v>8141</v>
      </c>
      <c r="H150">
        <v>427</v>
      </c>
      <c r="I150">
        <v>2.17</v>
      </c>
      <c r="J150">
        <v>113</v>
      </c>
      <c r="P150">
        <f t="shared" ca="1" si="9"/>
        <v>714</v>
      </c>
      <c r="Q150" t="str" cm="1">
        <f t="array" ref="Q150">_xlfn.IFS(I150&gt;=3.5,"Excellent", I150&gt;3,"Good",I150&gt;2,"Average",I150&lt;2,"Poor")</f>
        <v>Average</v>
      </c>
      <c r="S150" t="str">
        <f t="shared" si="10"/>
        <v xml:space="preserve"> </v>
      </c>
      <c r="U150">
        <f t="shared" si="11"/>
        <v>2023</v>
      </c>
      <c r="AA150" t="str">
        <f t="shared" ca="1" si="12"/>
        <v/>
      </c>
    </row>
    <row r="151" spans="1:27" x14ac:dyDescent="0.3">
      <c r="A151" t="s">
        <v>323</v>
      </c>
      <c r="B151" t="s">
        <v>324</v>
      </c>
      <c r="C151" t="s">
        <v>54</v>
      </c>
      <c r="D151" t="s">
        <v>62</v>
      </c>
      <c r="E151" s="1">
        <v>44696</v>
      </c>
      <c r="F151" t="s">
        <v>14</v>
      </c>
      <c r="G151">
        <v>9809</v>
      </c>
      <c r="H151">
        <v>8641</v>
      </c>
      <c r="I151">
        <v>2.4</v>
      </c>
      <c r="J151">
        <v>87</v>
      </c>
      <c r="P151">
        <f t="shared" ca="1" si="9"/>
        <v>1156</v>
      </c>
      <c r="Q151" t="str" cm="1">
        <f t="array" ref="Q151">_xlfn.IFS(I151&gt;=3.5,"Excellent", I151&gt;3,"Good",I151&gt;2,"Average",I151&lt;2,"Poor")</f>
        <v>Average</v>
      </c>
      <c r="S151" t="b">
        <f t="shared" si="10"/>
        <v>1</v>
      </c>
      <c r="U151">
        <f t="shared" si="11"/>
        <v>2022</v>
      </c>
      <c r="AA151" t="str">
        <f t="shared" ca="1" si="12"/>
        <v/>
      </c>
    </row>
    <row r="152" spans="1:27" x14ac:dyDescent="0.3">
      <c r="A152" t="s">
        <v>325</v>
      </c>
      <c r="B152" t="s">
        <v>326</v>
      </c>
      <c r="C152" t="s">
        <v>17</v>
      </c>
      <c r="D152" t="s">
        <v>18</v>
      </c>
      <c r="E152" s="1">
        <v>44838</v>
      </c>
      <c r="F152" t="s">
        <v>14</v>
      </c>
      <c r="G152">
        <v>10454</v>
      </c>
      <c r="H152">
        <v>3317</v>
      </c>
      <c r="I152">
        <v>2.06</v>
      </c>
      <c r="J152">
        <v>29</v>
      </c>
      <c r="P152">
        <f t="shared" ca="1" si="9"/>
        <v>1014</v>
      </c>
      <c r="Q152" t="str" cm="1">
        <f t="array" ref="Q152">_xlfn.IFS(I152&gt;=3.5,"Excellent", I152&gt;3,"Good",I152&gt;2,"Average",I152&lt;2,"Poor")</f>
        <v>Average</v>
      </c>
      <c r="S152" t="str">
        <f t="shared" si="10"/>
        <v xml:space="preserve"> </v>
      </c>
      <c r="U152">
        <f t="shared" si="11"/>
        <v>2022</v>
      </c>
      <c r="AA152" t="str">
        <f t="shared" ca="1" si="12"/>
        <v/>
      </c>
    </row>
    <row r="153" spans="1:27" x14ac:dyDescent="0.3">
      <c r="A153" t="s">
        <v>327</v>
      </c>
      <c r="B153" t="s">
        <v>328</v>
      </c>
      <c r="C153" t="s">
        <v>54</v>
      </c>
      <c r="D153" t="s">
        <v>18</v>
      </c>
      <c r="E153" s="1">
        <v>45164</v>
      </c>
      <c r="F153" t="s">
        <v>14</v>
      </c>
      <c r="G153">
        <v>10121</v>
      </c>
      <c r="H153">
        <v>466</v>
      </c>
      <c r="I153">
        <v>2.3199999999999998</v>
      </c>
      <c r="J153">
        <v>90</v>
      </c>
      <c r="P153">
        <f t="shared" ca="1" si="9"/>
        <v>688</v>
      </c>
      <c r="Q153" t="str" cm="1">
        <f t="array" ref="Q153">_xlfn.IFS(I153&gt;=3.5,"Excellent", I153&gt;3,"Good",I153&gt;2,"Average",I153&lt;2,"Poor")</f>
        <v>Average</v>
      </c>
      <c r="S153" t="str">
        <f t="shared" si="10"/>
        <v xml:space="preserve"> </v>
      </c>
      <c r="U153">
        <f t="shared" si="11"/>
        <v>2023</v>
      </c>
      <c r="AA153" t="str">
        <f t="shared" ca="1" si="12"/>
        <v/>
      </c>
    </row>
    <row r="154" spans="1:27" x14ac:dyDescent="0.3">
      <c r="A154" t="s">
        <v>329</v>
      </c>
      <c r="B154" t="s">
        <v>330</v>
      </c>
      <c r="C154" t="s">
        <v>36</v>
      </c>
      <c r="D154" t="s">
        <v>31</v>
      </c>
      <c r="E154" s="1">
        <v>45440</v>
      </c>
      <c r="F154" t="s">
        <v>14</v>
      </c>
      <c r="G154">
        <v>4736</v>
      </c>
      <c r="H154">
        <v>3962</v>
      </c>
      <c r="I154">
        <v>3.01</v>
      </c>
      <c r="J154">
        <v>17</v>
      </c>
      <c r="P154">
        <f t="shared" ca="1" si="9"/>
        <v>412</v>
      </c>
      <c r="Q154" t="str" cm="1">
        <f t="array" ref="Q154">_xlfn.IFS(I154&gt;=3.5,"Excellent", I154&gt;3,"Good",I154&gt;2,"Average",I154&lt;2,"Poor")</f>
        <v>Good</v>
      </c>
      <c r="S154" t="b">
        <f t="shared" si="10"/>
        <v>1</v>
      </c>
      <c r="U154">
        <f t="shared" si="11"/>
        <v>2024</v>
      </c>
      <c r="AA154" t="str">
        <f t="shared" ca="1" si="12"/>
        <v/>
      </c>
    </row>
    <row r="155" spans="1:27" x14ac:dyDescent="0.3">
      <c r="A155" t="s">
        <v>331</v>
      </c>
      <c r="B155" t="s">
        <v>332</v>
      </c>
      <c r="C155" t="s">
        <v>28</v>
      </c>
      <c r="D155" t="s">
        <v>31</v>
      </c>
      <c r="E155" s="1">
        <v>44618</v>
      </c>
      <c r="F155" t="s">
        <v>39</v>
      </c>
      <c r="G155">
        <v>9014</v>
      </c>
      <c r="H155">
        <v>3013</v>
      </c>
      <c r="I155">
        <v>2.99</v>
      </c>
      <c r="J155">
        <v>45</v>
      </c>
      <c r="P155" t="str">
        <f t="shared" ca="1" si="9"/>
        <v xml:space="preserve"> </v>
      </c>
      <c r="Q155" t="str" cm="1">
        <f t="array" ref="Q155">_xlfn.IFS(I155&gt;=3.5,"Excellent", I155&gt;3,"Good",I155&gt;2,"Average",I155&lt;2,"Poor")</f>
        <v>Average</v>
      </c>
      <c r="S155" t="str">
        <f t="shared" si="10"/>
        <v xml:space="preserve"> </v>
      </c>
      <c r="U155">
        <f t="shared" si="11"/>
        <v>2022</v>
      </c>
      <c r="AA155" t="str">
        <f t="shared" ca="1" si="12"/>
        <v/>
      </c>
    </row>
    <row r="156" spans="1:27" x14ac:dyDescent="0.3">
      <c r="A156" t="s">
        <v>333</v>
      </c>
      <c r="B156" t="s">
        <v>334</v>
      </c>
      <c r="C156" t="s">
        <v>12</v>
      </c>
      <c r="D156" t="s">
        <v>18</v>
      </c>
      <c r="E156" s="1">
        <v>45459</v>
      </c>
      <c r="F156" t="s">
        <v>14</v>
      </c>
      <c r="G156">
        <v>2715</v>
      </c>
      <c r="H156">
        <v>5649</v>
      </c>
      <c r="I156">
        <v>3.53</v>
      </c>
      <c r="J156">
        <v>0</v>
      </c>
      <c r="P156">
        <f t="shared" ca="1" si="9"/>
        <v>393</v>
      </c>
      <c r="Q156" t="str" cm="1">
        <f t="array" ref="Q156">_xlfn.IFS(I156&gt;=3.5,"Excellent", I156&gt;3,"Good",I156&gt;2,"Average",I156&lt;2,"Poor")</f>
        <v>Excellent</v>
      </c>
      <c r="S156" t="b">
        <f t="shared" si="10"/>
        <v>1</v>
      </c>
      <c r="U156">
        <f t="shared" si="11"/>
        <v>2024</v>
      </c>
      <c r="AA156" t="str">
        <f t="shared" ca="1" si="12"/>
        <v/>
      </c>
    </row>
    <row r="157" spans="1:27" x14ac:dyDescent="0.3">
      <c r="A157" t="s">
        <v>335</v>
      </c>
      <c r="B157" t="s">
        <v>336</v>
      </c>
      <c r="C157" t="s">
        <v>12</v>
      </c>
      <c r="D157" t="s">
        <v>18</v>
      </c>
      <c r="E157" s="1">
        <v>45000</v>
      </c>
      <c r="F157" t="s">
        <v>14</v>
      </c>
      <c r="G157">
        <v>13742</v>
      </c>
      <c r="H157">
        <v>7678</v>
      </c>
      <c r="I157">
        <v>2.35</v>
      </c>
      <c r="J157">
        <v>38</v>
      </c>
      <c r="P157">
        <f t="shared" ca="1" si="9"/>
        <v>852</v>
      </c>
      <c r="Q157" t="str" cm="1">
        <f t="array" ref="Q157">_xlfn.IFS(I157&gt;=3.5,"Excellent", I157&gt;3,"Good",I157&gt;2,"Average",I157&lt;2,"Poor")</f>
        <v>Average</v>
      </c>
      <c r="S157" t="b">
        <f t="shared" si="10"/>
        <v>1</v>
      </c>
      <c r="U157">
        <f t="shared" si="11"/>
        <v>2023</v>
      </c>
      <c r="AA157" t="str">
        <f t="shared" ca="1" si="12"/>
        <v/>
      </c>
    </row>
    <row r="158" spans="1:27" x14ac:dyDescent="0.3">
      <c r="A158" t="s">
        <v>337</v>
      </c>
      <c r="B158" t="s">
        <v>338</v>
      </c>
      <c r="C158" t="s">
        <v>36</v>
      </c>
      <c r="D158" t="s">
        <v>62</v>
      </c>
      <c r="E158" s="1">
        <v>44693</v>
      </c>
      <c r="F158" t="s">
        <v>19</v>
      </c>
      <c r="G158">
        <v>3617</v>
      </c>
      <c r="H158">
        <v>3075</v>
      </c>
      <c r="I158">
        <v>2.81</v>
      </c>
      <c r="J158">
        <v>5</v>
      </c>
      <c r="P158" t="str">
        <f t="shared" ca="1" si="9"/>
        <v xml:space="preserve"> </v>
      </c>
      <c r="Q158" t="str" cm="1">
        <f t="array" ref="Q158">_xlfn.IFS(I158&gt;=3.5,"Excellent", I158&gt;3,"Good",I158&gt;2,"Average",I158&lt;2,"Poor")</f>
        <v>Average</v>
      </c>
      <c r="S158" t="b">
        <f t="shared" si="10"/>
        <v>1</v>
      </c>
      <c r="U158">
        <f t="shared" si="11"/>
        <v>2022</v>
      </c>
      <c r="AA158">
        <f t="shared" ca="1" si="12"/>
        <v>1159</v>
      </c>
    </row>
    <row r="159" spans="1:27" x14ac:dyDescent="0.3">
      <c r="A159" t="s">
        <v>339</v>
      </c>
      <c r="B159" t="s">
        <v>340</v>
      </c>
      <c r="C159" t="s">
        <v>12</v>
      </c>
      <c r="D159" t="s">
        <v>31</v>
      </c>
      <c r="E159" s="1">
        <v>44706</v>
      </c>
      <c r="F159" t="s">
        <v>19</v>
      </c>
      <c r="G159">
        <v>13091</v>
      </c>
      <c r="H159">
        <v>8135</v>
      </c>
      <c r="I159">
        <v>3.49</v>
      </c>
      <c r="J159">
        <v>0</v>
      </c>
      <c r="P159" t="str">
        <f t="shared" ca="1" si="9"/>
        <v xml:space="preserve"> </v>
      </c>
      <c r="Q159" t="str" cm="1">
        <f t="array" ref="Q159">_xlfn.IFS(I159&gt;=3.5,"Excellent", I159&gt;3,"Good",I159&gt;2,"Average",I159&lt;2,"Poor")</f>
        <v>Good</v>
      </c>
      <c r="S159" t="b">
        <f t="shared" si="10"/>
        <v>1</v>
      </c>
      <c r="U159">
        <f t="shared" si="11"/>
        <v>2022</v>
      </c>
      <c r="AA159">
        <f t="shared" ca="1" si="12"/>
        <v>1146</v>
      </c>
    </row>
    <row r="160" spans="1:27" x14ac:dyDescent="0.3">
      <c r="A160" t="s">
        <v>341</v>
      </c>
      <c r="B160" t="s">
        <v>342</v>
      </c>
      <c r="C160" t="s">
        <v>28</v>
      </c>
      <c r="D160" t="s">
        <v>18</v>
      </c>
      <c r="E160" s="1">
        <v>45348</v>
      </c>
      <c r="F160" t="s">
        <v>39</v>
      </c>
      <c r="G160">
        <v>11936</v>
      </c>
      <c r="H160">
        <v>8739</v>
      </c>
      <c r="I160">
        <v>2.5299999999999998</v>
      </c>
      <c r="J160">
        <v>93</v>
      </c>
      <c r="P160" t="str">
        <f t="shared" ca="1" si="9"/>
        <v xml:space="preserve"> </v>
      </c>
      <c r="Q160" t="str" cm="1">
        <f t="array" ref="Q160">_xlfn.IFS(I160&gt;=3.5,"Excellent", I160&gt;3,"Good",I160&gt;2,"Average",I160&lt;2,"Poor")</f>
        <v>Average</v>
      </c>
      <c r="S160" t="b">
        <f t="shared" si="10"/>
        <v>1</v>
      </c>
      <c r="U160">
        <f t="shared" si="11"/>
        <v>2024</v>
      </c>
      <c r="AA160" t="str">
        <f t="shared" ca="1" si="12"/>
        <v/>
      </c>
    </row>
    <row r="161" spans="1:27" x14ac:dyDescent="0.3">
      <c r="A161" t="s">
        <v>343</v>
      </c>
      <c r="B161" t="s">
        <v>344</v>
      </c>
      <c r="C161" t="s">
        <v>12</v>
      </c>
      <c r="D161" t="s">
        <v>13</v>
      </c>
      <c r="E161" s="1">
        <v>44605</v>
      </c>
      <c r="F161" t="s">
        <v>14</v>
      </c>
      <c r="G161">
        <v>14162</v>
      </c>
      <c r="H161">
        <v>7133</v>
      </c>
      <c r="I161">
        <v>3.75</v>
      </c>
      <c r="J161">
        <v>115</v>
      </c>
      <c r="P161">
        <f t="shared" ca="1" si="9"/>
        <v>1247</v>
      </c>
      <c r="Q161" t="str" cm="1">
        <f t="array" ref="Q161">_xlfn.IFS(I161&gt;=3.5,"Excellent", I161&gt;3,"Good",I161&gt;2,"Average",I161&lt;2,"Poor")</f>
        <v>Excellent</v>
      </c>
      <c r="S161" t="b">
        <f t="shared" si="10"/>
        <v>1</v>
      </c>
      <c r="U161">
        <f t="shared" si="11"/>
        <v>2022</v>
      </c>
      <c r="AA161" t="str">
        <f t="shared" ca="1" si="12"/>
        <v/>
      </c>
    </row>
    <row r="162" spans="1:27" x14ac:dyDescent="0.3">
      <c r="A162" t="s">
        <v>345</v>
      </c>
      <c r="B162" t="s">
        <v>346</v>
      </c>
      <c r="C162" t="s">
        <v>28</v>
      </c>
      <c r="D162" t="s">
        <v>13</v>
      </c>
      <c r="E162" s="1">
        <v>44579</v>
      </c>
      <c r="F162" t="s">
        <v>14</v>
      </c>
      <c r="G162">
        <v>12730</v>
      </c>
      <c r="H162">
        <v>8258</v>
      </c>
      <c r="I162">
        <v>3.22</v>
      </c>
      <c r="J162">
        <v>99</v>
      </c>
      <c r="P162">
        <f t="shared" ca="1" si="9"/>
        <v>1273</v>
      </c>
      <c r="Q162" t="str" cm="1">
        <f t="array" ref="Q162">_xlfn.IFS(I162&gt;=3.5,"Excellent", I162&gt;3,"Good",I162&gt;2,"Average",I162&lt;2,"Poor")</f>
        <v>Good</v>
      </c>
      <c r="S162" t="b">
        <f t="shared" si="10"/>
        <v>1</v>
      </c>
      <c r="U162">
        <f t="shared" si="11"/>
        <v>2022</v>
      </c>
      <c r="AA162" t="str">
        <f t="shared" ca="1" si="12"/>
        <v/>
      </c>
    </row>
    <row r="163" spans="1:27" x14ac:dyDescent="0.3">
      <c r="A163" t="s">
        <v>347</v>
      </c>
      <c r="B163" t="s">
        <v>348</v>
      </c>
      <c r="C163" t="s">
        <v>57</v>
      </c>
      <c r="D163" t="s">
        <v>18</v>
      </c>
      <c r="E163" s="1">
        <v>45213</v>
      </c>
      <c r="F163" t="s">
        <v>19</v>
      </c>
      <c r="G163">
        <v>12837</v>
      </c>
      <c r="H163">
        <v>3765</v>
      </c>
      <c r="I163">
        <v>3.52</v>
      </c>
      <c r="J163">
        <v>105</v>
      </c>
      <c r="P163" t="str">
        <f t="shared" ca="1" si="9"/>
        <v xml:space="preserve"> </v>
      </c>
      <c r="Q163" t="str" cm="1">
        <f t="array" ref="Q163">_xlfn.IFS(I163&gt;=3.5,"Excellent", I163&gt;3,"Good",I163&gt;2,"Average",I163&lt;2,"Poor")</f>
        <v>Excellent</v>
      </c>
      <c r="S163" t="str">
        <f t="shared" si="10"/>
        <v xml:space="preserve"> </v>
      </c>
      <c r="U163">
        <f t="shared" si="11"/>
        <v>2023</v>
      </c>
      <c r="AA163">
        <f t="shared" ca="1" si="12"/>
        <v>639</v>
      </c>
    </row>
    <row r="164" spans="1:27" x14ac:dyDescent="0.3">
      <c r="A164" t="s">
        <v>349</v>
      </c>
      <c r="B164" t="s">
        <v>350</v>
      </c>
      <c r="C164" t="s">
        <v>28</v>
      </c>
      <c r="D164" t="s">
        <v>31</v>
      </c>
      <c r="E164" s="1">
        <v>45025</v>
      </c>
      <c r="F164" t="s">
        <v>39</v>
      </c>
      <c r="G164">
        <v>6301</v>
      </c>
      <c r="H164">
        <v>527</v>
      </c>
      <c r="I164">
        <v>3.23</v>
      </c>
      <c r="J164">
        <v>117</v>
      </c>
      <c r="P164" t="str">
        <f t="shared" ca="1" si="9"/>
        <v xml:space="preserve"> </v>
      </c>
      <c r="Q164" t="str" cm="1">
        <f t="array" ref="Q164">_xlfn.IFS(I164&gt;=3.5,"Excellent", I164&gt;3,"Good",I164&gt;2,"Average",I164&lt;2,"Poor")</f>
        <v>Good</v>
      </c>
      <c r="S164" t="str">
        <f t="shared" si="10"/>
        <v xml:space="preserve"> </v>
      </c>
      <c r="U164">
        <f t="shared" si="11"/>
        <v>2023</v>
      </c>
      <c r="AA164" t="str">
        <f t="shared" ca="1" si="12"/>
        <v/>
      </c>
    </row>
    <row r="165" spans="1:27" x14ac:dyDescent="0.3">
      <c r="A165" t="s">
        <v>351</v>
      </c>
      <c r="B165" t="s">
        <v>352</v>
      </c>
      <c r="C165" t="s">
        <v>36</v>
      </c>
      <c r="D165" t="s">
        <v>31</v>
      </c>
      <c r="E165" s="1">
        <v>44706</v>
      </c>
      <c r="F165" t="s">
        <v>14</v>
      </c>
      <c r="G165">
        <v>12857</v>
      </c>
      <c r="H165">
        <v>2010</v>
      </c>
      <c r="I165">
        <v>2.76</v>
      </c>
      <c r="J165">
        <v>4</v>
      </c>
      <c r="P165">
        <f t="shared" ca="1" si="9"/>
        <v>1146</v>
      </c>
      <c r="Q165" t="str" cm="1">
        <f t="array" ref="Q165">_xlfn.IFS(I165&gt;=3.5,"Excellent", I165&gt;3,"Good",I165&gt;2,"Average",I165&lt;2,"Poor")</f>
        <v>Average</v>
      </c>
      <c r="S165" t="str">
        <f t="shared" si="10"/>
        <v xml:space="preserve"> </v>
      </c>
      <c r="U165">
        <f t="shared" si="11"/>
        <v>2022</v>
      </c>
      <c r="AA165" t="str">
        <f t="shared" ca="1" si="12"/>
        <v/>
      </c>
    </row>
    <row r="166" spans="1:27" x14ac:dyDescent="0.3">
      <c r="A166" t="s">
        <v>353</v>
      </c>
      <c r="B166" t="s">
        <v>354</v>
      </c>
      <c r="C166" t="s">
        <v>25</v>
      </c>
      <c r="D166" t="s">
        <v>13</v>
      </c>
      <c r="E166" s="1">
        <v>44803</v>
      </c>
      <c r="F166" t="s">
        <v>14</v>
      </c>
      <c r="G166">
        <v>10432</v>
      </c>
      <c r="H166">
        <v>8752</v>
      </c>
      <c r="I166">
        <v>3.08</v>
      </c>
      <c r="J166">
        <v>77</v>
      </c>
      <c r="P166">
        <f t="shared" ca="1" si="9"/>
        <v>1049</v>
      </c>
      <c r="Q166" t="str" cm="1">
        <f t="array" ref="Q166">_xlfn.IFS(I166&gt;=3.5,"Excellent", I166&gt;3,"Good",I166&gt;2,"Average",I166&lt;2,"Poor")</f>
        <v>Good</v>
      </c>
      <c r="S166" t="b">
        <f t="shared" si="10"/>
        <v>1</v>
      </c>
      <c r="U166">
        <f t="shared" si="11"/>
        <v>2022</v>
      </c>
      <c r="AA166" t="str">
        <f t="shared" ca="1" si="12"/>
        <v/>
      </c>
    </row>
    <row r="167" spans="1:27" x14ac:dyDescent="0.3">
      <c r="A167" t="s">
        <v>355</v>
      </c>
      <c r="B167" t="s">
        <v>356</v>
      </c>
      <c r="C167" t="s">
        <v>25</v>
      </c>
      <c r="D167" t="s">
        <v>18</v>
      </c>
      <c r="E167" s="1">
        <v>44838</v>
      </c>
      <c r="F167" t="s">
        <v>19</v>
      </c>
      <c r="G167">
        <v>11825</v>
      </c>
      <c r="H167">
        <v>9226</v>
      </c>
      <c r="I167">
        <v>3.93</v>
      </c>
      <c r="J167">
        <v>43</v>
      </c>
      <c r="P167" t="str">
        <f t="shared" ca="1" si="9"/>
        <v xml:space="preserve"> </v>
      </c>
      <c r="Q167" t="str" cm="1">
        <f t="array" ref="Q167">_xlfn.IFS(I167&gt;=3.5,"Excellent", I167&gt;3,"Good",I167&gt;2,"Average",I167&lt;2,"Poor")</f>
        <v>Excellent</v>
      </c>
      <c r="S167" t="b">
        <f t="shared" si="10"/>
        <v>1</v>
      </c>
      <c r="U167">
        <f t="shared" si="11"/>
        <v>2022</v>
      </c>
      <c r="AA167">
        <f t="shared" ca="1" si="12"/>
        <v>1014</v>
      </c>
    </row>
    <row r="168" spans="1:27" x14ac:dyDescent="0.3">
      <c r="A168" t="s">
        <v>357</v>
      </c>
      <c r="B168" t="s">
        <v>358</v>
      </c>
      <c r="C168" t="s">
        <v>17</v>
      </c>
      <c r="D168" t="s">
        <v>62</v>
      </c>
      <c r="E168" s="1">
        <v>45262</v>
      </c>
      <c r="F168" t="s">
        <v>14</v>
      </c>
      <c r="G168">
        <v>3474</v>
      </c>
      <c r="H168">
        <v>3909</v>
      </c>
      <c r="I168">
        <v>3.89</v>
      </c>
      <c r="J168">
        <v>111</v>
      </c>
      <c r="P168">
        <f t="shared" ca="1" si="9"/>
        <v>590</v>
      </c>
      <c r="Q168" t="str" cm="1">
        <f t="array" ref="Q168">_xlfn.IFS(I168&gt;=3.5,"Excellent", I168&gt;3,"Good",I168&gt;2,"Average",I168&lt;2,"Poor")</f>
        <v>Excellent</v>
      </c>
      <c r="S168" t="b">
        <f t="shared" si="10"/>
        <v>1</v>
      </c>
      <c r="U168">
        <f t="shared" si="11"/>
        <v>2023</v>
      </c>
      <c r="AA168" t="str">
        <f t="shared" ca="1" si="12"/>
        <v/>
      </c>
    </row>
    <row r="169" spans="1:27" x14ac:dyDescent="0.3">
      <c r="A169" t="s">
        <v>359</v>
      </c>
      <c r="B169" t="s">
        <v>360</v>
      </c>
      <c r="C169" t="s">
        <v>22</v>
      </c>
      <c r="D169" t="s">
        <v>13</v>
      </c>
      <c r="E169" s="1">
        <v>44583</v>
      </c>
      <c r="F169" t="s">
        <v>19</v>
      </c>
      <c r="G169">
        <v>14567</v>
      </c>
      <c r="H169">
        <v>6117</v>
      </c>
      <c r="I169">
        <v>2.2400000000000002</v>
      </c>
      <c r="J169">
        <v>9</v>
      </c>
      <c r="P169" t="str">
        <f t="shared" ca="1" si="9"/>
        <v xml:space="preserve"> </v>
      </c>
      <c r="Q169" t="str" cm="1">
        <f t="array" ref="Q169">_xlfn.IFS(I169&gt;=3.5,"Excellent", I169&gt;3,"Good",I169&gt;2,"Average",I169&lt;2,"Poor")</f>
        <v>Average</v>
      </c>
      <c r="S169" t="str">
        <f t="shared" si="10"/>
        <v xml:space="preserve"> </v>
      </c>
      <c r="U169">
        <f t="shared" si="11"/>
        <v>2022</v>
      </c>
      <c r="AA169">
        <f t="shared" ca="1" si="12"/>
        <v>1269</v>
      </c>
    </row>
    <row r="170" spans="1:27" x14ac:dyDescent="0.3">
      <c r="A170" t="s">
        <v>361</v>
      </c>
      <c r="B170" t="s">
        <v>362</v>
      </c>
      <c r="C170" t="s">
        <v>54</v>
      </c>
      <c r="D170" t="s">
        <v>31</v>
      </c>
      <c r="E170" s="1">
        <v>44933</v>
      </c>
      <c r="F170" t="s">
        <v>14</v>
      </c>
      <c r="G170">
        <v>12381</v>
      </c>
      <c r="H170">
        <v>5712</v>
      </c>
      <c r="I170">
        <v>2.57</v>
      </c>
      <c r="J170">
        <v>104</v>
      </c>
      <c r="P170">
        <f t="shared" ca="1" si="9"/>
        <v>919</v>
      </c>
      <c r="Q170" t="str" cm="1">
        <f t="array" ref="Q170">_xlfn.IFS(I170&gt;=3.5,"Excellent", I170&gt;3,"Good",I170&gt;2,"Average",I170&lt;2,"Poor")</f>
        <v>Average</v>
      </c>
      <c r="S170" t="str">
        <f t="shared" si="10"/>
        <v xml:space="preserve"> </v>
      </c>
      <c r="U170">
        <f t="shared" si="11"/>
        <v>2023</v>
      </c>
      <c r="AA170" t="str">
        <f t="shared" ca="1" si="12"/>
        <v/>
      </c>
    </row>
    <row r="171" spans="1:27" x14ac:dyDescent="0.3">
      <c r="A171" t="s">
        <v>363</v>
      </c>
      <c r="B171" t="s">
        <v>364</v>
      </c>
      <c r="C171" t="s">
        <v>17</v>
      </c>
      <c r="D171" t="s">
        <v>18</v>
      </c>
      <c r="E171" s="1">
        <v>45386</v>
      </c>
      <c r="F171" t="s">
        <v>14</v>
      </c>
      <c r="G171">
        <v>14324</v>
      </c>
      <c r="H171">
        <v>3842</v>
      </c>
      <c r="I171">
        <v>3.29</v>
      </c>
      <c r="J171">
        <v>36</v>
      </c>
      <c r="P171">
        <f t="shared" ca="1" si="9"/>
        <v>466</v>
      </c>
      <c r="Q171" t="str" cm="1">
        <f t="array" ref="Q171">_xlfn.IFS(I171&gt;=3.5,"Excellent", I171&gt;3,"Good",I171&gt;2,"Average",I171&lt;2,"Poor")</f>
        <v>Good</v>
      </c>
      <c r="S171" t="str">
        <f t="shared" si="10"/>
        <v xml:space="preserve"> </v>
      </c>
      <c r="U171">
        <f t="shared" si="11"/>
        <v>2024</v>
      </c>
      <c r="AA171" t="str">
        <f t="shared" ca="1" si="12"/>
        <v/>
      </c>
    </row>
    <row r="172" spans="1:27" x14ac:dyDescent="0.3">
      <c r="A172" t="s">
        <v>365</v>
      </c>
      <c r="B172" t="s">
        <v>366</v>
      </c>
      <c r="C172" t="s">
        <v>28</v>
      </c>
      <c r="D172" t="s">
        <v>62</v>
      </c>
      <c r="E172" s="1">
        <v>45188</v>
      </c>
      <c r="F172" t="s">
        <v>14</v>
      </c>
      <c r="G172">
        <v>12649</v>
      </c>
      <c r="H172">
        <v>5633</v>
      </c>
      <c r="I172">
        <v>2.2999999999999998</v>
      </c>
      <c r="J172">
        <v>77</v>
      </c>
      <c r="P172">
        <f t="shared" ca="1" si="9"/>
        <v>664</v>
      </c>
      <c r="Q172" t="str" cm="1">
        <f t="array" ref="Q172">_xlfn.IFS(I172&gt;=3.5,"Excellent", I172&gt;3,"Good",I172&gt;2,"Average",I172&lt;2,"Poor")</f>
        <v>Average</v>
      </c>
      <c r="S172" t="str">
        <f t="shared" si="10"/>
        <v xml:space="preserve"> </v>
      </c>
      <c r="U172">
        <f t="shared" si="11"/>
        <v>2023</v>
      </c>
      <c r="AA172" t="str">
        <f t="shared" ca="1" si="12"/>
        <v/>
      </c>
    </row>
    <row r="173" spans="1:27" x14ac:dyDescent="0.3">
      <c r="A173" t="s">
        <v>367</v>
      </c>
      <c r="B173" t="s">
        <v>368</v>
      </c>
      <c r="C173" t="s">
        <v>25</v>
      </c>
      <c r="D173" t="s">
        <v>13</v>
      </c>
      <c r="E173" s="1">
        <v>45282</v>
      </c>
      <c r="F173" t="s">
        <v>19</v>
      </c>
      <c r="G173">
        <v>14074</v>
      </c>
      <c r="H173">
        <v>6861</v>
      </c>
      <c r="I173">
        <v>3.43</v>
      </c>
      <c r="J173">
        <v>82</v>
      </c>
      <c r="P173" t="str">
        <f t="shared" ca="1" si="9"/>
        <v xml:space="preserve"> </v>
      </c>
      <c r="Q173" t="str" cm="1">
        <f t="array" ref="Q173">_xlfn.IFS(I173&gt;=3.5,"Excellent", I173&gt;3,"Good",I173&gt;2,"Average",I173&lt;2,"Poor")</f>
        <v>Good</v>
      </c>
      <c r="S173" t="str">
        <f t="shared" si="10"/>
        <v xml:space="preserve"> </v>
      </c>
      <c r="U173">
        <f t="shared" si="11"/>
        <v>2023</v>
      </c>
      <c r="AA173">
        <f t="shared" ca="1" si="12"/>
        <v>570</v>
      </c>
    </row>
    <row r="174" spans="1:27" x14ac:dyDescent="0.3">
      <c r="A174" t="s">
        <v>369</v>
      </c>
      <c r="B174" t="s">
        <v>370</v>
      </c>
      <c r="C174" t="s">
        <v>12</v>
      </c>
      <c r="D174" t="s">
        <v>62</v>
      </c>
      <c r="E174" s="1">
        <v>45327</v>
      </c>
      <c r="F174" t="s">
        <v>19</v>
      </c>
      <c r="G174">
        <v>3427</v>
      </c>
      <c r="H174">
        <v>4126</v>
      </c>
      <c r="I174">
        <v>3.35</v>
      </c>
      <c r="J174">
        <v>24</v>
      </c>
      <c r="P174" t="str">
        <f t="shared" ca="1" si="9"/>
        <v xml:space="preserve"> </v>
      </c>
      <c r="Q174" t="str" cm="1">
        <f t="array" ref="Q174">_xlfn.IFS(I174&gt;=3.5,"Excellent", I174&gt;3,"Good",I174&gt;2,"Average",I174&lt;2,"Poor")</f>
        <v>Good</v>
      </c>
      <c r="S174" t="b">
        <f t="shared" si="10"/>
        <v>1</v>
      </c>
      <c r="U174">
        <f t="shared" si="11"/>
        <v>2024</v>
      </c>
      <c r="AA174">
        <f t="shared" ca="1" si="12"/>
        <v>525</v>
      </c>
    </row>
    <row r="175" spans="1:27" x14ac:dyDescent="0.3">
      <c r="A175" t="s">
        <v>371</v>
      </c>
      <c r="B175" t="s">
        <v>372</v>
      </c>
      <c r="C175" t="s">
        <v>17</v>
      </c>
      <c r="D175" t="s">
        <v>13</v>
      </c>
      <c r="E175" s="1">
        <v>44588</v>
      </c>
      <c r="F175" t="s">
        <v>14</v>
      </c>
      <c r="G175">
        <v>12397</v>
      </c>
      <c r="H175">
        <v>1786</v>
      </c>
      <c r="I175">
        <v>3.54</v>
      </c>
      <c r="J175">
        <v>60</v>
      </c>
      <c r="P175">
        <f t="shared" ca="1" si="9"/>
        <v>1264</v>
      </c>
      <c r="Q175" t="str" cm="1">
        <f t="array" ref="Q175">_xlfn.IFS(I175&gt;=3.5,"Excellent", I175&gt;3,"Good",I175&gt;2,"Average",I175&lt;2,"Poor")</f>
        <v>Excellent</v>
      </c>
      <c r="S175" t="str">
        <f t="shared" si="10"/>
        <v xml:space="preserve"> </v>
      </c>
      <c r="U175">
        <f t="shared" si="11"/>
        <v>2022</v>
      </c>
      <c r="AA175" t="str">
        <f t="shared" ca="1" si="12"/>
        <v/>
      </c>
    </row>
    <row r="176" spans="1:27" x14ac:dyDescent="0.3">
      <c r="A176" t="s">
        <v>373</v>
      </c>
      <c r="B176" t="s">
        <v>374</v>
      </c>
      <c r="C176" t="s">
        <v>25</v>
      </c>
      <c r="D176" t="s">
        <v>18</v>
      </c>
      <c r="E176" s="1">
        <v>44668</v>
      </c>
      <c r="F176" t="s">
        <v>39</v>
      </c>
      <c r="G176">
        <v>6795</v>
      </c>
      <c r="H176">
        <v>8202</v>
      </c>
      <c r="I176">
        <v>2.66</v>
      </c>
      <c r="J176">
        <v>64</v>
      </c>
      <c r="P176" t="str">
        <f t="shared" ca="1" si="9"/>
        <v xml:space="preserve"> </v>
      </c>
      <c r="Q176" t="str" cm="1">
        <f t="array" ref="Q176">_xlfn.IFS(I176&gt;=3.5,"Excellent", I176&gt;3,"Good",I176&gt;2,"Average",I176&lt;2,"Poor")</f>
        <v>Average</v>
      </c>
      <c r="S176" t="b">
        <f t="shared" si="10"/>
        <v>1</v>
      </c>
      <c r="U176">
        <f t="shared" si="11"/>
        <v>2022</v>
      </c>
      <c r="AA176" t="str">
        <f t="shared" ca="1" si="12"/>
        <v/>
      </c>
    </row>
    <row r="177" spans="1:27" x14ac:dyDescent="0.3">
      <c r="A177" t="s">
        <v>375</v>
      </c>
      <c r="B177" t="s">
        <v>376</v>
      </c>
      <c r="C177" t="s">
        <v>28</v>
      </c>
      <c r="D177" t="s">
        <v>62</v>
      </c>
      <c r="E177" s="1">
        <v>44700</v>
      </c>
      <c r="F177" t="s">
        <v>19</v>
      </c>
      <c r="G177">
        <v>8638</v>
      </c>
      <c r="H177">
        <v>9153</v>
      </c>
      <c r="I177">
        <v>3.5</v>
      </c>
      <c r="J177">
        <v>113</v>
      </c>
      <c r="P177" t="str">
        <f t="shared" ca="1" si="9"/>
        <v xml:space="preserve"> </v>
      </c>
      <c r="Q177" t="str" cm="1">
        <f t="array" ref="Q177">_xlfn.IFS(I177&gt;=3.5,"Excellent", I177&gt;3,"Good",I177&gt;2,"Average",I177&lt;2,"Poor")</f>
        <v>Excellent</v>
      </c>
      <c r="S177" t="b">
        <f t="shared" si="10"/>
        <v>1</v>
      </c>
      <c r="U177">
        <f t="shared" si="11"/>
        <v>2022</v>
      </c>
      <c r="AA177">
        <f t="shared" ca="1" si="12"/>
        <v>1152</v>
      </c>
    </row>
    <row r="178" spans="1:27" x14ac:dyDescent="0.3">
      <c r="A178" t="s">
        <v>377</v>
      </c>
      <c r="B178" t="s">
        <v>378</v>
      </c>
      <c r="C178" t="s">
        <v>17</v>
      </c>
      <c r="D178" t="s">
        <v>18</v>
      </c>
      <c r="E178" s="1">
        <v>44956</v>
      </c>
      <c r="F178" t="s">
        <v>39</v>
      </c>
      <c r="G178">
        <v>7115</v>
      </c>
      <c r="H178">
        <v>4495</v>
      </c>
      <c r="I178">
        <v>2.46</v>
      </c>
      <c r="J178">
        <v>113</v>
      </c>
      <c r="P178" t="str">
        <f t="shared" ca="1" si="9"/>
        <v xml:space="preserve"> </v>
      </c>
      <c r="Q178" t="str" cm="1">
        <f t="array" ref="Q178">_xlfn.IFS(I178&gt;=3.5,"Excellent", I178&gt;3,"Good",I178&gt;2,"Average",I178&lt;2,"Poor")</f>
        <v>Average</v>
      </c>
      <c r="S178" t="b">
        <f t="shared" si="10"/>
        <v>1</v>
      </c>
      <c r="U178">
        <f t="shared" si="11"/>
        <v>2023</v>
      </c>
      <c r="AA178" t="str">
        <f t="shared" ca="1" si="12"/>
        <v/>
      </c>
    </row>
    <row r="179" spans="1:27" x14ac:dyDescent="0.3">
      <c r="A179" t="s">
        <v>379</v>
      </c>
      <c r="B179" t="s">
        <v>380</v>
      </c>
      <c r="C179" t="s">
        <v>57</v>
      </c>
      <c r="D179" t="s">
        <v>62</v>
      </c>
      <c r="E179" s="1">
        <v>44745</v>
      </c>
      <c r="F179" t="s">
        <v>19</v>
      </c>
      <c r="G179">
        <v>9350</v>
      </c>
      <c r="H179">
        <v>9475</v>
      </c>
      <c r="I179">
        <v>2.27</v>
      </c>
      <c r="J179">
        <v>42</v>
      </c>
      <c r="P179" t="str">
        <f t="shared" ca="1" si="9"/>
        <v xml:space="preserve"> </v>
      </c>
      <c r="Q179" t="str" cm="1">
        <f t="array" ref="Q179">_xlfn.IFS(I179&gt;=3.5,"Excellent", I179&gt;3,"Good",I179&gt;2,"Average",I179&lt;2,"Poor")</f>
        <v>Average</v>
      </c>
      <c r="S179" t="b">
        <f t="shared" si="10"/>
        <v>1</v>
      </c>
      <c r="U179">
        <f t="shared" si="11"/>
        <v>2022</v>
      </c>
      <c r="AA179">
        <f t="shared" ca="1" si="12"/>
        <v>1107</v>
      </c>
    </row>
    <row r="180" spans="1:27" x14ac:dyDescent="0.3">
      <c r="A180" t="s">
        <v>381</v>
      </c>
      <c r="B180" t="s">
        <v>382</v>
      </c>
      <c r="C180" t="s">
        <v>28</v>
      </c>
      <c r="D180" t="s">
        <v>62</v>
      </c>
      <c r="E180" s="1">
        <v>45241</v>
      </c>
      <c r="F180" t="s">
        <v>14</v>
      </c>
      <c r="G180">
        <v>9814</v>
      </c>
      <c r="H180">
        <v>5383</v>
      </c>
      <c r="I180">
        <v>3.3</v>
      </c>
      <c r="J180">
        <v>26</v>
      </c>
      <c r="P180">
        <f t="shared" ca="1" si="9"/>
        <v>611</v>
      </c>
      <c r="Q180" t="str" cm="1">
        <f t="array" ref="Q180">_xlfn.IFS(I180&gt;=3.5,"Excellent", I180&gt;3,"Good",I180&gt;2,"Average",I180&lt;2,"Poor")</f>
        <v>Good</v>
      </c>
      <c r="S180" t="b">
        <f t="shared" si="10"/>
        <v>1</v>
      </c>
      <c r="U180">
        <f t="shared" si="11"/>
        <v>2023</v>
      </c>
      <c r="AA180" t="str">
        <f t="shared" ca="1" si="12"/>
        <v/>
      </c>
    </row>
    <row r="181" spans="1:27" x14ac:dyDescent="0.3">
      <c r="A181" t="s">
        <v>383</v>
      </c>
      <c r="B181" t="s">
        <v>384</v>
      </c>
      <c r="C181" t="s">
        <v>36</v>
      </c>
      <c r="D181" t="s">
        <v>18</v>
      </c>
      <c r="E181" s="1">
        <v>45378</v>
      </c>
      <c r="F181" t="s">
        <v>19</v>
      </c>
      <c r="G181">
        <v>3206</v>
      </c>
      <c r="H181">
        <v>3995</v>
      </c>
      <c r="I181">
        <v>2.2200000000000002</v>
      </c>
      <c r="J181">
        <v>76</v>
      </c>
      <c r="P181" t="str">
        <f t="shared" ca="1" si="9"/>
        <v xml:space="preserve"> </v>
      </c>
      <c r="Q181" t="str" cm="1">
        <f t="array" ref="Q181">_xlfn.IFS(I181&gt;=3.5,"Excellent", I181&gt;3,"Good",I181&gt;2,"Average",I181&lt;2,"Poor")</f>
        <v>Average</v>
      </c>
      <c r="S181" t="b">
        <f t="shared" si="10"/>
        <v>1</v>
      </c>
      <c r="U181">
        <f t="shared" si="11"/>
        <v>2024</v>
      </c>
      <c r="AA181">
        <f t="shared" ca="1" si="12"/>
        <v>474</v>
      </c>
    </row>
    <row r="182" spans="1:27" x14ac:dyDescent="0.3">
      <c r="A182" t="s">
        <v>385</v>
      </c>
      <c r="B182" t="s">
        <v>386</v>
      </c>
      <c r="C182" t="s">
        <v>25</v>
      </c>
      <c r="D182" t="s">
        <v>18</v>
      </c>
      <c r="E182" s="1">
        <v>45207</v>
      </c>
      <c r="F182" t="s">
        <v>14</v>
      </c>
      <c r="G182">
        <v>3198</v>
      </c>
      <c r="H182">
        <v>3690</v>
      </c>
      <c r="I182">
        <v>2.64</v>
      </c>
      <c r="J182">
        <v>69</v>
      </c>
      <c r="P182">
        <f t="shared" ca="1" si="9"/>
        <v>645</v>
      </c>
      <c r="Q182" t="str" cm="1">
        <f t="array" ref="Q182">_xlfn.IFS(I182&gt;=3.5,"Excellent", I182&gt;3,"Good",I182&gt;2,"Average",I182&lt;2,"Poor")</f>
        <v>Average</v>
      </c>
      <c r="S182" t="b">
        <f t="shared" si="10"/>
        <v>1</v>
      </c>
      <c r="U182">
        <f t="shared" si="11"/>
        <v>2023</v>
      </c>
      <c r="AA182" t="str">
        <f t="shared" ca="1" si="12"/>
        <v/>
      </c>
    </row>
    <row r="183" spans="1:27" x14ac:dyDescent="0.3">
      <c r="A183" t="s">
        <v>387</v>
      </c>
      <c r="B183" t="s">
        <v>388</v>
      </c>
      <c r="C183" t="s">
        <v>36</v>
      </c>
      <c r="D183" t="s">
        <v>18</v>
      </c>
      <c r="E183" s="1">
        <v>44761</v>
      </c>
      <c r="F183" t="s">
        <v>14</v>
      </c>
      <c r="G183">
        <v>2972</v>
      </c>
      <c r="H183">
        <v>2721</v>
      </c>
      <c r="I183">
        <v>3.6</v>
      </c>
      <c r="J183">
        <v>24</v>
      </c>
      <c r="P183">
        <f t="shared" ca="1" si="9"/>
        <v>1091</v>
      </c>
      <c r="Q183" t="str" cm="1">
        <f t="array" ref="Q183">_xlfn.IFS(I183&gt;=3.5,"Excellent", I183&gt;3,"Good",I183&gt;2,"Average",I183&lt;2,"Poor")</f>
        <v>Excellent</v>
      </c>
      <c r="S183" t="b">
        <f t="shared" si="10"/>
        <v>1</v>
      </c>
      <c r="U183">
        <f t="shared" si="11"/>
        <v>2022</v>
      </c>
      <c r="AA183" t="str">
        <f t="shared" ca="1" si="12"/>
        <v/>
      </c>
    </row>
    <row r="184" spans="1:27" x14ac:dyDescent="0.3">
      <c r="A184" t="s">
        <v>389</v>
      </c>
      <c r="B184" t="s">
        <v>390</v>
      </c>
      <c r="C184" t="s">
        <v>17</v>
      </c>
      <c r="D184" t="s">
        <v>13</v>
      </c>
      <c r="E184" s="1">
        <v>45327</v>
      </c>
      <c r="F184" t="s">
        <v>14</v>
      </c>
      <c r="G184">
        <v>8985</v>
      </c>
      <c r="H184">
        <v>1826</v>
      </c>
      <c r="I184">
        <v>2.1</v>
      </c>
      <c r="J184">
        <v>9</v>
      </c>
      <c r="P184">
        <f t="shared" ca="1" si="9"/>
        <v>525</v>
      </c>
      <c r="Q184" t="str" cm="1">
        <f t="array" ref="Q184">_xlfn.IFS(I184&gt;=3.5,"Excellent", I184&gt;3,"Good",I184&gt;2,"Average",I184&lt;2,"Poor")</f>
        <v>Average</v>
      </c>
      <c r="S184" t="str">
        <f t="shared" si="10"/>
        <v xml:space="preserve"> </v>
      </c>
      <c r="U184">
        <f t="shared" si="11"/>
        <v>2024</v>
      </c>
      <c r="AA184" t="str">
        <f t="shared" ca="1" si="12"/>
        <v/>
      </c>
    </row>
    <row r="185" spans="1:27" x14ac:dyDescent="0.3">
      <c r="A185" t="s">
        <v>391</v>
      </c>
      <c r="B185" t="s">
        <v>392</v>
      </c>
      <c r="C185" t="s">
        <v>28</v>
      </c>
      <c r="D185" t="s">
        <v>13</v>
      </c>
      <c r="E185" s="1">
        <v>44934</v>
      </c>
      <c r="F185" t="s">
        <v>14</v>
      </c>
      <c r="G185">
        <v>8434</v>
      </c>
      <c r="H185">
        <v>5655</v>
      </c>
      <c r="I185">
        <v>3.62</v>
      </c>
      <c r="J185">
        <v>50</v>
      </c>
      <c r="P185">
        <f t="shared" ca="1" si="9"/>
        <v>918</v>
      </c>
      <c r="Q185" t="str" cm="1">
        <f t="array" ref="Q185">_xlfn.IFS(I185&gt;=3.5,"Excellent", I185&gt;3,"Good",I185&gt;2,"Average",I185&lt;2,"Poor")</f>
        <v>Excellent</v>
      </c>
      <c r="S185" t="b">
        <f t="shared" si="10"/>
        <v>1</v>
      </c>
      <c r="U185">
        <f t="shared" si="11"/>
        <v>2023</v>
      </c>
      <c r="AA185" t="str">
        <f t="shared" ca="1" si="12"/>
        <v/>
      </c>
    </row>
    <row r="186" spans="1:27" x14ac:dyDescent="0.3">
      <c r="A186" t="s">
        <v>393</v>
      </c>
      <c r="B186" t="s">
        <v>394</v>
      </c>
      <c r="C186" t="s">
        <v>57</v>
      </c>
      <c r="D186" t="s">
        <v>13</v>
      </c>
      <c r="E186" s="1">
        <v>45389</v>
      </c>
      <c r="F186" t="s">
        <v>39</v>
      </c>
      <c r="G186">
        <v>8637</v>
      </c>
      <c r="H186">
        <v>6872</v>
      </c>
      <c r="I186">
        <v>2.02</v>
      </c>
      <c r="J186">
        <v>2</v>
      </c>
      <c r="P186" t="str">
        <f t="shared" ca="1" si="9"/>
        <v xml:space="preserve"> </v>
      </c>
      <c r="Q186" t="str" cm="1">
        <f t="array" ref="Q186">_xlfn.IFS(I186&gt;=3.5,"Excellent", I186&gt;3,"Good",I186&gt;2,"Average",I186&lt;2,"Poor")</f>
        <v>Average</v>
      </c>
      <c r="S186" t="b">
        <f t="shared" si="10"/>
        <v>1</v>
      </c>
      <c r="U186">
        <f t="shared" si="11"/>
        <v>2024</v>
      </c>
      <c r="AA186" t="str">
        <f t="shared" ca="1" si="12"/>
        <v/>
      </c>
    </row>
    <row r="187" spans="1:27" x14ac:dyDescent="0.3">
      <c r="A187" t="s">
        <v>395</v>
      </c>
      <c r="B187" t="s">
        <v>396</v>
      </c>
      <c r="C187" t="s">
        <v>22</v>
      </c>
      <c r="D187" t="s">
        <v>13</v>
      </c>
      <c r="E187" s="1">
        <v>44582</v>
      </c>
      <c r="F187" t="s">
        <v>14</v>
      </c>
      <c r="G187">
        <v>7498</v>
      </c>
      <c r="H187">
        <v>3801</v>
      </c>
      <c r="I187">
        <v>2.66</v>
      </c>
      <c r="J187">
        <v>61</v>
      </c>
      <c r="P187">
        <f t="shared" ca="1" si="9"/>
        <v>1270</v>
      </c>
      <c r="Q187" t="str" cm="1">
        <f t="array" ref="Q187">_xlfn.IFS(I187&gt;=3.5,"Excellent", I187&gt;3,"Good",I187&gt;2,"Average",I187&lt;2,"Poor")</f>
        <v>Average</v>
      </c>
      <c r="S187" t="b">
        <f t="shared" si="10"/>
        <v>1</v>
      </c>
      <c r="U187">
        <f t="shared" si="11"/>
        <v>2022</v>
      </c>
      <c r="AA187" t="str">
        <f t="shared" ca="1" si="12"/>
        <v/>
      </c>
    </row>
    <row r="188" spans="1:27" x14ac:dyDescent="0.3">
      <c r="A188" t="s">
        <v>397</v>
      </c>
      <c r="B188" t="s">
        <v>398</v>
      </c>
      <c r="C188" t="s">
        <v>54</v>
      </c>
      <c r="D188" t="s">
        <v>13</v>
      </c>
      <c r="E188" s="1">
        <v>44797</v>
      </c>
      <c r="F188" t="s">
        <v>14</v>
      </c>
      <c r="G188">
        <v>8592</v>
      </c>
      <c r="H188">
        <v>2399</v>
      </c>
      <c r="I188">
        <v>2.95</v>
      </c>
      <c r="J188">
        <v>113</v>
      </c>
      <c r="P188">
        <f t="shared" ca="1" si="9"/>
        <v>1055</v>
      </c>
      <c r="Q188" t="str" cm="1">
        <f t="array" ref="Q188">_xlfn.IFS(I188&gt;=3.5,"Excellent", I188&gt;3,"Good",I188&gt;2,"Average",I188&lt;2,"Poor")</f>
        <v>Average</v>
      </c>
      <c r="S188" t="str">
        <f t="shared" si="10"/>
        <v xml:space="preserve"> </v>
      </c>
      <c r="U188">
        <f t="shared" si="11"/>
        <v>2022</v>
      </c>
      <c r="AA188" t="str">
        <f t="shared" ca="1" si="12"/>
        <v/>
      </c>
    </row>
    <row r="189" spans="1:27" x14ac:dyDescent="0.3">
      <c r="A189" t="s">
        <v>399</v>
      </c>
      <c r="B189" t="s">
        <v>400</v>
      </c>
      <c r="C189" t="s">
        <v>12</v>
      </c>
      <c r="D189" t="s">
        <v>18</v>
      </c>
      <c r="E189" s="1">
        <v>44935</v>
      </c>
      <c r="F189" t="s">
        <v>14</v>
      </c>
      <c r="G189">
        <v>13019</v>
      </c>
      <c r="H189">
        <v>9320</v>
      </c>
      <c r="I189">
        <v>3.4</v>
      </c>
      <c r="J189">
        <v>5</v>
      </c>
      <c r="P189">
        <f t="shared" ca="1" si="9"/>
        <v>917</v>
      </c>
      <c r="Q189" t="str" cm="1">
        <f t="array" ref="Q189">_xlfn.IFS(I189&gt;=3.5,"Excellent", I189&gt;3,"Good",I189&gt;2,"Average",I189&lt;2,"Poor")</f>
        <v>Good</v>
      </c>
      <c r="S189" t="b">
        <f t="shared" si="10"/>
        <v>1</v>
      </c>
      <c r="U189">
        <f t="shared" si="11"/>
        <v>2023</v>
      </c>
      <c r="AA189" t="str">
        <f t="shared" ca="1" si="12"/>
        <v/>
      </c>
    </row>
    <row r="190" spans="1:27" x14ac:dyDescent="0.3">
      <c r="A190" t="s">
        <v>401</v>
      </c>
      <c r="B190" t="s">
        <v>402</v>
      </c>
      <c r="C190" t="s">
        <v>28</v>
      </c>
      <c r="D190" t="s">
        <v>62</v>
      </c>
      <c r="E190" s="1">
        <v>45333</v>
      </c>
      <c r="F190" t="s">
        <v>14</v>
      </c>
      <c r="G190">
        <v>4919</v>
      </c>
      <c r="H190">
        <v>1822</v>
      </c>
      <c r="I190">
        <v>2.46</v>
      </c>
      <c r="J190">
        <v>38</v>
      </c>
      <c r="P190">
        <f t="shared" ca="1" si="9"/>
        <v>519</v>
      </c>
      <c r="Q190" t="str" cm="1">
        <f t="array" ref="Q190">_xlfn.IFS(I190&gt;=3.5,"Excellent", I190&gt;3,"Good",I190&gt;2,"Average",I190&lt;2,"Poor")</f>
        <v>Average</v>
      </c>
      <c r="S190" t="str">
        <f t="shared" si="10"/>
        <v xml:space="preserve"> </v>
      </c>
      <c r="U190">
        <f t="shared" si="11"/>
        <v>2024</v>
      </c>
      <c r="AA190" t="str">
        <f t="shared" ca="1" si="12"/>
        <v/>
      </c>
    </row>
    <row r="191" spans="1:27" x14ac:dyDescent="0.3">
      <c r="A191" t="s">
        <v>403</v>
      </c>
      <c r="B191" t="s">
        <v>404</v>
      </c>
      <c r="C191" t="s">
        <v>17</v>
      </c>
      <c r="D191" t="s">
        <v>62</v>
      </c>
      <c r="E191" s="1">
        <v>45038</v>
      </c>
      <c r="F191" t="s">
        <v>14</v>
      </c>
      <c r="G191">
        <v>2581</v>
      </c>
      <c r="H191">
        <v>8966</v>
      </c>
      <c r="I191">
        <v>3.75</v>
      </c>
      <c r="J191">
        <v>22</v>
      </c>
      <c r="P191">
        <f t="shared" ca="1" si="9"/>
        <v>814</v>
      </c>
      <c r="Q191" t="str" cm="1">
        <f t="array" ref="Q191">_xlfn.IFS(I191&gt;=3.5,"Excellent", I191&gt;3,"Good",I191&gt;2,"Average",I191&lt;2,"Poor")</f>
        <v>Excellent</v>
      </c>
      <c r="S191" t="b">
        <f t="shared" si="10"/>
        <v>1</v>
      </c>
      <c r="U191">
        <f t="shared" si="11"/>
        <v>2023</v>
      </c>
      <c r="AA191" t="str">
        <f t="shared" ca="1" si="12"/>
        <v/>
      </c>
    </row>
    <row r="192" spans="1:27" x14ac:dyDescent="0.3">
      <c r="A192" t="s">
        <v>405</v>
      </c>
      <c r="B192" t="s">
        <v>406</v>
      </c>
      <c r="C192" t="s">
        <v>54</v>
      </c>
      <c r="D192" t="s">
        <v>31</v>
      </c>
      <c r="E192" s="1">
        <v>45000</v>
      </c>
      <c r="F192" t="s">
        <v>14</v>
      </c>
      <c r="G192">
        <v>7675</v>
      </c>
      <c r="H192">
        <v>2892</v>
      </c>
      <c r="I192">
        <v>3.24</v>
      </c>
      <c r="J192">
        <v>62</v>
      </c>
      <c r="P192">
        <f t="shared" ca="1" si="9"/>
        <v>852</v>
      </c>
      <c r="Q192" t="str" cm="1">
        <f t="array" ref="Q192">_xlfn.IFS(I192&gt;=3.5,"Excellent", I192&gt;3,"Good",I192&gt;2,"Average",I192&lt;2,"Poor")</f>
        <v>Good</v>
      </c>
      <c r="S192" t="str">
        <f t="shared" si="10"/>
        <v xml:space="preserve"> </v>
      </c>
      <c r="U192">
        <f t="shared" si="11"/>
        <v>2023</v>
      </c>
      <c r="AA192" t="str">
        <f t="shared" ca="1" si="12"/>
        <v/>
      </c>
    </row>
    <row r="193" spans="1:27" x14ac:dyDescent="0.3">
      <c r="A193" t="s">
        <v>407</v>
      </c>
      <c r="B193" t="s">
        <v>408</v>
      </c>
      <c r="C193" t="s">
        <v>28</v>
      </c>
      <c r="D193" t="s">
        <v>18</v>
      </c>
      <c r="E193" s="1">
        <v>45036</v>
      </c>
      <c r="F193" t="s">
        <v>14</v>
      </c>
      <c r="G193">
        <v>3222</v>
      </c>
      <c r="H193">
        <v>2025</v>
      </c>
      <c r="I193">
        <v>2.38</v>
      </c>
      <c r="J193">
        <v>6</v>
      </c>
      <c r="P193">
        <f t="shared" ca="1" si="9"/>
        <v>816</v>
      </c>
      <c r="Q193" t="str" cm="1">
        <f t="array" ref="Q193">_xlfn.IFS(I193&gt;=3.5,"Excellent", I193&gt;3,"Good",I193&gt;2,"Average",I193&lt;2,"Poor")</f>
        <v>Average</v>
      </c>
      <c r="S193" t="b">
        <f t="shared" si="10"/>
        <v>1</v>
      </c>
      <c r="U193">
        <f t="shared" si="11"/>
        <v>2023</v>
      </c>
      <c r="AA193" t="str">
        <f t="shared" ca="1" si="12"/>
        <v/>
      </c>
    </row>
    <row r="194" spans="1:27" x14ac:dyDescent="0.3">
      <c r="A194" t="s">
        <v>409</v>
      </c>
      <c r="B194" t="s">
        <v>410</v>
      </c>
      <c r="C194" t="s">
        <v>17</v>
      </c>
      <c r="D194" t="s">
        <v>18</v>
      </c>
      <c r="E194" s="1">
        <v>44606</v>
      </c>
      <c r="F194" t="s">
        <v>14</v>
      </c>
      <c r="G194">
        <v>14952</v>
      </c>
      <c r="H194">
        <v>2236</v>
      </c>
      <c r="I194">
        <v>2.34</v>
      </c>
      <c r="J194">
        <v>77</v>
      </c>
      <c r="P194">
        <f t="shared" ca="1" si="9"/>
        <v>1246</v>
      </c>
      <c r="Q194" t="str" cm="1">
        <f t="array" ref="Q194">_xlfn.IFS(I194&gt;=3.5,"Excellent", I194&gt;3,"Good",I194&gt;2,"Average",I194&lt;2,"Poor")</f>
        <v>Average</v>
      </c>
      <c r="S194" t="str">
        <f t="shared" si="10"/>
        <v xml:space="preserve"> </v>
      </c>
      <c r="U194">
        <f t="shared" si="11"/>
        <v>2022</v>
      </c>
      <c r="AA194" t="str">
        <f t="shared" ca="1" si="12"/>
        <v/>
      </c>
    </row>
    <row r="195" spans="1:27" x14ac:dyDescent="0.3">
      <c r="A195" t="s">
        <v>411</v>
      </c>
      <c r="B195" t="s">
        <v>412</v>
      </c>
      <c r="C195" t="s">
        <v>17</v>
      </c>
      <c r="D195" t="s">
        <v>13</v>
      </c>
      <c r="E195" s="1">
        <v>44678</v>
      </c>
      <c r="F195" t="s">
        <v>14</v>
      </c>
      <c r="G195">
        <v>2577</v>
      </c>
      <c r="H195">
        <v>8811</v>
      </c>
      <c r="I195">
        <v>3.43</v>
      </c>
      <c r="J195">
        <v>99</v>
      </c>
      <c r="P195">
        <f t="shared" ref="P195:P258" ca="1" si="13">IF(F195="Enrolled",TODAY()-E195, " ")</f>
        <v>1174</v>
      </c>
      <c r="Q195" t="str" cm="1">
        <f t="array" ref="Q195">_xlfn.IFS(I195&gt;=3.5,"Excellent", I195&gt;3,"Good",I195&gt;2,"Average",I195&lt;2,"Poor")</f>
        <v>Good</v>
      </c>
      <c r="S195" t="b">
        <f t="shared" ref="S195:S258" si="14">IF(H195&gt;0.5*G195,TRUE, " " )</f>
        <v>1</v>
      </c>
      <c r="U195">
        <f t="shared" ref="U195:U258" si="15">YEAR(E195)</f>
        <v>2022</v>
      </c>
      <c r="AA195" t="str">
        <f t="shared" ref="AA195:AA258" ca="1" si="16">IF(F195="Completed",TODAY()-E195,"")</f>
        <v/>
      </c>
    </row>
    <row r="196" spans="1:27" x14ac:dyDescent="0.3">
      <c r="A196" t="s">
        <v>413</v>
      </c>
      <c r="B196" t="s">
        <v>414</v>
      </c>
      <c r="C196" t="s">
        <v>57</v>
      </c>
      <c r="D196" t="s">
        <v>31</v>
      </c>
      <c r="E196" s="1">
        <v>44861</v>
      </c>
      <c r="F196" t="s">
        <v>39</v>
      </c>
      <c r="G196">
        <v>8254</v>
      </c>
      <c r="H196">
        <v>1754</v>
      </c>
      <c r="I196">
        <v>3.3</v>
      </c>
      <c r="J196">
        <v>97</v>
      </c>
      <c r="P196" t="str">
        <f t="shared" ca="1" si="13"/>
        <v xml:space="preserve"> </v>
      </c>
      <c r="Q196" t="str" cm="1">
        <f t="array" ref="Q196">_xlfn.IFS(I196&gt;=3.5,"Excellent", I196&gt;3,"Good",I196&gt;2,"Average",I196&lt;2,"Poor")</f>
        <v>Good</v>
      </c>
      <c r="S196" t="str">
        <f t="shared" si="14"/>
        <v xml:space="preserve"> </v>
      </c>
      <c r="U196">
        <f t="shared" si="15"/>
        <v>2022</v>
      </c>
      <c r="AA196" t="str">
        <f t="shared" ca="1" si="16"/>
        <v/>
      </c>
    </row>
    <row r="197" spans="1:27" x14ac:dyDescent="0.3">
      <c r="A197" t="s">
        <v>415</v>
      </c>
      <c r="B197" t="s">
        <v>416</v>
      </c>
      <c r="C197" t="s">
        <v>36</v>
      </c>
      <c r="D197" t="s">
        <v>31</v>
      </c>
      <c r="E197" s="1">
        <v>45368</v>
      </c>
      <c r="F197" t="s">
        <v>39</v>
      </c>
      <c r="G197">
        <v>3770</v>
      </c>
      <c r="H197">
        <v>4072</v>
      </c>
      <c r="I197">
        <v>2.73</v>
      </c>
      <c r="J197">
        <v>23</v>
      </c>
      <c r="P197" t="str">
        <f t="shared" ca="1" si="13"/>
        <v xml:space="preserve"> </v>
      </c>
      <c r="Q197" t="str" cm="1">
        <f t="array" ref="Q197">_xlfn.IFS(I197&gt;=3.5,"Excellent", I197&gt;3,"Good",I197&gt;2,"Average",I197&lt;2,"Poor")</f>
        <v>Average</v>
      </c>
      <c r="S197" t="b">
        <f t="shared" si="14"/>
        <v>1</v>
      </c>
      <c r="U197">
        <f t="shared" si="15"/>
        <v>2024</v>
      </c>
      <c r="AA197" t="str">
        <f t="shared" ca="1" si="16"/>
        <v/>
      </c>
    </row>
    <row r="198" spans="1:27" x14ac:dyDescent="0.3">
      <c r="A198" t="s">
        <v>417</v>
      </c>
      <c r="B198" t="s">
        <v>418</v>
      </c>
      <c r="C198" t="s">
        <v>22</v>
      </c>
      <c r="D198" t="s">
        <v>18</v>
      </c>
      <c r="E198" s="1">
        <v>44613</v>
      </c>
      <c r="F198" t="s">
        <v>14</v>
      </c>
      <c r="G198">
        <v>8294</v>
      </c>
      <c r="H198">
        <v>3336</v>
      </c>
      <c r="I198">
        <v>2.5099999999999998</v>
      </c>
      <c r="J198">
        <v>80</v>
      </c>
      <c r="P198">
        <f t="shared" ca="1" si="13"/>
        <v>1239</v>
      </c>
      <c r="Q198" t="str" cm="1">
        <f t="array" ref="Q198">_xlfn.IFS(I198&gt;=3.5,"Excellent", I198&gt;3,"Good",I198&gt;2,"Average",I198&lt;2,"Poor")</f>
        <v>Average</v>
      </c>
      <c r="S198" t="str">
        <f t="shared" si="14"/>
        <v xml:space="preserve"> </v>
      </c>
      <c r="U198">
        <f t="shared" si="15"/>
        <v>2022</v>
      </c>
      <c r="AA198" t="str">
        <f t="shared" ca="1" si="16"/>
        <v/>
      </c>
    </row>
    <row r="199" spans="1:27" x14ac:dyDescent="0.3">
      <c r="A199" t="s">
        <v>419</v>
      </c>
      <c r="B199" t="s">
        <v>420</v>
      </c>
      <c r="C199" t="s">
        <v>28</v>
      </c>
      <c r="D199" t="s">
        <v>31</v>
      </c>
      <c r="E199" s="1">
        <v>44680</v>
      </c>
      <c r="F199" t="s">
        <v>14</v>
      </c>
      <c r="G199">
        <v>11110</v>
      </c>
      <c r="H199">
        <v>5912</v>
      </c>
      <c r="I199">
        <v>2.83</v>
      </c>
      <c r="J199">
        <v>93</v>
      </c>
      <c r="P199">
        <f t="shared" ca="1" si="13"/>
        <v>1172</v>
      </c>
      <c r="Q199" t="str" cm="1">
        <f t="array" ref="Q199">_xlfn.IFS(I199&gt;=3.5,"Excellent", I199&gt;3,"Good",I199&gt;2,"Average",I199&lt;2,"Poor")</f>
        <v>Average</v>
      </c>
      <c r="S199" t="b">
        <f t="shared" si="14"/>
        <v>1</v>
      </c>
      <c r="U199">
        <f t="shared" si="15"/>
        <v>2022</v>
      </c>
      <c r="AA199" t="str">
        <f t="shared" ca="1" si="16"/>
        <v/>
      </c>
    </row>
    <row r="200" spans="1:27" x14ac:dyDescent="0.3">
      <c r="A200" t="s">
        <v>421</v>
      </c>
      <c r="B200" t="s">
        <v>422</v>
      </c>
      <c r="C200" t="s">
        <v>28</v>
      </c>
      <c r="D200" t="s">
        <v>62</v>
      </c>
      <c r="E200" s="1">
        <v>45031</v>
      </c>
      <c r="F200" t="s">
        <v>14</v>
      </c>
      <c r="G200">
        <v>4826</v>
      </c>
      <c r="H200">
        <v>9578</v>
      </c>
      <c r="I200">
        <v>3.3</v>
      </c>
      <c r="J200">
        <v>48</v>
      </c>
      <c r="P200">
        <f t="shared" ca="1" si="13"/>
        <v>821</v>
      </c>
      <c r="Q200" t="str" cm="1">
        <f t="array" ref="Q200">_xlfn.IFS(I200&gt;=3.5,"Excellent", I200&gt;3,"Good",I200&gt;2,"Average",I200&lt;2,"Poor")</f>
        <v>Good</v>
      </c>
      <c r="S200" t="b">
        <f t="shared" si="14"/>
        <v>1</v>
      </c>
      <c r="U200">
        <f t="shared" si="15"/>
        <v>2023</v>
      </c>
      <c r="AA200" t="str">
        <f t="shared" ca="1" si="16"/>
        <v/>
      </c>
    </row>
    <row r="201" spans="1:27" x14ac:dyDescent="0.3">
      <c r="A201" t="s">
        <v>423</v>
      </c>
      <c r="B201" t="s">
        <v>424</v>
      </c>
      <c r="C201" t="s">
        <v>25</v>
      </c>
      <c r="D201" t="s">
        <v>62</v>
      </c>
      <c r="E201" s="1">
        <v>44569</v>
      </c>
      <c r="F201" t="s">
        <v>14</v>
      </c>
      <c r="G201">
        <v>9328</v>
      </c>
      <c r="H201">
        <v>5482</v>
      </c>
      <c r="I201">
        <v>2.5099999999999998</v>
      </c>
      <c r="J201">
        <v>78</v>
      </c>
      <c r="P201">
        <f t="shared" ca="1" si="13"/>
        <v>1283</v>
      </c>
      <c r="Q201" t="str" cm="1">
        <f t="array" ref="Q201">_xlfn.IFS(I201&gt;=3.5,"Excellent", I201&gt;3,"Good",I201&gt;2,"Average",I201&lt;2,"Poor")</f>
        <v>Average</v>
      </c>
      <c r="S201" t="b">
        <f t="shared" si="14"/>
        <v>1</v>
      </c>
      <c r="U201">
        <f t="shared" si="15"/>
        <v>2022</v>
      </c>
      <c r="AA201" t="str">
        <f t="shared" ca="1" si="16"/>
        <v/>
      </c>
    </row>
    <row r="202" spans="1:27" x14ac:dyDescent="0.3">
      <c r="A202" t="s">
        <v>425</v>
      </c>
      <c r="B202" t="s">
        <v>426</v>
      </c>
      <c r="C202" t="s">
        <v>22</v>
      </c>
      <c r="D202" t="s">
        <v>62</v>
      </c>
      <c r="E202" s="1">
        <v>45233</v>
      </c>
      <c r="F202" t="s">
        <v>19</v>
      </c>
      <c r="G202">
        <v>10414</v>
      </c>
      <c r="H202">
        <v>3254</v>
      </c>
      <c r="I202">
        <v>2.36</v>
      </c>
      <c r="J202">
        <v>48</v>
      </c>
      <c r="P202" t="str">
        <f t="shared" ca="1" si="13"/>
        <v xml:space="preserve"> </v>
      </c>
      <c r="Q202" t="str" cm="1">
        <f t="array" ref="Q202">_xlfn.IFS(I202&gt;=3.5,"Excellent", I202&gt;3,"Good",I202&gt;2,"Average",I202&lt;2,"Poor")</f>
        <v>Average</v>
      </c>
      <c r="S202" t="str">
        <f t="shared" si="14"/>
        <v xml:space="preserve"> </v>
      </c>
      <c r="U202">
        <f t="shared" si="15"/>
        <v>2023</v>
      </c>
      <c r="AA202">
        <f t="shared" ca="1" si="16"/>
        <v>619</v>
      </c>
    </row>
    <row r="203" spans="1:27" x14ac:dyDescent="0.3">
      <c r="A203" t="s">
        <v>427</v>
      </c>
      <c r="B203" t="s">
        <v>428</v>
      </c>
      <c r="C203" t="s">
        <v>54</v>
      </c>
      <c r="D203" t="s">
        <v>62</v>
      </c>
      <c r="E203" s="1">
        <v>44813</v>
      </c>
      <c r="F203" t="s">
        <v>14</v>
      </c>
      <c r="G203">
        <v>5868</v>
      </c>
      <c r="H203">
        <v>3160</v>
      </c>
      <c r="I203">
        <v>3.33</v>
      </c>
      <c r="J203">
        <v>47</v>
      </c>
      <c r="P203">
        <f t="shared" ca="1" si="13"/>
        <v>1039</v>
      </c>
      <c r="Q203" t="str" cm="1">
        <f t="array" ref="Q203">_xlfn.IFS(I203&gt;=3.5,"Excellent", I203&gt;3,"Good",I203&gt;2,"Average",I203&lt;2,"Poor")</f>
        <v>Good</v>
      </c>
      <c r="S203" t="b">
        <f t="shared" si="14"/>
        <v>1</v>
      </c>
      <c r="U203">
        <f t="shared" si="15"/>
        <v>2022</v>
      </c>
      <c r="AA203" t="str">
        <f t="shared" ca="1" si="16"/>
        <v/>
      </c>
    </row>
    <row r="204" spans="1:27" x14ac:dyDescent="0.3">
      <c r="A204" t="s">
        <v>429</v>
      </c>
      <c r="B204" t="s">
        <v>430</v>
      </c>
      <c r="C204" t="s">
        <v>25</v>
      </c>
      <c r="D204" t="s">
        <v>13</v>
      </c>
      <c r="E204" s="1">
        <v>45056</v>
      </c>
      <c r="F204" t="s">
        <v>14</v>
      </c>
      <c r="G204">
        <v>13500</v>
      </c>
      <c r="H204">
        <v>3151</v>
      </c>
      <c r="I204">
        <v>2.34</v>
      </c>
      <c r="J204">
        <v>114</v>
      </c>
      <c r="P204">
        <f t="shared" ca="1" si="13"/>
        <v>796</v>
      </c>
      <c r="Q204" t="str" cm="1">
        <f t="array" ref="Q204">_xlfn.IFS(I204&gt;=3.5,"Excellent", I204&gt;3,"Good",I204&gt;2,"Average",I204&lt;2,"Poor")</f>
        <v>Average</v>
      </c>
      <c r="S204" t="str">
        <f t="shared" si="14"/>
        <v xml:space="preserve"> </v>
      </c>
      <c r="U204">
        <f t="shared" si="15"/>
        <v>2023</v>
      </c>
      <c r="AA204" t="str">
        <f t="shared" ca="1" si="16"/>
        <v/>
      </c>
    </row>
    <row r="205" spans="1:27" x14ac:dyDescent="0.3">
      <c r="A205" t="s">
        <v>431</v>
      </c>
      <c r="B205" t="s">
        <v>432</v>
      </c>
      <c r="C205" t="s">
        <v>22</v>
      </c>
      <c r="D205" t="s">
        <v>31</v>
      </c>
      <c r="E205" s="1">
        <v>44895</v>
      </c>
      <c r="F205" t="s">
        <v>14</v>
      </c>
      <c r="G205">
        <v>5931</v>
      </c>
      <c r="H205">
        <v>8777</v>
      </c>
      <c r="I205">
        <v>3.86</v>
      </c>
      <c r="J205">
        <v>31</v>
      </c>
      <c r="P205">
        <f t="shared" ca="1" si="13"/>
        <v>957</v>
      </c>
      <c r="Q205" t="str" cm="1">
        <f t="array" ref="Q205">_xlfn.IFS(I205&gt;=3.5,"Excellent", I205&gt;3,"Good",I205&gt;2,"Average",I205&lt;2,"Poor")</f>
        <v>Excellent</v>
      </c>
      <c r="S205" t="b">
        <f t="shared" si="14"/>
        <v>1</v>
      </c>
      <c r="U205">
        <f t="shared" si="15"/>
        <v>2022</v>
      </c>
      <c r="AA205" t="str">
        <f t="shared" ca="1" si="16"/>
        <v/>
      </c>
    </row>
    <row r="206" spans="1:27" x14ac:dyDescent="0.3">
      <c r="A206" t="s">
        <v>433</v>
      </c>
      <c r="B206" t="s">
        <v>434</v>
      </c>
      <c r="C206" t="s">
        <v>12</v>
      </c>
      <c r="D206" t="s">
        <v>18</v>
      </c>
      <c r="E206" s="1">
        <v>45454</v>
      </c>
      <c r="F206" t="s">
        <v>19</v>
      </c>
      <c r="G206">
        <v>9066</v>
      </c>
      <c r="H206">
        <v>7848</v>
      </c>
      <c r="I206">
        <v>2.21</v>
      </c>
      <c r="J206">
        <v>26</v>
      </c>
      <c r="P206" t="str">
        <f t="shared" ca="1" si="13"/>
        <v xml:space="preserve"> </v>
      </c>
      <c r="Q206" t="str" cm="1">
        <f t="array" ref="Q206">_xlfn.IFS(I206&gt;=3.5,"Excellent", I206&gt;3,"Good",I206&gt;2,"Average",I206&lt;2,"Poor")</f>
        <v>Average</v>
      </c>
      <c r="S206" t="b">
        <f t="shared" si="14"/>
        <v>1</v>
      </c>
      <c r="U206">
        <f t="shared" si="15"/>
        <v>2024</v>
      </c>
      <c r="AA206">
        <f t="shared" ca="1" si="16"/>
        <v>398</v>
      </c>
    </row>
    <row r="207" spans="1:27" x14ac:dyDescent="0.3">
      <c r="A207" t="s">
        <v>435</v>
      </c>
      <c r="B207" t="s">
        <v>436</v>
      </c>
      <c r="C207" t="s">
        <v>17</v>
      </c>
      <c r="D207" t="s">
        <v>13</v>
      </c>
      <c r="E207" s="1">
        <v>44730</v>
      </c>
      <c r="F207" t="s">
        <v>14</v>
      </c>
      <c r="G207">
        <v>7462</v>
      </c>
      <c r="H207">
        <v>1641</v>
      </c>
      <c r="I207">
        <v>3.01</v>
      </c>
      <c r="J207">
        <v>72</v>
      </c>
      <c r="P207">
        <f t="shared" ca="1" si="13"/>
        <v>1122</v>
      </c>
      <c r="Q207" t="str" cm="1">
        <f t="array" ref="Q207">_xlfn.IFS(I207&gt;=3.5,"Excellent", I207&gt;3,"Good",I207&gt;2,"Average",I207&lt;2,"Poor")</f>
        <v>Good</v>
      </c>
      <c r="S207" t="str">
        <f t="shared" si="14"/>
        <v xml:space="preserve"> </v>
      </c>
      <c r="U207">
        <f t="shared" si="15"/>
        <v>2022</v>
      </c>
      <c r="AA207" t="str">
        <f t="shared" ca="1" si="16"/>
        <v/>
      </c>
    </row>
    <row r="208" spans="1:27" x14ac:dyDescent="0.3">
      <c r="A208" t="s">
        <v>437</v>
      </c>
      <c r="B208" t="s">
        <v>438</v>
      </c>
      <c r="C208" t="s">
        <v>28</v>
      </c>
      <c r="D208" t="s">
        <v>62</v>
      </c>
      <c r="E208" s="1">
        <v>45163</v>
      </c>
      <c r="F208" t="s">
        <v>14</v>
      </c>
      <c r="G208">
        <v>13915</v>
      </c>
      <c r="H208">
        <v>3698</v>
      </c>
      <c r="I208">
        <v>3</v>
      </c>
      <c r="J208">
        <v>79</v>
      </c>
      <c r="P208">
        <f t="shared" ca="1" si="13"/>
        <v>689</v>
      </c>
      <c r="Q208" t="str" cm="1">
        <f t="array" ref="Q208">_xlfn.IFS(I208&gt;=3.5,"Excellent", I208&gt;3,"Good",I208&gt;2,"Average",I208&lt;2,"Poor")</f>
        <v>Average</v>
      </c>
      <c r="S208" t="str">
        <f t="shared" si="14"/>
        <v xml:space="preserve"> </v>
      </c>
      <c r="U208">
        <f t="shared" si="15"/>
        <v>2023</v>
      </c>
      <c r="AA208" t="str">
        <f t="shared" ca="1" si="16"/>
        <v/>
      </c>
    </row>
    <row r="209" spans="1:27" x14ac:dyDescent="0.3">
      <c r="A209" t="s">
        <v>439</v>
      </c>
      <c r="B209" t="s">
        <v>440</v>
      </c>
      <c r="C209" t="s">
        <v>22</v>
      </c>
      <c r="D209" t="s">
        <v>62</v>
      </c>
      <c r="E209" s="1">
        <v>44683</v>
      </c>
      <c r="F209" t="s">
        <v>19</v>
      </c>
      <c r="G209">
        <v>10682</v>
      </c>
      <c r="H209">
        <v>3998</v>
      </c>
      <c r="I209">
        <v>2.58</v>
      </c>
      <c r="J209">
        <v>34</v>
      </c>
      <c r="P209" t="str">
        <f t="shared" ca="1" si="13"/>
        <v xml:space="preserve"> </v>
      </c>
      <c r="Q209" t="str" cm="1">
        <f t="array" ref="Q209">_xlfn.IFS(I209&gt;=3.5,"Excellent", I209&gt;3,"Good",I209&gt;2,"Average",I209&lt;2,"Poor")</f>
        <v>Average</v>
      </c>
      <c r="S209" t="str">
        <f t="shared" si="14"/>
        <v xml:space="preserve"> </v>
      </c>
      <c r="U209">
        <f t="shared" si="15"/>
        <v>2022</v>
      </c>
      <c r="AA209">
        <f t="shared" ca="1" si="16"/>
        <v>1169</v>
      </c>
    </row>
    <row r="210" spans="1:27" x14ac:dyDescent="0.3">
      <c r="A210" t="s">
        <v>441</v>
      </c>
      <c r="B210" t="s">
        <v>442</v>
      </c>
      <c r="C210" t="s">
        <v>22</v>
      </c>
      <c r="D210" t="s">
        <v>13</v>
      </c>
      <c r="E210" s="1">
        <v>44565</v>
      </c>
      <c r="F210" t="s">
        <v>14</v>
      </c>
      <c r="G210">
        <v>7804</v>
      </c>
      <c r="H210">
        <v>1458</v>
      </c>
      <c r="I210">
        <v>3.63</v>
      </c>
      <c r="J210">
        <v>68</v>
      </c>
      <c r="P210">
        <f t="shared" ca="1" si="13"/>
        <v>1287</v>
      </c>
      <c r="Q210" t="str" cm="1">
        <f t="array" ref="Q210">_xlfn.IFS(I210&gt;=3.5,"Excellent", I210&gt;3,"Good",I210&gt;2,"Average",I210&lt;2,"Poor")</f>
        <v>Excellent</v>
      </c>
      <c r="S210" t="str">
        <f t="shared" si="14"/>
        <v xml:space="preserve"> </v>
      </c>
      <c r="U210">
        <f t="shared" si="15"/>
        <v>2022</v>
      </c>
      <c r="AA210" t="str">
        <f t="shared" ca="1" si="16"/>
        <v/>
      </c>
    </row>
    <row r="211" spans="1:27" x14ac:dyDescent="0.3">
      <c r="A211" t="s">
        <v>443</v>
      </c>
      <c r="B211" t="s">
        <v>444</v>
      </c>
      <c r="C211" t="s">
        <v>36</v>
      </c>
      <c r="D211" t="s">
        <v>13</v>
      </c>
      <c r="E211" s="1">
        <v>45433</v>
      </c>
      <c r="F211" t="s">
        <v>19</v>
      </c>
      <c r="G211">
        <v>14208</v>
      </c>
      <c r="H211">
        <v>1610</v>
      </c>
      <c r="I211">
        <v>2.4</v>
      </c>
      <c r="J211">
        <v>64</v>
      </c>
      <c r="P211" t="str">
        <f t="shared" ca="1" si="13"/>
        <v xml:space="preserve"> </v>
      </c>
      <c r="Q211" t="str" cm="1">
        <f t="array" ref="Q211">_xlfn.IFS(I211&gt;=3.5,"Excellent", I211&gt;3,"Good",I211&gt;2,"Average",I211&lt;2,"Poor")</f>
        <v>Average</v>
      </c>
      <c r="S211" t="str">
        <f t="shared" si="14"/>
        <v xml:space="preserve"> </v>
      </c>
      <c r="U211">
        <f t="shared" si="15"/>
        <v>2024</v>
      </c>
      <c r="AA211">
        <f t="shared" ca="1" si="16"/>
        <v>419</v>
      </c>
    </row>
    <row r="212" spans="1:27" x14ac:dyDescent="0.3">
      <c r="A212" t="s">
        <v>445</v>
      </c>
      <c r="B212" t="s">
        <v>446</v>
      </c>
      <c r="C212" t="s">
        <v>22</v>
      </c>
      <c r="D212" t="s">
        <v>18</v>
      </c>
      <c r="E212" s="1">
        <v>45400</v>
      </c>
      <c r="F212" t="s">
        <v>39</v>
      </c>
      <c r="G212">
        <v>10912</v>
      </c>
      <c r="H212">
        <v>7036</v>
      </c>
      <c r="I212">
        <v>2.34</v>
      </c>
      <c r="J212">
        <v>43</v>
      </c>
      <c r="P212" t="str">
        <f t="shared" ca="1" si="13"/>
        <v xml:space="preserve"> </v>
      </c>
      <c r="Q212" t="str" cm="1">
        <f t="array" ref="Q212">_xlfn.IFS(I212&gt;=3.5,"Excellent", I212&gt;3,"Good",I212&gt;2,"Average",I212&lt;2,"Poor")</f>
        <v>Average</v>
      </c>
      <c r="S212" t="b">
        <f t="shared" si="14"/>
        <v>1</v>
      </c>
      <c r="U212">
        <f t="shared" si="15"/>
        <v>2024</v>
      </c>
      <c r="AA212" t="str">
        <f t="shared" ca="1" si="16"/>
        <v/>
      </c>
    </row>
    <row r="213" spans="1:27" x14ac:dyDescent="0.3">
      <c r="A213" t="s">
        <v>447</v>
      </c>
      <c r="B213" t="s">
        <v>448</v>
      </c>
      <c r="C213" t="s">
        <v>17</v>
      </c>
      <c r="D213" t="s">
        <v>13</v>
      </c>
      <c r="E213" s="1">
        <v>45231</v>
      </c>
      <c r="F213" t="s">
        <v>14</v>
      </c>
      <c r="G213">
        <v>4292</v>
      </c>
      <c r="H213">
        <v>5770</v>
      </c>
      <c r="I213">
        <v>3.5</v>
      </c>
      <c r="J213">
        <v>96</v>
      </c>
      <c r="P213">
        <f t="shared" ca="1" si="13"/>
        <v>621</v>
      </c>
      <c r="Q213" t="str" cm="1">
        <f t="array" ref="Q213">_xlfn.IFS(I213&gt;=3.5,"Excellent", I213&gt;3,"Good",I213&gt;2,"Average",I213&lt;2,"Poor")</f>
        <v>Excellent</v>
      </c>
      <c r="S213" t="b">
        <f t="shared" si="14"/>
        <v>1</v>
      </c>
      <c r="U213">
        <f t="shared" si="15"/>
        <v>2023</v>
      </c>
      <c r="AA213" t="str">
        <f t="shared" ca="1" si="16"/>
        <v/>
      </c>
    </row>
    <row r="214" spans="1:27" x14ac:dyDescent="0.3">
      <c r="A214" t="s">
        <v>449</v>
      </c>
      <c r="B214" t="s">
        <v>450</v>
      </c>
      <c r="C214" t="s">
        <v>28</v>
      </c>
      <c r="D214" t="s">
        <v>31</v>
      </c>
      <c r="E214" s="1">
        <v>45245</v>
      </c>
      <c r="F214" t="s">
        <v>19</v>
      </c>
      <c r="G214">
        <v>13557</v>
      </c>
      <c r="H214">
        <v>7162</v>
      </c>
      <c r="I214">
        <v>2.0299999999999998</v>
      </c>
      <c r="J214">
        <v>111</v>
      </c>
      <c r="P214" t="str">
        <f t="shared" ca="1" si="13"/>
        <v xml:space="preserve"> </v>
      </c>
      <c r="Q214" t="str" cm="1">
        <f t="array" ref="Q214">_xlfn.IFS(I214&gt;=3.5,"Excellent", I214&gt;3,"Good",I214&gt;2,"Average",I214&lt;2,"Poor")</f>
        <v>Average</v>
      </c>
      <c r="S214" t="b">
        <f t="shared" si="14"/>
        <v>1</v>
      </c>
      <c r="U214">
        <f t="shared" si="15"/>
        <v>2023</v>
      </c>
      <c r="AA214">
        <f t="shared" ca="1" si="16"/>
        <v>607</v>
      </c>
    </row>
    <row r="215" spans="1:27" x14ac:dyDescent="0.3">
      <c r="A215" t="s">
        <v>451</v>
      </c>
      <c r="B215" t="s">
        <v>452</v>
      </c>
      <c r="C215" t="s">
        <v>17</v>
      </c>
      <c r="D215" t="s">
        <v>62</v>
      </c>
      <c r="E215" s="1">
        <v>45175</v>
      </c>
      <c r="F215" t="s">
        <v>19</v>
      </c>
      <c r="G215">
        <v>9626</v>
      </c>
      <c r="H215">
        <v>5195</v>
      </c>
      <c r="I215">
        <v>3.38</v>
      </c>
      <c r="J215">
        <v>17</v>
      </c>
      <c r="P215" t="str">
        <f t="shared" ca="1" si="13"/>
        <v xml:space="preserve"> </v>
      </c>
      <c r="Q215" t="str" cm="1">
        <f t="array" ref="Q215">_xlfn.IFS(I215&gt;=3.5,"Excellent", I215&gt;3,"Good",I215&gt;2,"Average",I215&lt;2,"Poor")</f>
        <v>Good</v>
      </c>
      <c r="S215" t="b">
        <f t="shared" si="14"/>
        <v>1</v>
      </c>
      <c r="U215">
        <f t="shared" si="15"/>
        <v>2023</v>
      </c>
      <c r="AA215">
        <f t="shared" ca="1" si="16"/>
        <v>677</v>
      </c>
    </row>
    <row r="216" spans="1:27" x14ac:dyDescent="0.3">
      <c r="A216" t="s">
        <v>453</v>
      </c>
      <c r="B216" t="s">
        <v>454</v>
      </c>
      <c r="C216" t="s">
        <v>12</v>
      </c>
      <c r="D216" t="s">
        <v>13</v>
      </c>
      <c r="E216" s="1">
        <v>45157</v>
      </c>
      <c r="F216" t="s">
        <v>14</v>
      </c>
      <c r="G216">
        <v>13924</v>
      </c>
      <c r="H216">
        <v>919</v>
      </c>
      <c r="I216">
        <v>2.89</v>
      </c>
      <c r="J216">
        <v>108</v>
      </c>
      <c r="P216">
        <f t="shared" ca="1" si="13"/>
        <v>695</v>
      </c>
      <c r="Q216" t="str" cm="1">
        <f t="array" ref="Q216">_xlfn.IFS(I216&gt;=3.5,"Excellent", I216&gt;3,"Good",I216&gt;2,"Average",I216&lt;2,"Poor")</f>
        <v>Average</v>
      </c>
      <c r="S216" t="str">
        <f t="shared" si="14"/>
        <v xml:space="preserve"> </v>
      </c>
      <c r="U216">
        <f t="shared" si="15"/>
        <v>2023</v>
      </c>
      <c r="AA216" t="str">
        <f t="shared" ca="1" si="16"/>
        <v/>
      </c>
    </row>
    <row r="217" spans="1:27" x14ac:dyDescent="0.3">
      <c r="A217" t="s">
        <v>455</v>
      </c>
      <c r="B217" t="s">
        <v>456</v>
      </c>
      <c r="C217" t="s">
        <v>17</v>
      </c>
      <c r="D217" t="s">
        <v>62</v>
      </c>
      <c r="E217" s="1">
        <v>44802</v>
      </c>
      <c r="F217" t="s">
        <v>14</v>
      </c>
      <c r="G217">
        <v>11491</v>
      </c>
      <c r="H217">
        <v>8965</v>
      </c>
      <c r="I217">
        <v>2.95</v>
      </c>
      <c r="J217">
        <v>5</v>
      </c>
      <c r="P217">
        <f t="shared" ca="1" si="13"/>
        <v>1050</v>
      </c>
      <c r="Q217" t="str" cm="1">
        <f t="array" ref="Q217">_xlfn.IFS(I217&gt;=3.5,"Excellent", I217&gt;3,"Good",I217&gt;2,"Average",I217&lt;2,"Poor")</f>
        <v>Average</v>
      </c>
      <c r="S217" t="b">
        <f t="shared" si="14"/>
        <v>1</v>
      </c>
      <c r="U217">
        <f t="shared" si="15"/>
        <v>2022</v>
      </c>
      <c r="AA217" t="str">
        <f t="shared" ca="1" si="16"/>
        <v/>
      </c>
    </row>
    <row r="218" spans="1:27" x14ac:dyDescent="0.3">
      <c r="A218" t="s">
        <v>457</v>
      </c>
      <c r="B218" t="s">
        <v>458</v>
      </c>
      <c r="C218" t="s">
        <v>57</v>
      </c>
      <c r="D218" t="s">
        <v>18</v>
      </c>
      <c r="E218" s="1">
        <v>45388</v>
      </c>
      <c r="F218" t="s">
        <v>14</v>
      </c>
      <c r="G218">
        <v>3781</v>
      </c>
      <c r="H218">
        <v>4601</v>
      </c>
      <c r="I218">
        <v>3.36</v>
      </c>
      <c r="J218">
        <v>6</v>
      </c>
      <c r="P218">
        <f t="shared" ca="1" si="13"/>
        <v>464</v>
      </c>
      <c r="Q218" t="str" cm="1">
        <f t="array" ref="Q218">_xlfn.IFS(I218&gt;=3.5,"Excellent", I218&gt;3,"Good",I218&gt;2,"Average",I218&lt;2,"Poor")</f>
        <v>Good</v>
      </c>
      <c r="S218" t="b">
        <f t="shared" si="14"/>
        <v>1</v>
      </c>
      <c r="U218">
        <f t="shared" si="15"/>
        <v>2024</v>
      </c>
      <c r="AA218" t="str">
        <f t="shared" ca="1" si="16"/>
        <v/>
      </c>
    </row>
    <row r="219" spans="1:27" x14ac:dyDescent="0.3">
      <c r="A219" t="s">
        <v>459</v>
      </c>
      <c r="B219" t="s">
        <v>460</v>
      </c>
      <c r="C219" t="s">
        <v>17</v>
      </c>
      <c r="D219" t="s">
        <v>62</v>
      </c>
      <c r="E219" s="1">
        <v>45252</v>
      </c>
      <c r="F219" t="s">
        <v>19</v>
      </c>
      <c r="G219">
        <v>12986</v>
      </c>
      <c r="H219">
        <v>7952</v>
      </c>
      <c r="I219">
        <v>2.85</v>
      </c>
      <c r="J219">
        <v>90</v>
      </c>
      <c r="P219" t="str">
        <f t="shared" ca="1" si="13"/>
        <v xml:space="preserve"> </v>
      </c>
      <c r="Q219" t="str" cm="1">
        <f t="array" ref="Q219">_xlfn.IFS(I219&gt;=3.5,"Excellent", I219&gt;3,"Good",I219&gt;2,"Average",I219&lt;2,"Poor")</f>
        <v>Average</v>
      </c>
      <c r="S219" t="b">
        <f t="shared" si="14"/>
        <v>1</v>
      </c>
      <c r="U219">
        <f t="shared" si="15"/>
        <v>2023</v>
      </c>
      <c r="AA219">
        <f t="shared" ca="1" si="16"/>
        <v>600</v>
      </c>
    </row>
    <row r="220" spans="1:27" x14ac:dyDescent="0.3">
      <c r="A220" t="s">
        <v>461</v>
      </c>
      <c r="B220" t="s">
        <v>462</v>
      </c>
      <c r="C220" t="s">
        <v>57</v>
      </c>
      <c r="D220" t="s">
        <v>13</v>
      </c>
      <c r="E220" s="1">
        <v>44719</v>
      </c>
      <c r="F220" t="s">
        <v>14</v>
      </c>
      <c r="G220">
        <v>5785</v>
      </c>
      <c r="H220">
        <v>8652</v>
      </c>
      <c r="I220">
        <v>3.75</v>
      </c>
      <c r="J220">
        <v>96</v>
      </c>
      <c r="P220">
        <f t="shared" ca="1" si="13"/>
        <v>1133</v>
      </c>
      <c r="Q220" t="str" cm="1">
        <f t="array" ref="Q220">_xlfn.IFS(I220&gt;=3.5,"Excellent", I220&gt;3,"Good",I220&gt;2,"Average",I220&lt;2,"Poor")</f>
        <v>Excellent</v>
      </c>
      <c r="S220" t="b">
        <f t="shared" si="14"/>
        <v>1</v>
      </c>
      <c r="U220">
        <f t="shared" si="15"/>
        <v>2022</v>
      </c>
      <c r="AA220" t="str">
        <f t="shared" ca="1" si="16"/>
        <v/>
      </c>
    </row>
    <row r="221" spans="1:27" x14ac:dyDescent="0.3">
      <c r="A221" t="s">
        <v>463</v>
      </c>
      <c r="B221" t="s">
        <v>464</v>
      </c>
      <c r="C221" t="s">
        <v>17</v>
      </c>
      <c r="D221" t="s">
        <v>62</v>
      </c>
      <c r="E221" s="1">
        <v>44924</v>
      </c>
      <c r="F221" t="s">
        <v>14</v>
      </c>
      <c r="G221">
        <v>6786</v>
      </c>
      <c r="H221">
        <v>6481</v>
      </c>
      <c r="I221">
        <v>2.57</v>
      </c>
      <c r="J221">
        <v>28</v>
      </c>
      <c r="P221">
        <f t="shared" ca="1" si="13"/>
        <v>928</v>
      </c>
      <c r="Q221" t="str" cm="1">
        <f t="array" ref="Q221">_xlfn.IFS(I221&gt;=3.5,"Excellent", I221&gt;3,"Good",I221&gt;2,"Average",I221&lt;2,"Poor")</f>
        <v>Average</v>
      </c>
      <c r="S221" t="b">
        <f t="shared" si="14"/>
        <v>1</v>
      </c>
      <c r="U221">
        <f t="shared" si="15"/>
        <v>2022</v>
      </c>
      <c r="AA221" t="str">
        <f t="shared" ca="1" si="16"/>
        <v/>
      </c>
    </row>
    <row r="222" spans="1:27" x14ac:dyDescent="0.3">
      <c r="A222" t="s">
        <v>465</v>
      </c>
      <c r="B222" t="s">
        <v>466</v>
      </c>
      <c r="C222" t="s">
        <v>28</v>
      </c>
      <c r="D222" t="s">
        <v>31</v>
      </c>
      <c r="E222" s="1">
        <v>44843</v>
      </c>
      <c r="F222" t="s">
        <v>14</v>
      </c>
      <c r="G222">
        <v>6615</v>
      </c>
      <c r="H222">
        <v>199</v>
      </c>
      <c r="I222">
        <v>2.04</v>
      </c>
      <c r="J222">
        <v>38</v>
      </c>
      <c r="P222">
        <f t="shared" ca="1" si="13"/>
        <v>1009</v>
      </c>
      <c r="Q222" t="str" cm="1">
        <f t="array" ref="Q222">_xlfn.IFS(I222&gt;=3.5,"Excellent", I222&gt;3,"Good",I222&gt;2,"Average",I222&lt;2,"Poor")</f>
        <v>Average</v>
      </c>
      <c r="S222" t="str">
        <f t="shared" si="14"/>
        <v xml:space="preserve"> </v>
      </c>
      <c r="U222">
        <f t="shared" si="15"/>
        <v>2022</v>
      </c>
      <c r="AA222" t="str">
        <f t="shared" ca="1" si="16"/>
        <v/>
      </c>
    </row>
    <row r="223" spans="1:27" x14ac:dyDescent="0.3">
      <c r="A223" t="s">
        <v>467</v>
      </c>
      <c r="B223" t="s">
        <v>468</v>
      </c>
      <c r="C223" t="s">
        <v>54</v>
      </c>
      <c r="D223" t="s">
        <v>18</v>
      </c>
      <c r="E223" s="1">
        <v>45449</v>
      </c>
      <c r="F223" t="s">
        <v>14</v>
      </c>
      <c r="G223">
        <v>9625</v>
      </c>
      <c r="H223">
        <v>8374</v>
      </c>
      <c r="I223">
        <v>3.69</v>
      </c>
      <c r="J223">
        <v>6</v>
      </c>
      <c r="P223">
        <f t="shared" ca="1" si="13"/>
        <v>403</v>
      </c>
      <c r="Q223" t="str" cm="1">
        <f t="array" ref="Q223">_xlfn.IFS(I223&gt;=3.5,"Excellent", I223&gt;3,"Good",I223&gt;2,"Average",I223&lt;2,"Poor")</f>
        <v>Excellent</v>
      </c>
      <c r="S223" t="b">
        <f t="shared" si="14"/>
        <v>1</v>
      </c>
      <c r="U223">
        <f t="shared" si="15"/>
        <v>2024</v>
      </c>
      <c r="AA223" t="str">
        <f t="shared" ca="1" si="16"/>
        <v/>
      </c>
    </row>
    <row r="224" spans="1:27" x14ac:dyDescent="0.3">
      <c r="A224" t="s">
        <v>469</v>
      </c>
      <c r="B224" t="s">
        <v>470</v>
      </c>
      <c r="C224" t="s">
        <v>57</v>
      </c>
      <c r="D224" t="s">
        <v>62</v>
      </c>
      <c r="E224" s="1">
        <v>45192</v>
      </c>
      <c r="F224" t="s">
        <v>14</v>
      </c>
      <c r="G224">
        <v>13304</v>
      </c>
      <c r="H224">
        <v>6463</v>
      </c>
      <c r="I224">
        <v>3.24</v>
      </c>
      <c r="J224">
        <v>96</v>
      </c>
      <c r="P224">
        <f t="shared" ca="1" si="13"/>
        <v>660</v>
      </c>
      <c r="Q224" t="str" cm="1">
        <f t="array" ref="Q224">_xlfn.IFS(I224&gt;=3.5,"Excellent", I224&gt;3,"Good",I224&gt;2,"Average",I224&lt;2,"Poor")</f>
        <v>Good</v>
      </c>
      <c r="S224" t="str">
        <f t="shared" si="14"/>
        <v xml:space="preserve"> </v>
      </c>
      <c r="U224">
        <f t="shared" si="15"/>
        <v>2023</v>
      </c>
      <c r="AA224" t="str">
        <f t="shared" ca="1" si="16"/>
        <v/>
      </c>
    </row>
    <row r="225" spans="1:27" x14ac:dyDescent="0.3">
      <c r="A225" t="s">
        <v>471</v>
      </c>
      <c r="B225" t="s">
        <v>472</v>
      </c>
      <c r="C225" t="s">
        <v>54</v>
      </c>
      <c r="D225" t="s">
        <v>13</v>
      </c>
      <c r="E225" s="1">
        <v>45116</v>
      </c>
      <c r="F225" t="s">
        <v>14</v>
      </c>
      <c r="G225">
        <v>4559</v>
      </c>
      <c r="H225">
        <v>385</v>
      </c>
      <c r="I225">
        <v>3.67</v>
      </c>
      <c r="J225">
        <v>105</v>
      </c>
      <c r="P225">
        <f t="shared" ca="1" si="13"/>
        <v>736</v>
      </c>
      <c r="Q225" t="str" cm="1">
        <f t="array" ref="Q225">_xlfn.IFS(I225&gt;=3.5,"Excellent", I225&gt;3,"Good",I225&gt;2,"Average",I225&lt;2,"Poor")</f>
        <v>Excellent</v>
      </c>
      <c r="S225" t="str">
        <f t="shared" si="14"/>
        <v xml:space="preserve"> </v>
      </c>
      <c r="U225">
        <f t="shared" si="15"/>
        <v>2023</v>
      </c>
      <c r="AA225" t="str">
        <f t="shared" ca="1" si="16"/>
        <v/>
      </c>
    </row>
    <row r="226" spans="1:27" x14ac:dyDescent="0.3">
      <c r="A226" t="s">
        <v>473</v>
      </c>
      <c r="B226" t="s">
        <v>474</v>
      </c>
      <c r="C226" t="s">
        <v>57</v>
      </c>
      <c r="D226" t="s">
        <v>31</v>
      </c>
      <c r="E226" s="1">
        <v>44777</v>
      </c>
      <c r="F226" t="s">
        <v>14</v>
      </c>
      <c r="G226">
        <v>4418</v>
      </c>
      <c r="H226">
        <v>295</v>
      </c>
      <c r="I226">
        <v>2.12</v>
      </c>
      <c r="J226">
        <v>65</v>
      </c>
      <c r="P226">
        <f t="shared" ca="1" si="13"/>
        <v>1075</v>
      </c>
      <c r="Q226" t="str" cm="1">
        <f t="array" ref="Q226">_xlfn.IFS(I226&gt;=3.5,"Excellent", I226&gt;3,"Good",I226&gt;2,"Average",I226&lt;2,"Poor")</f>
        <v>Average</v>
      </c>
      <c r="S226" t="str">
        <f t="shared" si="14"/>
        <v xml:space="preserve"> </v>
      </c>
      <c r="U226">
        <f t="shared" si="15"/>
        <v>2022</v>
      </c>
      <c r="AA226" t="str">
        <f t="shared" ca="1" si="16"/>
        <v/>
      </c>
    </row>
    <row r="227" spans="1:27" x14ac:dyDescent="0.3">
      <c r="A227" t="s">
        <v>475</v>
      </c>
      <c r="B227" t="s">
        <v>476</v>
      </c>
      <c r="C227" t="s">
        <v>28</v>
      </c>
      <c r="D227" t="s">
        <v>18</v>
      </c>
      <c r="E227" s="1">
        <v>44842</v>
      </c>
      <c r="F227" t="s">
        <v>14</v>
      </c>
      <c r="G227">
        <v>11433</v>
      </c>
      <c r="H227">
        <v>5463</v>
      </c>
      <c r="I227">
        <v>2.87</v>
      </c>
      <c r="J227">
        <v>55</v>
      </c>
      <c r="P227">
        <f t="shared" ca="1" si="13"/>
        <v>1010</v>
      </c>
      <c r="Q227" t="str" cm="1">
        <f t="array" ref="Q227">_xlfn.IFS(I227&gt;=3.5,"Excellent", I227&gt;3,"Good",I227&gt;2,"Average",I227&lt;2,"Poor")</f>
        <v>Average</v>
      </c>
      <c r="S227" t="str">
        <f t="shared" si="14"/>
        <v xml:space="preserve"> </v>
      </c>
      <c r="U227">
        <f t="shared" si="15"/>
        <v>2022</v>
      </c>
      <c r="AA227" t="str">
        <f t="shared" ca="1" si="16"/>
        <v/>
      </c>
    </row>
    <row r="228" spans="1:27" x14ac:dyDescent="0.3">
      <c r="A228" t="s">
        <v>477</v>
      </c>
      <c r="B228" t="s">
        <v>478</v>
      </c>
      <c r="C228" t="s">
        <v>28</v>
      </c>
      <c r="D228" t="s">
        <v>62</v>
      </c>
      <c r="E228" s="1">
        <v>45149</v>
      </c>
      <c r="F228" t="s">
        <v>14</v>
      </c>
      <c r="G228">
        <v>10920</v>
      </c>
      <c r="H228">
        <v>1855</v>
      </c>
      <c r="I228">
        <v>2.5299999999999998</v>
      </c>
      <c r="J228">
        <v>35</v>
      </c>
      <c r="P228">
        <f t="shared" ca="1" si="13"/>
        <v>703</v>
      </c>
      <c r="Q228" t="str" cm="1">
        <f t="array" ref="Q228">_xlfn.IFS(I228&gt;=3.5,"Excellent", I228&gt;3,"Good",I228&gt;2,"Average",I228&lt;2,"Poor")</f>
        <v>Average</v>
      </c>
      <c r="S228" t="str">
        <f t="shared" si="14"/>
        <v xml:space="preserve"> </v>
      </c>
      <c r="U228">
        <f t="shared" si="15"/>
        <v>2023</v>
      </c>
      <c r="AA228" t="str">
        <f t="shared" ca="1" si="16"/>
        <v/>
      </c>
    </row>
    <row r="229" spans="1:27" x14ac:dyDescent="0.3">
      <c r="A229" t="s">
        <v>479</v>
      </c>
      <c r="B229" t="s">
        <v>480</v>
      </c>
      <c r="C229" t="s">
        <v>36</v>
      </c>
      <c r="D229" t="s">
        <v>13</v>
      </c>
      <c r="E229" s="1">
        <v>44644</v>
      </c>
      <c r="F229" t="s">
        <v>19</v>
      </c>
      <c r="G229">
        <v>7532</v>
      </c>
      <c r="H229">
        <v>5770</v>
      </c>
      <c r="I229">
        <v>2.84</v>
      </c>
      <c r="J229">
        <v>53</v>
      </c>
      <c r="P229" t="str">
        <f t="shared" ca="1" si="13"/>
        <v xml:space="preserve"> </v>
      </c>
      <c r="Q229" t="str" cm="1">
        <f t="array" ref="Q229">_xlfn.IFS(I229&gt;=3.5,"Excellent", I229&gt;3,"Good",I229&gt;2,"Average",I229&lt;2,"Poor")</f>
        <v>Average</v>
      </c>
      <c r="S229" t="b">
        <f t="shared" si="14"/>
        <v>1</v>
      </c>
      <c r="U229">
        <f t="shared" si="15"/>
        <v>2022</v>
      </c>
      <c r="AA229">
        <f t="shared" ca="1" si="16"/>
        <v>1208</v>
      </c>
    </row>
    <row r="230" spans="1:27" x14ac:dyDescent="0.3">
      <c r="A230" t="s">
        <v>481</v>
      </c>
      <c r="B230" t="s">
        <v>482</v>
      </c>
      <c r="C230" t="s">
        <v>28</v>
      </c>
      <c r="D230" t="s">
        <v>62</v>
      </c>
      <c r="E230" s="1">
        <v>45226</v>
      </c>
      <c r="F230" t="s">
        <v>14</v>
      </c>
      <c r="G230">
        <v>4365</v>
      </c>
      <c r="H230">
        <v>9361</v>
      </c>
      <c r="I230">
        <v>3.09</v>
      </c>
      <c r="J230">
        <v>24</v>
      </c>
      <c r="P230">
        <f t="shared" ca="1" si="13"/>
        <v>626</v>
      </c>
      <c r="Q230" t="str" cm="1">
        <f t="array" ref="Q230">_xlfn.IFS(I230&gt;=3.5,"Excellent", I230&gt;3,"Good",I230&gt;2,"Average",I230&lt;2,"Poor")</f>
        <v>Good</v>
      </c>
      <c r="S230" t="b">
        <f t="shared" si="14"/>
        <v>1</v>
      </c>
      <c r="U230">
        <f t="shared" si="15"/>
        <v>2023</v>
      </c>
      <c r="AA230" t="str">
        <f t="shared" ca="1" si="16"/>
        <v/>
      </c>
    </row>
    <row r="231" spans="1:27" x14ac:dyDescent="0.3">
      <c r="A231" t="s">
        <v>483</v>
      </c>
      <c r="B231" t="s">
        <v>484</v>
      </c>
      <c r="C231" t="s">
        <v>54</v>
      </c>
      <c r="D231" t="s">
        <v>13</v>
      </c>
      <c r="E231" s="1">
        <v>44568</v>
      </c>
      <c r="F231" t="s">
        <v>19</v>
      </c>
      <c r="G231">
        <v>8437</v>
      </c>
      <c r="H231">
        <v>5207</v>
      </c>
      <c r="I231">
        <v>2.61</v>
      </c>
      <c r="J231">
        <v>78</v>
      </c>
      <c r="P231" t="str">
        <f t="shared" ca="1" si="13"/>
        <v xml:space="preserve"> </v>
      </c>
      <c r="Q231" t="str" cm="1">
        <f t="array" ref="Q231">_xlfn.IFS(I231&gt;=3.5,"Excellent", I231&gt;3,"Good",I231&gt;2,"Average",I231&lt;2,"Poor")</f>
        <v>Average</v>
      </c>
      <c r="S231" t="b">
        <f t="shared" si="14"/>
        <v>1</v>
      </c>
      <c r="U231">
        <f t="shared" si="15"/>
        <v>2022</v>
      </c>
      <c r="AA231">
        <f t="shared" ca="1" si="16"/>
        <v>1284</v>
      </c>
    </row>
    <row r="232" spans="1:27" x14ac:dyDescent="0.3">
      <c r="A232" t="s">
        <v>485</v>
      </c>
      <c r="B232" t="s">
        <v>486</v>
      </c>
      <c r="C232" t="s">
        <v>54</v>
      </c>
      <c r="D232" t="s">
        <v>62</v>
      </c>
      <c r="E232" s="1">
        <v>44985</v>
      </c>
      <c r="F232" t="s">
        <v>14</v>
      </c>
      <c r="G232">
        <v>8696</v>
      </c>
      <c r="H232">
        <v>684</v>
      </c>
      <c r="I232">
        <v>2.88</v>
      </c>
      <c r="J232">
        <v>83</v>
      </c>
      <c r="P232">
        <f t="shared" ca="1" si="13"/>
        <v>867</v>
      </c>
      <c r="Q232" t="str" cm="1">
        <f t="array" ref="Q232">_xlfn.IFS(I232&gt;=3.5,"Excellent", I232&gt;3,"Good",I232&gt;2,"Average",I232&lt;2,"Poor")</f>
        <v>Average</v>
      </c>
      <c r="S232" t="str">
        <f t="shared" si="14"/>
        <v xml:space="preserve"> </v>
      </c>
      <c r="U232">
        <f t="shared" si="15"/>
        <v>2023</v>
      </c>
      <c r="AA232" t="str">
        <f t="shared" ca="1" si="16"/>
        <v/>
      </c>
    </row>
    <row r="233" spans="1:27" x14ac:dyDescent="0.3">
      <c r="A233" t="s">
        <v>487</v>
      </c>
      <c r="B233" t="s">
        <v>488</v>
      </c>
      <c r="C233" t="s">
        <v>22</v>
      </c>
      <c r="D233" t="s">
        <v>62</v>
      </c>
      <c r="E233" s="1">
        <v>44682</v>
      </c>
      <c r="F233" t="s">
        <v>19</v>
      </c>
      <c r="G233">
        <v>11639</v>
      </c>
      <c r="H233">
        <v>4226</v>
      </c>
      <c r="I233">
        <v>3.24</v>
      </c>
      <c r="J233">
        <v>43</v>
      </c>
      <c r="P233" t="str">
        <f t="shared" ca="1" si="13"/>
        <v xml:space="preserve"> </v>
      </c>
      <c r="Q233" t="str" cm="1">
        <f t="array" ref="Q233">_xlfn.IFS(I233&gt;=3.5,"Excellent", I233&gt;3,"Good",I233&gt;2,"Average",I233&lt;2,"Poor")</f>
        <v>Good</v>
      </c>
      <c r="S233" t="str">
        <f t="shared" si="14"/>
        <v xml:space="preserve"> </v>
      </c>
      <c r="U233">
        <f t="shared" si="15"/>
        <v>2022</v>
      </c>
      <c r="AA233">
        <f t="shared" ca="1" si="16"/>
        <v>1170</v>
      </c>
    </row>
    <row r="234" spans="1:27" x14ac:dyDescent="0.3">
      <c r="A234" t="s">
        <v>489</v>
      </c>
      <c r="B234" t="s">
        <v>490</v>
      </c>
      <c r="C234" t="s">
        <v>28</v>
      </c>
      <c r="D234" t="s">
        <v>18</v>
      </c>
      <c r="E234" s="1">
        <v>45280</v>
      </c>
      <c r="F234" t="s">
        <v>19</v>
      </c>
      <c r="G234">
        <v>14104</v>
      </c>
      <c r="H234">
        <v>7961</v>
      </c>
      <c r="I234">
        <v>3.12</v>
      </c>
      <c r="J234">
        <v>119</v>
      </c>
      <c r="P234" t="str">
        <f t="shared" ca="1" si="13"/>
        <v xml:space="preserve"> </v>
      </c>
      <c r="Q234" t="str" cm="1">
        <f t="array" ref="Q234">_xlfn.IFS(I234&gt;=3.5,"Excellent", I234&gt;3,"Good",I234&gt;2,"Average",I234&lt;2,"Poor")</f>
        <v>Good</v>
      </c>
      <c r="S234" t="b">
        <f t="shared" si="14"/>
        <v>1</v>
      </c>
      <c r="U234">
        <f t="shared" si="15"/>
        <v>2023</v>
      </c>
      <c r="AA234">
        <f t="shared" ca="1" si="16"/>
        <v>572</v>
      </c>
    </row>
    <row r="235" spans="1:27" x14ac:dyDescent="0.3">
      <c r="A235" t="s">
        <v>491</v>
      </c>
      <c r="B235" t="s">
        <v>492</v>
      </c>
      <c r="C235" t="s">
        <v>25</v>
      </c>
      <c r="D235" t="s">
        <v>18</v>
      </c>
      <c r="E235" s="1">
        <v>45181</v>
      </c>
      <c r="F235" t="s">
        <v>39</v>
      </c>
      <c r="G235">
        <v>8577</v>
      </c>
      <c r="H235">
        <v>1188</v>
      </c>
      <c r="I235">
        <v>2.21</v>
      </c>
      <c r="J235">
        <v>47</v>
      </c>
      <c r="P235" t="str">
        <f t="shared" ca="1" si="13"/>
        <v xml:space="preserve"> </v>
      </c>
      <c r="Q235" t="str" cm="1">
        <f t="array" ref="Q235">_xlfn.IFS(I235&gt;=3.5,"Excellent", I235&gt;3,"Good",I235&gt;2,"Average",I235&lt;2,"Poor")</f>
        <v>Average</v>
      </c>
      <c r="S235" t="str">
        <f t="shared" si="14"/>
        <v xml:space="preserve"> </v>
      </c>
      <c r="U235">
        <f t="shared" si="15"/>
        <v>2023</v>
      </c>
      <c r="AA235" t="str">
        <f t="shared" ca="1" si="16"/>
        <v/>
      </c>
    </row>
    <row r="236" spans="1:27" x14ac:dyDescent="0.3">
      <c r="A236" t="s">
        <v>493</v>
      </c>
      <c r="B236" t="s">
        <v>494</v>
      </c>
      <c r="C236" t="s">
        <v>25</v>
      </c>
      <c r="D236" t="s">
        <v>13</v>
      </c>
      <c r="E236" s="1">
        <v>44955</v>
      </c>
      <c r="F236" t="s">
        <v>19</v>
      </c>
      <c r="G236">
        <v>9465</v>
      </c>
      <c r="H236">
        <v>4415</v>
      </c>
      <c r="I236">
        <v>2.44</v>
      </c>
      <c r="J236">
        <v>62</v>
      </c>
      <c r="P236" t="str">
        <f t="shared" ca="1" si="13"/>
        <v xml:space="preserve"> </v>
      </c>
      <c r="Q236" t="str" cm="1">
        <f t="array" ref="Q236">_xlfn.IFS(I236&gt;=3.5,"Excellent", I236&gt;3,"Good",I236&gt;2,"Average",I236&lt;2,"Poor")</f>
        <v>Average</v>
      </c>
      <c r="S236" t="str">
        <f t="shared" si="14"/>
        <v xml:space="preserve"> </v>
      </c>
      <c r="U236">
        <f t="shared" si="15"/>
        <v>2023</v>
      </c>
      <c r="AA236">
        <f t="shared" ca="1" si="16"/>
        <v>897</v>
      </c>
    </row>
    <row r="237" spans="1:27" x14ac:dyDescent="0.3">
      <c r="A237" t="s">
        <v>495</v>
      </c>
      <c r="B237" t="s">
        <v>496</v>
      </c>
      <c r="C237" t="s">
        <v>57</v>
      </c>
      <c r="D237" t="s">
        <v>13</v>
      </c>
      <c r="E237" s="1">
        <v>44736</v>
      </c>
      <c r="F237" t="s">
        <v>14</v>
      </c>
      <c r="G237">
        <v>11825</v>
      </c>
      <c r="H237">
        <v>1060</v>
      </c>
      <c r="I237">
        <v>2.14</v>
      </c>
      <c r="J237">
        <v>90</v>
      </c>
      <c r="P237">
        <f t="shared" ca="1" si="13"/>
        <v>1116</v>
      </c>
      <c r="Q237" t="str" cm="1">
        <f t="array" ref="Q237">_xlfn.IFS(I237&gt;=3.5,"Excellent", I237&gt;3,"Good",I237&gt;2,"Average",I237&lt;2,"Poor")</f>
        <v>Average</v>
      </c>
      <c r="S237" t="str">
        <f t="shared" si="14"/>
        <v xml:space="preserve"> </v>
      </c>
      <c r="U237">
        <f t="shared" si="15"/>
        <v>2022</v>
      </c>
      <c r="AA237" t="str">
        <f t="shared" ca="1" si="16"/>
        <v/>
      </c>
    </row>
    <row r="238" spans="1:27" x14ac:dyDescent="0.3">
      <c r="A238" t="s">
        <v>497</v>
      </c>
      <c r="B238" t="s">
        <v>498</v>
      </c>
      <c r="C238" t="s">
        <v>57</v>
      </c>
      <c r="D238" t="s">
        <v>62</v>
      </c>
      <c r="E238" s="1">
        <v>45268</v>
      </c>
      <c r="F238" t="s">
        <v>14</v>
      </c>
      <c r="G238">
        <v>12026</v>
      </c>
      <c r="H238">
        <v>5856</v>
      </c>
      <c r="I238">
        <v>3.64</v>
      </c>
      <c r="J238">
        <v>15</v>
      </c>
      <c r="P238">
        <f t="shared" ca="1" si="13"/>
        <v>584</v>
      </c>
      <c r="Q238" t="str" cm="1">
        <f t="array" ref="Q238">_xlfn.IFS(I238&gt;=3.5,"Excellent", I238&gt;3,"Good",I238&gt;2,"Average",I238&lt;2,"Poor")</f>
        <v>Excellent</v>
      </c>
      <c r="S238" t="str">
        <f t="shared" si="14"/>
        <v xml:space="preserve"> </v>
      </c>
      <c r="U238">
        <f t="shared" si="15"/>
        <v>2023</v>
      </c>
      <c r="AA238" t="str">
        <f t="shared" ca="1" si="16"/>
        <v/>
      </c>
    </row>
    <row r="239" spans="1:27" x14ac:dyDescent="0.3">
      <c r="A239" t="s">
        <v>499</v>
      </c>
      <c r="B239" t="s">
        <v>500</v>
      </c>
      <c r="C239" t="s">
        <v>36</v>
      </c>
      <c r="D239" t="s">
        <v>13</v>
      </c>
      <c r="E239" s="1">
        <v>45055</v>
      </c>
      <c r="F239" t="s">
        <v>14</v>
      </c>
      <c r="G239">
        <v>12137</v>
      </c>
      <c r="H239">
        <v>8974</v>
      </c>
      <c r="I239">
        <v>3.33</v>
      </c>
      <c r="J239">
        <v>59</v>
      </c>
      <c r="P239">
        <f t="shared" ca="1" si="13"/>
        <v>797</v>
      </c>
      <c r="Q239" t="str" cm="1">
        <f t="array" ref="Q239">_xlfn.IFS(I239&gt;=3.5,"Excellent", I239&gt;3,"Good",I239&gt;2,"Average",I239&lt;2,"Poor")</f>
        <v>Good</v>
      </c>
      <c r="S239" t="b">
        <f t="shared" si="14"/>
        <v>1</v>
      </c>
      <c r="U239">
        <f t="shared" si="15"/>
        <v>2023</v>
      </c>
      <c r="AA239" t="str">
        <f t="shared" ca="1" si="16"/>
        <v/>
      </c>
    </row>
    <row r="240" spans="1:27" x14ac:dyDescent="0.3">
      <c r="A240" t="s">
        <v>501</v>
      </c>
      <c r="B240" t="s">
        <v>502</v>
      </c>
      <c r="C240" t="s">
        <v>54</v>
      </c>
      <c r="D240" t="s">
        <v>18</v>
      </c>
      <c r="E240" s="1">
        <v>45316</v>
      </c>
      <c r="F240" t="s">
        <v>14</v>
      </c>
      <c r="G240">
        <v>13153</v>
      </c>
      <c r="H240">
        <v>7899</v>
      </c>
      <c r="I240">
        <v>3.35</v>
      </c>
      <c r="J240">
        <v>4</v>
      </c>
      <c r="P240">
        <f t="shared" ca="1" si="13"/>
        <v>536</v>
      </c>
      <c r="Q240" t="str" cm="1">
        <f t="array" ref="Q240">_xlfn.IFS(I240&gt;=3.5,"Excellent", I240&gt;3,"Good",I240&gt;2,"Average",I240&lt;2,"Poor")</f>
        <v>Good</v>
      </c>
      <c r="S240" t="b">
        <f t="shared" si="14"/>
        <v>1</v>
      </c>
      <c r="U240">
        <f t="shared" si="15"/>
        <v>2024</v>
      </c>
      <c r="AA240" t="str">
        <f t="shared" ca="1" si="16"/>
        <v/>
      </c>
    </row>
    <row r="241" spans="1:27" x14ac:dyDescent="0.3">
      <c r="A241" t="s">
        <v>503</v>
      </c>
      <c r="B241" t="s">
        <v>504</v>
      </c>
      <c r="C241" t="s">
        <v>54</v>
      </c>
      <c r="D241" t="s">
        <v>31</v>
      </c>
      <c r="E241" s="1">
        <v>45377</v>
      </c>
      <c r="F241" t="s">
        <v>14</v>
      </c>
      <c r="G241">
        <v>8445</v>
      </c>
      <c r="H241">
        <v>5645</v>
      </c>
      <c r="I241">
        <v>2.66</v>
      </c>
      <c r="J241">
        <v>106</v>
      </c>
      <c r="P241">
        <f t="shared" ca="1" si="13"/>
        <v>475</v>
      </c>
      <c r="Q241" t="str" cm="1">
        <f t="array" ref="Q241">_xlfn.IFS(I241&gt;=3.5,"Excellent", I241&gt;3,"Good",I241&gt;2,"Average",I241&lt;2,"Poor")</f>
        <v>Average</v>
      </c>
      <c r="S241" t="b">
        <f t="shared" si="14"/>
        <v>1</v>
      </c>
      <c r="U241">
        <f t="shared" si="15"/>
        <v>2024</v>
      </c>
      <c r="AA241" t="str">
        <f t="shared" ca="1" si="16"/>
        <v/>
      </c>
    </row>
    <row r="242" spans="1:27" x14ac:dyDescent="0.3">
      <c r="A242" t="s">
        <v>505</v>
      </c>
      <c r="B242" t="s">
        <v>506</v>
      </c>
      <c r="C242" t="s">
        <v>25</v>
      </c>
      <c r="D242" t="s">
        <v>62</v>
      </c>
      <c r="E242" s="1">
        <v>44847</v>
      </c>
      <c r="F242" t="s">
        <v>19</v>
      </c>
      <c r="G242">
        <v>6582</v>
      </c>
      <c r="H242">
        <v>7383</v>
      </c>
      <c r="I242">
        <v>2.9</v>
      </c>
      <c r="J242">
        <v>68</v>
      </c>
      <c r="P242" t="str">
        <f t="shared" ca="1" si="13"/>
        <v xml:space="preserve"> </v>
      </c>
      <c r="Q242" t="str" cm="1">
        <f t="array" ref="Q242">_xlfn.IFS(I242&gt;=3.5,"Excellent", I242&gt;3,"Good",I242&gt;2,"Average",I242&lt;2,"Poor")</f>
        <v>Average</v>
      </c>
      <c r="S242" t="b">
        <f t="shared" si="14"/>
        <v>1</v>
      </c>
      <c r="U242">
        <f t="shared" si="15"/>
        <v>2022</v>
      </c>
      <c r="AA242">
        <f t="shared" ca="1" si="16"/>
        <v>1005</v>
      </c>
    </row>
    <row r="243" spans="1:27" x14ac:dyDescent="0.3">
      <c r="A243" t="s">
        <v>507</v>
      </c>
      <c r="B243" t="s">
        <v>508</v>
      </c>
      <c r="C243" t="s">
        <v>36</v>
      </c>
      <c r="D243" t="s">
        <v>62</v>
      </c>
      <c r="E243" s="1">
        <v>45026</v>
      </c>
      <c r="F243" t="s">
        <v>19</v>
      </c>
      <c r="G243">
        <v>9924</v>
      </c>
      <c r="H243">
        <v>4822</v>
      </c>
      <c r="I243">
        <v>2.79</v>
      </c>
      <c r="J243">
        <v>25</v>
      </c>
      <c r="P243" t="str">
        <f t="shared" ca="1" si="13"/>
        <v xml:space="preserve"> </v>
      </c>
      <c r="Q243" t="str" cm="1">
        <f t="array" ref="Q243">_xlfn.IFS(I243&gt;=3.5,"Excellent", I243&gt;3,"Good",I243&gt;2,"Average",I243&lt;2,"Poor")</f>
        <v>Average</v>
      </c>
      <c r="S243" t="str">
        <f t="shared" si="14"/>
        <v xml:space="preserve"> </v>
      </c>
      <c r="U243">
        <f t="shared" si="15"/>
        <v>2023</v>
      </c>
      <c r="AA243">
        <f t="shared" ca="1" si="16"/>
        <v>826</v>
      </c>
    </row>
    <row r="244" spans="1:27" x14ac:dyDescent="0.3">
      <c r="A244" t="s">
        <v>509</v>
      </c>
      <c r="B244" t="s">
        <v>510</v>
      </c>
      <c r="C244" t="s">
        <v>36</v>
      </c>
      <c r="D244" t="s">
        <v>13</v>
      </c>
      <c r="E244" s="1">
        <v>45292</v>
      </c>
      <c r="F244" t="s">
        <v>19</v>
      </c>
      <c r="G244">
        <v>9436</v>
      </c>
      <c r="H244">
        <v>3767</v>
      </c>
      <c r="I244">
        <v>2.27</v>
      </c>
      <c r="J244">
        <v>69</v>
      </c>
      <c r="P244" t="str">
        <f t="shared" ca="1" si="13"/>
        <v xml:space="preserve"> </v>
      </c>
      <c r="Q244" t="str" cm="1">
        <f t="array" ref="Q244">_xlfn.IFS(I244&gt;=3.5,"Excellent", I244&gt;3,"Good",I244&gt;2,"Average",I244&lt;2,"Poor")</f>
        <v>Average</v>
      </c>
      <c r="S244" t="str">
        <f t="shared" si="14"/>
        <v xml:space="preserve"> </v>
      </c>
      <c r="U244">
        <f t="shared" si="15"/>
        <v>2024</v>
      </c>
      <c r="AA244">
        <f t="shared" ca="1" si="16"/>
        <v>560</v>
      </c>
    </row>
    <row r="245" spans="1:27" x14ac:dyDescent="0.3">
      <c r="A245" t="s">
        <v>511</v>
      </c>
      <c r="B245" t="s">
        <v>512</v>
      </c>
      <c r="C245" t="s">
        <v>28</v>
      </c>
      <c r="D245" t="s">
        <v>31</v>
      </c>
      <c r="E245" s="1">
        <v>44982</v>
      </c>
      <c r="F245" t="s">
        <v>14</v>
      </c>
      <c r="G245">
        <v>11021</v>
      </c>
      <c r="H245">
        <v>1197</v>
      </c>
      <c r="I245">
        <v>2.08</v>
      </c>
      <c r="J245">
        <v>13</v>
      </c>
      <c r="P245">
        <f t="shared" ca="1" si="13"/>
        <v>870</v>
      </c>
      <c r="Q245" t="str" cm="1">
        <f t="array" ref="Q245">_xlfn.IFS(I245&gt;=3.5,"Excellent", I245&gt;3,"Good",I245&gt;2,"Average",I245&lt;2,"Poor")</f>
        <v>Average</v>
      </c>
      <c r="S245" t="str">
        <f t="shared" si="14"/>
        <v xml:space="preserve"> </v>
      </c>
      <c r="U245">
        <f t="shared" si="15"/>
        <v>2023</v>
      </c>
      <c r="AA245" t="str">
        <f t="shared" ca="1" si="16"/>
        <v/>
      </c>
    </row>
    <row r="246" spans="1:27" x14ac:dyDescent="0.3">
      <c r="A246" t="s">
        <v>513</v>
      </c>
      <c r="B246" t="s">
        <v>514</v>
      </c>
      <c r="C246" t="s">
        <v>17</v>
      </c>
      <c r="D246" t="s">
        <v>62</v>
      </c>
      <c r="E246" s="1">
        <v>45147</v>
      </c>
      <c r="F246" t="s">
        <v>39</v>
      </c>
      <c r="G246">
        <v>5204</v>
      </c>
      <c r="H246">
        <v>3851</v>
      </c>
      <c r="I246">
        <v>2.2799999999999998</v>
      </c>
      <c r="J246">
        <v>29</v>
      </c>
      <c r="P246" t="str">
        <f t="shared" ca="1" si="13"/>
        <v xml:space="preserve"> </v>
      </c>
      <c r="Q246" t="str" cm="1">
        <f t="array" ref="Q246">_xlfn.IFS(I246&gt;=3.5,"Excellent", I246&gt;3,"Good",I246&gt;2,"Average",I246&lt;2,"Poor")</f>
        <v>Average</v>
      </c>
      <c r="S246" t="b">
        <f t="shared" si="14"/>
        <v>1</v>
      </c>
      <c r="U246">
        <f t="shared" si="15"/>
        <v>2023</v>
      </c>
      <c r="AA246" t="str">
        <f t="shared" ca="1" si="16"/>
        <v/>
      </c>
    </row>
    <row r="247" spans="1:27" x14ac:dyDescent="0.3">
      <c r="A247" t="s">
        <v>515</v>
      </c>
      <c r="B247" t="s">
        <v>516</v>
      </c>
      <c r="C247" t="s">
        <v>17</v>
      </c>
      <c r="D247" t="s">
        <v>62</v>
      </c>
      <c r="E247" s="1">
        <v>45423</v>
      </c>
      <c r="F247" t="s">
        <v>14</v>
      </c>
      <c r="G247">
        <v>2031</v>
      </c>
      <c r="H247">
        <v>9223</v>
      </c>
      <c r="I247">
        <v>2.78</v>
      </c>
      <c r="J247">
        <v>49</v>
      </c>
      <c r="P247">
        <f t="shared" ca="1" si="13"/>
        <v>429</v>
      </c>
      <c r="Q247" t="str" cm="1">
        <f t="array" ref="Q247">_xlfn.IFS(I247&gt;=3.5,"Excellent", I247&gt;3,"Good",I247&gt;2,"Average",I247&lt;2,"Poor")</f>
        <v>Average</v>
      </c>
      <c r="S247" t="b">
        <f t="shared" si="14"/>
        <v>1</v>
      </c>
      <c r="U247">
        <f t="shared" si="15"/>
        <v>2024</v>
      </c>
      <c r="AA247" t="str">
        <f t="shared" ca="1" si="16"/>
        <v/>
      </c>
    </row>
    <row r="248" spans="1:27" x14ac:dyDescent="0.3">
      <c r="A248" t="s">
        <v>517</v>
      </c>
      <c r="B248" t="s">
        <v>518</v>
      </c>
      <c r="C248" t="s">
        <v>36</v>
      </c>
      <c r="D248" t="s">
        <v>62</v>
      </c>
      <c r="E248" s="1">
        <v>45334</v>
      </c>
      <c r="F248" t="s">
        <v>14</v>
      </c>
      <c r="G248">
        <v>9136</v>
      </c>
      <c r="H248">
        <v>9130</v>
      </c>
      <c r="I248">
        <v>2.15</v>
      </c>
      <c r="J248">
        <v>53</v>
      </c>
      <c r="P248">
        <f t="shared" ca="1" si="13"/>
        <v>518</v>
      </c>
      <c r="Q248" t="str" cm="1">
        <f t="array" ref="Q248">_xlfn.IFS(I248&gt;=3.5,"Excellent", I248&gt;3,"Good",I248&gt;2,"Average",I248&lt;2,"Poor")</f>
        <v>Average</v>
      </c>
      <c r="S248" t="b">
        <f t="shared" si="14"/>
        <v>1</v>
      </c>
      <c r="U248">
        <f t="shared" si="15"/>
        <v>2024</v>
      </c>
      <c r="AA248" t="str">
        <f t="shared" ca="1" si="16"/>
        <v/>
      </c>
    </row>
    <row r="249" spans="1:27" x14ac:dyDescent="0.3">
      <c r="A249" t="s">
        <v>519</v>
      </c>
      <c r="B249" t="s">
        <v>520</v>
      </c>
      <c r="C249" t="s">
        <v>28</v>
      </c>
      <c r="D249" t="s">
        <v>62</v>
      </c>
      <c r="E249" s="1">
        <v>44894</v>
      </c>
      <c r="F249" t="s">
        <v>14</v>
      </c>
      <c r="G249">
        <v>7624</v>
      </c>
      <c r="H249">
        <v>2182</v>
      </c>
      <c r="I249">
        <v>2.35</v>
      </c>
      <c r="J249">
        <v>21</v>
      </c>
      <c r="P249">
        <f t="shared" ca="1" si="13"/>
        <v>958</v>
      </c>
      <c r="Q249" t="str" cm="1">
        <f t="array" ref="Q249">_xlfn.IFS(I249&gt;=3.5,"Excellent", I249&gt;3,"Good",I249&gt;2,"Average",I249&lt;2,"Poor")</f>
        <v>Average</v>
      </c>
      <c r="S249" t="str">
        <f t="shared" si="14"/>
        <v xml:space="preserve"> </v>
      </c>
      <c r="U249">
        <f t="shared" si="15"/>
        <v>2022</v>
      </c>
      <c r="AA249" t="str">
        <f t="shared" ca="1" si="16"/>
        <v/>
      </c>
    </row>
    <row r="250" spans="1:27" x14ac:dyDescent="0.3">
      <c r="A250" t="s">
        <v>521</v>
      </c>
      <c r="B250" t="s">
        <v>522</v>
      </c>
      <c r="C250" t="s">
        <v>54</v>
      </c>
      <c r="D250" t="s">
        <v>18</v>
      </c>
      <c r="E250" s="1">
        <v>45137</v>
      </c>
      <c r="F250" t="s">
        <v>14</v>
      </c>
      <c r="G250">
        <v>14896</v>
      </c>
      <c r="H250">
        <v>7193</v>
      </c>
      <c r="I250">
        <v>2.99</v>
      </c>
      <c r="J250">
        <v>19</v>
      </c>
      <c r="P250">
        <f t="shared" ca="1" si="13"/>
        <v>715</v>
      </c>
      <c r="Q250" t="str" cm="1">
        <f t="array" ref="Q250">_xlfn.IFS(I250&gt;=3.5,"Excellent", I250&gt;3,"Good",I250&gt;2,"Average",I250&lt;2,"Poor")</f>
        <v>Average</v>
      </c>
      <c r="S250" t="str">
        <f t="shared" si="14"/>
        <v xml:space="preserve"> </v>
      </c>
      <c r="U250">
        <f t="shared" si="15"/>
        <v>2023</v>
      </c>
      <c r="AA250" t="str">
        <f t="shared" ca="1" si="16"/>
        <v/>
      </c>
    </row>
    <row r="251" spans="1:27" x14ac:dyDescent="0.3">
      <c r="A251" t="s">
        <v>523</v>
      </c>
      <c r="B251" t="s">
        <v>524</v>
      </c>
      <c r="C251" t="s">
        <v>22</v>
      </c>
      <c r="D251" t="s">
        <v>18</v>
      </c>
      <c r="E251" s="1">
        <v>44942</v>
      </c>
      <c r="F251" t="s">
        <v>14</v>
      </c>
      <c r="G251">
        <v>9944</v>
      </c>
      <c r="H251">
        <v>1801</v>
      </c>
      <c r="I251">
        <v>2.2000000000000002</v>
      </c>
      <c r="J251">
        <v>74</v>
      </c>
      <c r="P251">
        <f t="shared" ca="1" si="13"/>
        <v>910</v>
      </c>
      <c r="Q251" t="str" cm="1">
        <f t="array" ref="Q251">_xlfn.IFS(I251&gt;=3.5,"Excellent", I251&gt;3,"Good",I251&gt;2,"Average",I251&lt;2,"Poor")</f>
        <v>Average</v>
      </c>
      <c r="S251" t="str">
        <f t="shared" si="14"/>
        <v xml:space="preserve"> </v>
      </c>
      <c r="U251">
        <f t="shared" si="15"/>
        <v>2023</v>
      </c>
      <c r="AA251" t="str">
        <f t="shared" ca="1" si="16"/>
        <v/>
      </c>
    </row>
    <row r="252" spans="1:27" x14ac:dyDescent="0.3">
      <c r="A252" t="s">
        <v>525</v>
      </c>
      <c r="B252" t="s">
        <v>526</v>
      </c>
      <c r="C252" t="s">
        <v>12</v>
      </c>
      <c r="D252" t="s">
        <v>62</v>
      </c>
      <c r="E252" s="1">
        <v>45391</v>
      </c>
      <c r="F252" t="s">
        <v>14</v>
      </c>
      <c r="G252">
        <v>4101</v>
      </c>
      <c r="H252">
        <v>6124</v>
      </c>
      <c r="I252">
        <v>2.59</v>
      </c>
      <c r="J252">
        <v>77</v>
      </c>
      <c r="P252">
        <f t="shared" ca="1" si="13"/>
        <v>461</v>
      </c>
      <c r="Q252" t="str" cm="1">
        <f t="array" ref="Q252">_xlfn.IFS(I252&gt;=3.5,"Excellent", I252&gt;3,"Good",I252&gt;2,"Average",I252&lt;2,"Poor")</f>
        <v>Average</v>
      </c>
      <c r="S252" t="b">
        <f t="shared" si="14"/>
        <v>1</v>
      </c>
      <c r="U252">
        <f t="shared" si="15"/>
        <v>2024</v>
      </c>
      <c r="AA252" t="str">
        <f t="shared" ca="1" si="16"/>
        <v/>
      </c>
    </row>
    <row r="253" spans="1:27" x14ac:dyDescent="0.3">
      <c r="A253" t="s">
        <v>527</v>
      </c>
      <c r="B253" t="s">
        <v>528</v>
      </c>
      <c r="C253" t="s">
        <v>28</v>
      </c>
      <c r="D253" t="s">
        <v>13</v>
      </c>
      <c r="E253" s="1">
        <v>45016</v>
      </c>
      <c r="F253" t="s">
        <v>14</v>
      </c>
      <c r="G253">
        <v>2923</v>
      </c>
      <c r="H253">
        <v>6728</v>
      </c>
      <c r="I253">
        <v>3.9</v>
      </c>
      <c r="J253">
        <v>116</v>
      </c>
      <c r="P253">
        <f t="shared" ca="1" si="13"/>
        <v>836</v>
      </c>
      <c r="Q253" t="str" cm="1">
        <f t="array" ref="Q253">_xlfn.IFS(I253&gt;=3.5,"Excellent", I253&gt;3,"Good",I253&gt;2,"Average",I253&lt;2,"Poor")</f>
        <v>Excellent</v>
      </c>
      <c r="S253" t="b">
        <f t="shared" si="14"/>
        <v>1</v>
      </c>
      <c r="U253">
        <f t="shared" si="15"/>
        <v>2023</v>
      </c>
      <c r="AA253" t="str">
        <f t="shared" ca="1" si="16"/>
        <v/>
      </c>
    </row>
    <row r="254" spans="1:27" x14ac:dyDescent="0.3">
      <c r="A254" t="s">
        <v>529</v>
      </c>
      <c r="B254" t="s">
        <v>530</v>
      </c>
      <c r="C254" t="s">
        <v>12</v>
      </c>
      <c r="D254" t="s">
        <v>31</v>
      </c>
      <c r="E254" s="1">
        <v>44725</v>
      </c>
      <c r="F254" t="s">
        <v>14</v>
      </c>
      <c r="G254">
        <v>6135</v>
      </c>
      <c r="H254">
        <v>4716</v>
      </c>
      <c r="I254">
        <v>2.1800000000000002</v>
      </c>
      <c r="J254">
        <v>52</v>
      </c>
      <c r="P254">
        <f t="shared" ca="1" si="13"/>
        <v>1127</v>
      </c>
      <c r="Q254" t="str" cm="1">
        <f t="array" ref="Q254">_xlfn.IFS(I254&gt;=3.5,"Excellent", I254&gt;3,"Good",I254&gt;2,"Average",I254&lt;2,"Poor")</f>
        <v>Average</v>
      </c>
      <c r="S254" t="b">
        <f t="shared" si="14"/>
        <v>1</v>
      </c>
      <c r="U254">
        <f t="shared" si="15"/>
        <v>2022</v>
      </c>
      <c r="AA254" t="str">
        <f t="shared" ca="1" si="16"/>
        <v/>
      </c>
    </row>
    <row r="255" spans="1:27" x14ac:dyDescent="0.3">
      <c r="A255" t="s">
        <v>531</v>
      </c>
      <c r="B255" t="s">
        <v>532</v>
      </c>
      <c r="C255" t="s">
        <v>54</v>
      </c>
      <c r="D255" t="s">
        <v>62</v>
      </c>
      <c r="E255" s="1">
        <v>45084</v>
      </c>
      <c r="F255" t="s">
        <v>39</v>
      </c>
      <c r="G255">
        <v>5429</v>
      </c>
      <c r="H255">
        <v>7603</v>
      </c>
      <c r="I255">
        <v>2.35</v>
      </c>
      <c r="J255">
        <v>18</v>
      </c>
      <c r="P255" t="str">
        <f t="shared" ca="1" si="13"/>
        <v xml:space="preserve"> </v>
      </c>
      <c r="Q255" t="str" cm="1">
        <f t="array" ref="Q255">_xlfn.IFS(I255&gt;=3.5,"Excellent", I255&gt;3,"Good",I255&gt;2,"Average",I255&lt;2,"Poor")</f>
        <v>Average</v>
      </c>
      <c r="S255" t="b">
        <f t="shared" si="14"/>
        <v>1</v>
      </c>
      <c r="U255">
        <f t="shared" si="15"/>
        <v>2023</v>
      </c>
      <c r="AA255" t="str">
        <f t="shared" ca="1" si="16"/>
        <v/>
      </c>
    </row>
    <row r="256" spans="1:27" x14ac:dyDescent="0.3">
      <c r="A256" t="s">
        <v>533</v>
      </c>
      <c r="B256" t="s">
        <v>534</v>
      </c>
      <c r="C256" t="s">
        <v>28</v>
      </c>
      <c r="D256" t="s">
        <v>62</v>
      </c>
      <c r="E256" s="1">
        <v>45340</v>
      </c>
      <c r="F256" t="s">
        <v>14</v>
      </c>
      <c r="G256">
        <v>9722</v>
      </c>
      <c r="H256">
        <v>9487</v>
      </c>
      <c r="I256">
        <v>3.38</v>
      </c>
      <c r="J256">
        <v>35</v>
      </c>
      <c r="P256">
        <f t="shared" ca="1" si="13"/>
        <v>512</v>
      </c>
      <c r="Q256" t="str" cm="1">
        <f t="array" ref="Q256">_xlfn.IFS(I256&gt;=3.5,"Excellent", I256&gt;3,"Good",I256&gt;2,"Average",I256&lt;2,"Poor")</f>
        <v>Good</v>
      </c>
      <c r="S256" t="b">
        <f t="shared" si="14"/>
        <v>1</v>
      </c>
      <c r="U256">
        <f t="shared" si="15"/>
        <v>2024</v>
      </c>
      <c r="AA256" t="str">
        <f t="shared" ca="1" si="16"/>
        <v/>
      </c>
    </row>
    <row r="257" spans="1:27" x14ac:dyDescent="0.3">
      <c r="A257" t="s">
        <v>535</v>
      </c>
      <c r="B257" t="s">
        <v>536</v>
      </c>
      <c r="C257" t="s">
        <v>12</v>
      </c>
      <c r="D257" t="s">
        <v>31</v>
      </c>
      <c r="E257" s="1">
        <v>44585</v>
      </c>
      <c r="F257" t="s">
        <v>14</v>
      </c>
      <c r="G257">
        <v>8231</v>
      </c>
      <c r="H257">
        <v>7185</v>
      </c>
      <c r="I257">
        <v>2.23</v>
      </c>
      <c r="J257">
        <v>106</v>
      </c>
      <c r="P257">
        <f t="shared" ca="1" si="13"/>
        <v>1267</v>
      </c>
      <c r="Q257" t="str" cm="1">
        <f t="array" ref="Q257">_xlfn.IFS(I257&gt;=3.5,"Excellent", I257&gt;3,"Good",I257&gt;2,"Average",I257&lt;2,"Poor")</f>
        <v>Average</v>
      </c>
      <c r="S257" t="b">
        <f t="shared" si="14"/>
        <v>1</v>
      </c>
      <c r="U257">
        <f t="shared" si="15"/>
        <v>2022</v>
      </c>
      <c r="AA257" t="str">
        <f t="shared" ca="1" si="16"/>
        <v/>
      </c>
    </row>
    <row r="258" spans="1:27" x14ac:dyDescent="0.3">
      <c r="A258" t="s">
        <v>537</v>
      </c>
      <c r="B258" t="s">
        <v>538</v>
      </c>
      <c r="C258" t="s">
        <v>25</v>
      </c>
      <c r="D258" t="s">
        <v>13</v>
      </c>
      <c r="E258" s="1">
        <v>45189</v>
      </c>
      <c r="F258" t="s">
        <v>14</v>
      </c>
      <c r="G258">
        <v>6740</v>
      </c>
      <c r="H258">
        <v>1446</v>
      </c>
      <c r="I258">
        <v>3.06</v>
      </c>
      <c r="J258">
        <v>88</v>
      </c>
      <c r="P258">
        <f t="shared" ca="1" si="13"/>
        <v>663</v>
      </c>
      <c r="Q258" t="str" cm="1">
        <f t="array" ref="Q258">_xlfn.IFS(I258&gt;=3.5,"Excellent", I258&gt;3,"Good",I258&gt;2,"Average",I258&lt;2,"Poor")</f>
        <v>Good</v>
      </c>
      <c r="S258" t="str">
        <f t="shared" si="14"/>
        <v xml:space="preserve"> </v>
      </c>
      <c r="U258">
        <f t="shared" si="15"/>
        <v>2023</v>
      </c>
      <c r="AA258" t="str">
        <f t="shared" ca="1" si="16"/>
        <v/>
      </c>
    </row>
    <row r="259" spans="1:27" x14ac:dyDescent="0.3">
      <c r="A259" t="s">
        <v>539</v>
      </c>
      <c r="B259" t="s">
        <v>540</v>
      </c>
      <c r="C259" t="s">
        <v>54</v>
      </c>
      <c r="D259" t="s">
        <v>31</v>
      </c>
      <c r="E259" s="1">
        <v>44857</v>
      </c>
      <c r="F259" t="s">
        <v>19</v>
      </c>
      <c r="G259">
        <v>3472</v>
      </c>
      <c r="H259">
        <v>7647</v>
      </c>
      <c r="I259">
        <v>2.27</v>
      </c>
      <c r="J259">
        <v>70</v>
      </c>
      <c r="P259" t="str">
        <f t="shared" ref="P259:P322" ca="1" si="17">IF(F259="Enrolled",TODAY()-E259, " ")</f>
        <v xml:space="preserve"> </v>
      </c>
      <c r="Q259" t="str" cm="1">
        <f t="array" ref="Q259">_xlfn.IFS(I259&gt;=3.5,"Excellent", I259&gt;3,"Good",I259&gt;2,"Average",I259&lt;2,"Poor")</f>
        <v>Average</v>
      </c>
      <c r="S259" t="b">
        <f t="shared" ref="S259:S322" si="18">IF(H259&gt;0.5*G259,TRUE, " " )</f>
        <v>1</v>
      </c>
      <c r="U259">
        <f t="shared" ref="U259:U322" si="19">YEAR(E259)</f>
        <v>2022</v>
      </c>
      <c r="AA259">
        <f t="shared" ref="AA259:AA322" ca="1" si="20">IF(F259="Completed",TODAY()-E259,"")</f>
        <v>995</v>
      </c>
    </row>
    <row r="260" spans="1:27" x14ac:dyDescent="0.3">
      <c r="A260" t="s">
        <v>541</v>
      </c>
      <c r="B260" t="s">
        <v>542</v>
      </c>
      <c r="C260" t="s">
        <v>28</v>
      </c>
      <c r="D260" t="s">
        <v>31</v>
      </c>
      <c r="E260" s="1">
        <v>45361</v>
      </c>
      <c r="F260" t="s">
        <v>39</v>
      </c>
      <c r="G260">
        <v>14136</v>
      </c>
      <c r="H260">
        <v>1781</v>
      </c>
      <c r="I260">
        <v>2.06</v>
      </c>
      <c r="J260">
        <v>81</v>
      </c>
      <c r="P260" t="str">
        <f t="shared" ca="1" si="17"/>
        <v xml:space="preserve"> </v>
      </c>
      <c r="Q260" t="str" cm="1">
        <f t="array" ref="Q260">_xlfn.IFS(I260&gt;=3.5,"Excellent", I260&gt;3,"Good",I260&gt;2,"Average",I260&lt;2,"Poor")</f>
        <v>Average</v>
      </c>
      <c r="S260" t="str">
        <f t="shared" si="18"/>
        <v xml:space="preserve"> </v>
      </c>
      <c r="U260">
        <f t="shared" si="19"/>
        <v>2024</v>
      </c>
      <c r="AA260" t="str">
        <f t="shared" ca="1" si="20"/>
        <v/>
      </c>
    </row>
    <row r="261" spans="1:27" x14ac:dyDescent="0.3">
      <c r="A261" t="s">
        <v>543</v>
      </c>
      <c r="B261" t="s">
        <v>544</v>
      </c>
      <c r="C261" t="s">
        <v>54</v>
      </c>
      <c r="D261" t="s">
        <v>13</v>
      </c>
      <c r="E261" s="1">
        <v>44937</v>
      </c>
      <c r="F261" t="s">
        <v>19</v>
      </c>
      <c r="G261">
        <v>8110</v>
      </c>
      <c r="H261">
        <v>2427</v>
      </c>
      <c r="I261">
        <v>3.44</v>
      </c>
      <c r="J261">
        <v>55</v>
      </c>
      <c r="P261" t="str">
        <f t="shared" ca="1" si="17"/>
        <v xml:space="preserve"> </v>
      </c>
      <c r="Q261" t="str" cm="1">
        <f t="array" ref="Q261">_xlfn.IFS(I261&gt;=3.5,"Excellent", I261&gt;3,"Good",I261&gt;2,"Average",I261&lt;2,"Poor")</f>
        <v>Good</v>
      </c>
      <c r="S261" t="str">
        <f t="shared" si="18"/>
        <v xml:space="preserve"> </v>
      </c>
      <c r="U261">
        <f t="shared" si="19"/>
        <v>2023</v>
      </c>
      <c r="AA261">
        <f t="shared" ca="1" si="20"/>
        <v>915</v>
      </c>
    </row>
    <row r="262" spans="1:27" x14ac:dyDescent="0.3">
      <c r="A262" t="s">
        <v>545</v>
      </c>
      <c r="B262" t="s">
        <v>546</v>
      </c>
      <c r="C262" t="s">
        <v>28</v>
      </c>
      <c r="D262" t="s">
        <v>18</v>
      </c>
      <c r="E262" s="1">
        <v>44995</v>
      </c>
      <c r="F262" t="s">
        <v>19</v>
      </c>
      <c r="G262">
        <v>4090</v>
      </c>
      <c r="H262">
        <v>1536</v>
      </c>
      <c r="I262">
        <v>2.95</v>
      </c>
      <c r="J262">
        <v>60</v>
      </c>
      <c r="P262" t="str">
        <f t="shared" ca="1" si="17"/>
        <v xml:space="preserve"> </v>
      </c>
      <c r="Q262" t="str" cm="1">
        <f t="array" ref="Q262">_xlfn.IFS(I262&gt;=3.5,"Excellent", I262&gt;3,"Good",I262&gt;2,"Average",I262&lt;2,"Poor")</f>
        <v>Average</v>
      </c>
      <c r="S262" t="str">
        <f t="shared" si="18"/>
        <v xml:space="preserve"> </v>
      </c>
      <c r="U262">
        <f t="shared" si="19"/>
        <v>2023</v>
      </c>
      <c r="AA262">
        <f t="shared" ca="1" si="20"/>
        <v>857</v>
      </c>
    </row>
    <row r="263" spans="1:27" x14ac:dyDescent="0.3">
      <c r="A263" t="s">
        <v>547</v>
      </c>
      <c r="B263" t="s">
        <v>548</v>
      </c>
      <c r="C263" t="s">
        <v>36</v>
      </c>
      <c r="D263" t="s">
        <v>13</v>
      </c>
      <c r="E263" s="1">
        <v>44952</v>
      </c>
      <c r="F263" t="s">
        <v>14</v>
      </c>
      <c r="G263">
        <v>2654</v>
      </c>
      <c r="H263">
        <v>1494</v>
      </c>
      <c r="I263">
        <v>3.44</v>
      </c>
      <c r="J263">
        <v>78</v>
      </c>
      <c r="P263">
        <f t="shared" ca="1" si="17"/>
        <v>900</v>
      </c>
      <c r="Q263" t="str" cm="1">
        <f t="array" ref="Q263">_xlfn.IFS(I263&gt;=3.5,"Excellent", I263&gt;3,"Good",I263&gt;2,"Average",I263&lt;2,"Poor")</f>
        <v>Good</v>
      </c>
      <c r="S263" t="b">
        <f t="shared" si="18"/>
        <v>1</v>
      </c>
      <c r="U263">
        <f t="shared" si="19"/>
        <v>2023</v>
      </c>
      <c r="AA263" t="str">
        <f t="shared" ca="1" si="20"/>
        <v/>
      </c>
    </row>
    <row r="264" spans="1:27" x14ac:dyDescent="0.3">
      <c r="A264" t="s">
        <v>549</v>
      </c>
      <c r="B264" t="s">
        <v>550</v>
      </c>
      <c r="C264" t="s">
        <v>12</v>
      </c>
      <c r="D264" t="s">
        <v>62</v>
      </c>
      <c r="E264" s="1">
        <v>45276</v>
      </c>
      <c r="F264" t="s">
        <v>14</v>
      </c>
      <c r="G264">
        <v>14036</v>
      </c>
      <c r="H264">
        <v>9481</v>
      </c>
      <c r="I264">
        <v>3.17</v>
      </c>
      <c r="J264">
        <v>85</v>
      </c>
      <c r="P264">
        <f t="shared" ca="1" si="17"/>
        <v>576</v>
      </c>
      <c r="Q264" t="str" cm="1">
        <f t="array" ref="Q264">_xlfn.IFS(I264&gt;=3.5,"Excellent", I264&gt;3,"Good",I264&gt;2,"Average",I264&lt;2,"Poor")</f>
        <v>Good</v>
      </c>
      <c r="S264" t="b">
        <f t="shared" si="18"/>
        <v>1</v>
      </c>
      <c r="U264">
        <f t="shared" si="19"/>
        <v>2023</v>
      </c>
      <c r="AA264" t="str">
        <f t="shared" ca="1" si="20"/>
        <v/>
      </c>
    </row>
    <row r="265" spans="1:27" x14ac:dyDescent="0.3">
      <c r="A265" t="s">
        <v>551</v>
      </c>
      <c r="B265" t="s">
        <v>552</v>
      </c>
      <c r="C265" t="s">
        <v>12</v>
      </c>
      <c r="D265" t="s">
        <v>31</v>
      </c>
      <c r="E265" s="1">
        <v>44619</v>
      </c>
      <c r="F265" t="s">
        <v>19</v>
      </c>
      <c r="G265">
        <v>9912</v>
      </c>
      <c r="H265">
        <v>9447</v>
      </c>
      <c r="I265">
        <v>2.11</v>
      </c>
      <c r="J265">
        <v>10</v>
      </c>
      <c r="P265" t="str">
        <f t="shared" ca="1" si="17"/>
        <v xml:space="preserve"> </v>
      </c>
      <c r="Q265" t="str" cm="1">
        <f t="array" ref="Q265">_xlfn.IFS(I265&gt;=3.5,"Excellent", I265&gt;3,"Good",I265&gt;2,"Average",I265&lt;2,"Poor")</f>
        <v>Average</v>
      </c>
      <c r="S265" t="b">
        <f t="shared" si="18"/>
        <v>1</v>
      </c>
      <c r="U265">
        <f t="shared" si="19"/>
        <v>2022</v>
      </c>
      <c r="AA265">
        <f t="shared" ca="1" si="20"/>
        <v>1233</v>
      </c>
    </row>
    <row r="266" spans="1:27" x14ac:dyDescent="0.3">
      <c r="A266" t="s">
        <v>553</v>
      </c>
      <c r="B266" t="s">
        <v>554</v>
      </c>
      <c r="C266" t="s">
        <v>25</v>
      </c>
      <c r="D266" t="s">
        <v>13</v>
      </c>
      <c r="E266" s="1">
        <v>44922</v>
      </c>
      <c r="F266" t="s">
        <v>19</v>
      </c>
      <c r="G266">
        <v>6111</v>
      </c>
      <c r="H266">
        <v>1558</v>
      </c>
      <c r="I266">
        <v>2.2200000000000002</v>
      </c>
      <c r="J266">
        <v>48</v>
      </c>
      <c r="P266" t="str">
        <f t="shared" ca="1" si="17"/>
        <v xml:space="preserve"> </v>
      </c>
      <c r="Q266" t="str" cm="1">
        <f t="array" ref="Q266">_xlfn.IFS(I266&gt;=3.5,"Excellent", I266&gt;3,"Good",I266&gt;2,"Average",I266&lt;2,"Poor")</f>
        <v>Average</v>
      </c>
      <c r="S266" t="str">
        <f t="shared" si="18"/>
        <v xml:space="preserve"> </v>
      </c>
      <c r="U266">
        <f t="shared" si="19"/>
        <v>2022</v>
      </c>
      <c r="AA266">
        <f t="shared" ca="1" si="20"/>
        <v>930</v>
      </c>
    </row>
    <row r="267" spans="1:27" x14ac:dyDescent="0.3">
      <c r="A267" t="s">
        <v>555</v>
      </c>
      <c r="B267" t="s">
        <v>556</v>
      </c>
      <c r="C267" t="s">
        <v>25</v>
      </c>
      <c r="D267" t="s">
        <v>62</v>
      </c>
      <c r="E267" s="1">
        <v>45360</v>
      </c>
      <c r="F267" t="s">
        <v>14</v>
      </c>
      <c r="G267">
        <v>12375</v>
      </c>
      <c r="H267">
        <v>1292</v>
      </c>
      <c r="I267">
        <v>2.54</v>
      </c>
      <c r="J267">
        <v>40</v>
      </c>
      <c r="P267">
        <f t="shared" ca="1" si="17"/>
        <v>492</v>
      </c>
      <c r="Q267" t="str" cm="1">
        <f t="array" ref="Q267">_xlfn.IFS(I267&gt;=3.5,"Excellent", I267&gt;3,"Good",I267&gt;2,"Average",I267&lt;2,"Poor")</f>
        <v>Average</v>
      </c>
      <c r="S267" t="str">
        <f t="shared" si="18"/>
        <v xml:space="preserve"> </v>
      </c>
      <c r="U267">
        <f t="shared" si="19"/>
        <v>2024</v>
      </c>
      <c r="AA267" t="str">
        <f t="shared" ca="1" si="20"/>
        <v/>
      </c>
    </row>
    <row r="268" spans="1:27" x14ac:dyDescent="0.3">
      <c r="A268" t="s">
        <v>557</v>
      </c>
      <c r="B268" t="s">
        <v>558</v>
      </c>
      <c r="C268" t="s">
        <v>54</v>
      </c>
      <c r="D268" t="s">
        <v>18</v>
      </c>
      <c r="E268" s="1">
        <v>44906</v>
      </c>
      <c r="F268" t="s">
        <v>14</v>
      </c>
      <c r="G268">
        <v>5864</v>
      </c>
      <c r="H268">
        <v>3943</v>
      </c>
      <c r="I268">
        <v>3.14</v>
      </c>
      <c r="J268">
        <v>79</v>
      </c>
      <c r="P268">
        <f t="shared" ca="1" si="17"/>
        <v>946</v>
      </c>
      <c r="Q268" t="str" cm="1">
        <f t="array" ref="Q268">_xlfn.IFS(I268&gt;=3.5,"Excellent", I268&gt;3,"Good",I268&gt;2,"Average",I268&lt;2,"Poor")</f>
        <v>Good</v>
      </c>
      <c r="S268" t="b">
        <f t="shared" si="18"/>
        <v>1</v>
      </c>
      <c r="U268">
        <f t="shared" si="19"/>
        <v>2022</v>
      </c>
      <c r="AA268" t="str">
        <f t="shared" ca="1" si="20"/>
        <v/>
      </c>
    </row>
    <row r="269" spans="1:27" x14ac:dyDescent="0.3">
      <c r="A269" t="s">
        <v>559</v>
      </c>
      <c r="B269" t="s">
        <v>560</v>
      </c>
      <c r="C269" t="s">
        <v>25</v>
      </c>
      <c r="D269" t="s">
        <v>13</v>
      </c>
      <c r="E269" s="1">
        <v>44637</v>
      </c>
      <c r="F269" t="s">
        <v>14</v>
      </c>
      <c r="G269">
        <v>14547</v>
      </c>
      <c r="H269">
        <v>4922</v>
      </c>
      <c r="I269">
        <v>3.06</v>
      </c>
      <c r="J269">
        <v>67</v>
      </c>
      <c r="P269">
        <f t="shared" ca="1" si="17"/>
        <v>1215</v>
      </c>
      <c r="Q269" t="str" cm="1">
        <f t="array" ref="Q269">_xlfn.IFS(I269&gt;=3.5,"Excellent", I269&gt;3,"Good",I269&gt;2,"Average",I269&lt;2,"Poor")</f>
        <v>Good</v>
      </c>
      <c r="S269" t="str">
        <f t="shared" si="18"/>
        <v xml:space="preserve"> </v>
      </c>
      <c r="U269">
        <f t="shared" si="19"/>
        <v>2022</v>
      </c>
      <c r="AA269" t="str">
        <f t="shared" ca="1" si="20"/>
        <v/>
      </c>
    </row>
    <row r="270" spans="1:27" x14ac:dyDescent="0.3">
      <c r="A270" t="s">
        <v>561</v>
      </c>
      <c r="B270" t="s">
        <v>562</v>
      </c>
      <c r="C270" t="s">
        <v>28</v>
      </c>
      <c r="D270" t="s">
        <v>13</v>
      </c>
      <c r="E270" s="1">
        <v>44647</v>
      </c>
      <c r="F270" t="s">
        <v>19</v>
      </c>
      <c r="G270">
        <v>12862</v>
      </c>
      <c r="H270">
        <v>6663</v>
      </c>
      <c r="I270">
        <v>3.69</v>
      </c>
      <c r="J270">
        <v>85</v>
      </c>
      <c r="P270" t="str">
        <f t="shared" ca="1" si="17"/>
        <v xml:space="preserve"> </v>
      </c>
      <c r="Q270" t="str" cm="1">
        <f t="array" ref="Q270">_xlfn.IFS(I270&gt;=3.5,"Excellent", I270&gt;3,"Good",I270&gt;2,"Average",I270&lt;2,"Poor")</f>
        <v>Excellent</v>
      </c>
      <c r="S270" t="b">
        <f t="shared" si="18"/>
        <v>1</v>
      </c>
      <c r="U270">
        <f t="shared" si="19"/>
        <v>2022</v>
      </c>
      <c r="AA270">
        <f t="shared" ca="1" si="20"/>
        <v>1205</v>
      </c>
    </row>
    <row r="271" spans="1:27" x14ac:dyDescent="0.3">
      <c r="A271" t="s">
        <v>563</v>
      </c>
      <c r="B271" t="s">
        <v>564</v>
      </c>
      <c r="C271" t="s">
        <v>22</v>
      </c>
      <c r="D271" t="s">
        <v>13</v>
      </c>
      <c r="E271" s="1">
        <v>45234</v>
      </c>
      <c r="F271" t="s">
        <v>14</v>
      </c>
      <c r="G271">
        <v>3181</v>
      </c>
      <c r="H271">
        <v>2030</v>
      </c>
      <c r="I271">
        <v>2.2200000000000002</v>
      </c>
      <c r="J271">
        <v>110</v>
      </c>
      <c r="P271">
        <f t="shared" ca="1" si="17"/>
        <v>618</v>
      </c>
      <c r="Q271" t="str" cm="1">
        <f t="array" ref="Q271">_xlfn.IFS(I271&gt;=3.5,"Excellent", I271&gt;3,"Good",I271&gt;2,"Average",I271&lt;2,"Poor")</f>
        <v>Average</v>
      </c>
      <c r="S271" t="b">
        <f t="shared" si="18"/>
        <v>1</v>
      </c>
      <c r="U271">
        <f t="shared" si="19"/>
        <v>2023</v>
      </c>
      <c r="AA271" t="str">
        <f t="shared" ca="1" si="20"/>
        <v/>
      </c>
    </row>
    <row r="272" spans="1:27" x14ac:dyDescent="0.3">
      <c r="A272" t="s">
        <v>565</v>
      </c>
      <c r="B272" t="s">
        <v>566</v>
      </c>
      <c r="C272" t="s">
        <v>17</v>
      </c>
      <c r="D272" t="s">
        <v>62</v>
      </c>
      <c r="E272" s="1">
        <v>44759</v>
      </c>
      <c r="F272" t="s">
        <v>19</v>
      </c>
      <c r="G272">
        <v>7961</v>
      </c>
      <c r="H272">
        <v>6424</v>
      </c>
      <c r="I272">
        <v>3.69</v>
      </c>
      <c r="J272">
        <v>12</v>
      </c>
      <c r="P272" t="str">
        <f t="shared" ca="1" si="17"/>
        <v xml:space="preserve"> </v>
      </c>
      <c r="Q272" t="str" cm="1">
        <f t="array" ref="Q272">_xlfn.IFS(I272&gt;=3.5,"Excellent", I272&gt;3,"Good",I272&gt;2,"Average",I272&lt;2,"Poor")</f>
        <v>Excellent</v>
      </c>
      <c r="S272" t="b">
        <f t="shared" si="18"/>
        <v>1</v>
      </c>
      <c r="U272">
        <f t="shared" si="19"/>
        <v>2022</v>
      </c>
      <c r="AA272">
        <f t="shared" ca="1" si="20"/>
        <v>1093</v>
      </c>
    </row>
    <row r="273" spans="1:27" x14ac:dyDescent="0.3">
      <c r="A273" t="s">
        <v>567</v>
      </c>
      <c r="B273" t="s">
        <v>568</v>
      </c>
      <c r="C273" t="s">
        <v>54</v>
      </c>
      <c r="D273" t="s">
        <v>18</v>
      </c>
      <c r="E273" s="1">
        <v>44909</v>
      </c>
      <c r="F273" t="s">
        <v>19</v>
      </c>
      <c r="G273">
        <v>3134</v>
      </c>
      <c r="H273">
        <v>313</v>
      </c>
      <c r="I273">
        <v>2.02</v>
      </c>
      <c r="J273">
        <v>112</v>
      </c>
      <c r="P273" t="str">
        <f t="shared" ca="1" si="17"/>
        <v xml:space="preserve"> </v>
      </c>
      <c r="Q273" t="str" cm="1">
        <f t="array" ref="Q273">_xlfn.IFS(I273&gt;=3.5,"Excellent", I273&gt;3,"Good",I273&gt;2,"Average",I273&lt;2,"Poor")</f>
        <v>Average</v>
      </c>
      <c r="S273" t="str">
        <f t="shared" si="18"/>
        <v xml:space="preserve"> </v>
      </c>
      <c r="U273">
        <f t="shared" si="19"/>
        <v>2022</v>
      </c>
      <c r="AA273">
        <f t="shared" ca="1" si="20"/>
        <v>943</v>
      </c>
    </row>
    <row r="274" spans="1:27" x14ac:dyDescent="0.3">
      <c r="A274" t="s">
        <v>569</v>
      </c>
      <c r="B274" t="s">
        <v>570</v>
      </c>
      <c r="C274" t="s">
        <v>57</v>
      </c>
      <c r="D274" t="s">
        <v>18</v>
      </c>
      <c r="E274" s="1">
        <v>45060</v>
      </c>
      <c r="F274" t="s">
        <v>19</v>
      </c>
      <c r="G274">
        <v>13777</v>
      </c>
      <c r="H274">
        <v>8538</v>
      </c>
      <c r="I274">
        <v>3.35</v>
      </c>
      <c r="J274">
        <v>22</v>
      </c>
      <c r="P274" t="str">
        <f t="shared" ca="1" si="17"/>
        <v xml:space="preserve"> </v>
      </c>
      <c r="Q274" t="str" cm="1">
        <f t="array" ref="Q274">_xlfn.IFS(I274&gt;=3.5,"Excellent", I274&gt;3,"Good",I274&gt;2,"Average",I274&lt;2,"Poor")</f>
        <v>Good</v>
      </c>
      <c r="S274" t="b">
        <f t="shared" si="18"/>
        <v>1</v>
      </c>
      <c r="U274">
        <f t="shared" si="19"/>
        <v>2023</v>
      </c>
      <c r="AA274">
        <f t="shared" ca="1" si="20"/>
        <v>792</v>
      </c>
    </row>
    <row r="275" spans="1:27" x14ac:dyDescent="0.3">
      <c r="A275" t="s">
        <v>571</v>
      </c>
      <c r="B275" t="s">
        <v>572</v>
      </c>
      <c r="C275" t="s">
        <v>57</v>
      </c>
      <c r="D275" t="s">
        <v>13</v>
      </c>
      <c r="E275" s="1">
        <v>45387</v>
      </c>
      <c r="F275" t="s">
        <v>14</v>
      </c>
      <c r="G275">
        <v>13439</v>
      </c>
      <c r="H275">
        <v>2405</v>
      </c>
      <c r="I275">
        <v>2.5099999999999998</v>
      </c>
      <c r="J275">
        <v>104</v>
      </c>
      <c r="P275">
        <f t="shared" ca="1" si="17"/>
        <v>465</v>
      </c>
      <c r="Q275" t="str" cm="1">
        <f t="array" ref="Q275">_xlfn.IFS(I275&gt;=3.5,"Excellent", I275&gt;3,"Good",I275&gt;2,"Average",I275&lt;2,"Poor")</f>
        <v>Average</v>
      </c>
      <c r="S275" t="str">
        <f t="shared" si="18"/>
        <v xml:space="preserve"> </v>
      </c>
      <c r="U275">
        <f t="shared" si="19"/>
        <v>2024</v>
      </c>
      <c r="AA275" t="str">
        <f t="shared" ca="1" si="20"/>
        <v/>
      </c>
    </row>
    <row r="276" spans="1:27" x14ac:dyDescent="0.3">
      <c r="A276" t="s">
        <v>573</v>
      </c>
      <c r="B276" t="s">
        <v>574</v>
      </c>
      <c r="C276" t="s">
        <v>54</v>
      </c>
      <c r="D276" t="s">
        <v>18</v>
      </c>
      <c r="E276" s="1">
        <v>44944</v>
      </c>
      <c r="F276" t="s">
        <v>19</v>
      </c>
      <c r="G276">
        <v>7518</v>
      </c>
      <c r="H276">
        <v>6229</v>
      </c>
      <c r="I276">
        <v>3.59</v>
      </c>
      <c r="J276">
        <v>48</v>
      </c>
      <c r="P276" t="str">
        <f t="shared" ca="1" si="17"/>
        <v xml:space="preserve"> </v>
      </c>
      <c r="Q276" t="str" cm="1">
        <f t="array" ref="Q276">_xlfn.IFS(I276&gt;=3.5,"Excellent", I276&gt;3,"Good",I276&gt;2,"Average",I276&lt;2,"Poor")</f>
        <v>Excellent</v>
      </c>
      <c r="S276" t="b">
        <f t="shared" si="18"/>
        <v>1</v>
      </c>
      <c r="U276">
        <f t="shared" si="19"/>
        <v>2023</v>
      </c>
      <c r="AA276">
        <f t="shared" ca="1" si="20"/>
        <v>908</v>
      </c>
    </row>
    <row r="277" spans="1:27" x14ac:dyDescent="0.3">
      <c r="A277" t="s">
        <v>575</v>
      </c>
      <c r="B277" t="s">
        <v>576</v>
      </c>
      <c r="C277" t="s">
        <v>36</v>
      </c>
      <c r="D277" t="s">
        <v>31</v>
      </c>
      <c r="E277" s="1">
        <v>45073</v>
      </c>
      <c r="F277" t="s">
        <v>14</v>
      </c>
      <c r="G277">
        <v>13408</v>
      </c>
      <c r="H277">
        <v>4476</v>
      </c>
      <c r="I277">
        <v>2.15</v>
      </c>
      <c r="J277">
        <v>22</v>
      </c>
      <c r="P277">
        <f t="shared" ca="1" si="17"/>
        <v>779</v>
      </c>
      <c r="Q277" t="str" cm="1">
        <f t="array" ref="Q277">_xlfn.IFS(I277&gt;=3.5,"Excellent", I277&gt;3,"Good",I277&gt;2,"Average",I277&lt;2,"Poor")</f>
        <v>Average</v>
      </c>
      <c r="S277" t="str">
        <f t="shared" si="18"/>
        <v xml:space="preserve"> </v>
      </c>
      <c r="U277">
        <f t="shared" si="19"/>
        <v>2023</v>
      </c>
      <c r="AA277" t="str">
        <f t="shared" ca="1" si="20"/>
        <v/>
      </c>
    </row>
    <row r="278" spans="1:27" x14ac:dyDescent="0.3">
      <c r="A278" t="s">
        <v>577</v>
      </c>
      <c r="B278" t="s">
        <v>578</v>
      </c>
      <c r="C278" t="s">
        <v>12</v>
      </c>
      <c r="D278" t="s">
        <v>13</v>
      </c>
      <c r="E278" s="1">
        <v>45450</v>
      </c>
      <c r="F278" t="s">
        <v>14</v>
      </c>
      <c r="G278">
        <v>8007</v>
      </c>
      <c r="H278">
        <v>9251</v>
      </c>
      <c r="I278">
        <v>2.42</v>
      </c>
      <c r="J278">
        <v>37</v>
      </c>
      <c r="P278">
        <f t="shared" ca="1" si="17"/>
        <v>402</v>
      </c>
      <c r="Q278" t="str" cm="1">
        <f t="array" ref="Q278">_xlfn.IFS(I278&gt;=3.5,"Excellent", I278&gt;3,"Good",I278&gt;2,"Average",I278&lt;2,"Poor")</f>
        <v>Average</v>
      </c>
      <c r="S278" t="b">
        <f t="shared" si="18"/>
        <v>1</v>
      </c>
      <c r="U278">
        <f t="shared" si="19"/>
        <v>2024</v>
      </c>
      <c r="AA278" t="str">
        <f t="shared" ca="1" si="20"/>
        <v/>
      </c>
    </row>
    <row r="279" spans="1:27" x14ac:dyDescent="0.3">
      <c r="A279" t="s">
        <v>579</v>
      </c>
      <c r="B279" t="s">
        <v>580</v>
      </c>
      <c r="C279" t="s">
        <v>12</v>
      </c>
      <c r="D279" t="s">
        <v>62</v>
      </c>
      <c r="E279" s="1">
        <v>45183</v>
      </c>
      <c r="F279" t="s">
        <v>19</v>
      </c>
      <c r="G279">
        <v>9757</v>
      </c>
      <c r="H279">
        <v>7770</v>
      </c>
      <c r="I279">
        <v>3.36</v>
      </c>
      <c r="J279">
        <v>103</v>
      </c>
      <c r="P279" t="str">
        <f t="shared" ca="1" si="17"/>
        <v xml:space="preserve"> </v>
      </c>
      <c r="Q279" t="str" cm="1">
        <f t="array" ref="Q279">_xlfn.IFS(I279&gt;=3.5,"Excellent", I279&gt;3,"Good",I279&gt;2,"Average",I279&lt;2,"Poor")</f>
        <v>Good</v>
      </c>
      <c r="S279" t="b">
        <f t="shared" si="18"/>
        <v>1</v>
      </c>
      <c r="U279">
        <f t="shared" si="19"/>
        <v>2023</v>
      </c>
      <c r="AA279">
        <f t="shared" ca="1" si="20"/>
        <v>669</v>
      </c>
    </row>
    <row r="280" spans="1:27" x14ac:dyDescent="0.3">
      <c r="A280" t="s">
        <v>581</v>
      </c>
      <c r="B280" t="s">
        <v>582</v>
      </c>
      <c r="C280" t="s">
        <v>25</v>
      </c>
      <c r="D280" t="s">
        <v>62</v>
      </c>
      <c r="E280" s="1">
        <v>44989</v>
      </c>
      <c r="F280" t="s">
        <v>19</v>
      </c>
      <c r="G280">
        <v>5923</v>
      </c>
      <c r="H280">
        <v>8679</v>
      </c>
      <c r="I280">
        <v>2.2799999999999998</v>
      </c>
      <c r="J280">
        <v>65</v>
      </c>
      <c r="P280" t="str">
        <f t="shared" ca="1" si="17"/>
        <v xml:space="preserve"> </v>
      </c>
      <c r="Q280" t="str" cm="1">
        <f t="array" ref="Q280">_xlfn.IFS(I280&gt;=3.5,"Excellent", I280&gt;3,"Good",I280&gt;2,"Average",I280&lt;2,"Poor")</f>
        <v>Average</v>
      </c>
      <c r="S280" t="b">
        <f t="shared" si="18"/>
        <v>1</v>
      </c>
      <c r="U280">
        <f t="shared" si="19"/>
        <v>2023</v>
      </c>
      <c r="AA280">
        <f t="shared" ca="1" si="20"/>
        <v>863</v>
      </c>
    </row>
    <row r="281" spans="1:27" x14ac:dyDescent="0.3">
      <c r="A281" t="s">
        <v>583</v>
      </c>
      <c r="B281" t="s">
        <v>584</v>
      </c>
      <c r="C281" t="s">
        <v>54</v>
      </c>
      <c r="D281" t="s">
        <v>31</v>
      </c>
      <c r="E281" s="1">
        <v>45210</v>
      </c>
      <c r="F281" t="s">
        <v>19</v>
      </c>
      <c r="G281">
        <v>11940</v>
      </c>
      <c r="H281">
        <v>9530</v>
      </c>
      <c r="I281">
        <v>2.02</v>
      </c>
      <c r="J281">
        <v>30</v>
      </c>
      <c r="P281" t="str">
        <f t="shared" ca="1" si="17"/>
        <v xml:space="preserve"> </v>
      </c>
      <c r="Q281" t="str" cm="1">
        <f t="array" ref="Q281">_xlfn.IFS(I281&gt;=3.5,"Excellent", I281&gt;3,"Good",I281&gt;2,"Average",I281&lt;2,"Poor")</f>
        <v>Average</v>
      </c>
      <c r="S281" t="b">
        <f t="shared" si="18"/>
        <v>1</v>
      </c>
      <c r="U281">
        <f t="shared" si="19"/>
        <v>2023</v>
      </c>
      <c r="AA281">
        <f t="shared" ca="1" si="20"/>
        <v>642</v>
      </c>
    </row>
    <row r="282" spans="1:27" x14ac:dyDescent="0.3">
      <c r="A282" t="s">
        <v>585</v>
      </c>
      <c r="B282" t="s">
        <v>586</v>
      </c>
      <c r="C282" t="s">
        <v>36</v>
      </c>
      <c r="D282" t="s">
        <v>13</v>
      </c>
      <c r="E282" s="1">
        <v>45155</v>
      </c>
      <c r="F282" t="s">
        <v>19</v>
      </c>
      <c r="G282">
        <v>12216</v>
      </c>
      <c r="H282">
        <v>8265</v>
      </c>
      <c r="I282">
        <v>3.42</v>
      </c>
      <c r="J282">
        <v>5</v>
      </c>
      <c r="P282" t="str">
        <f t="shared" ca="1" si="17"/>
        <v xml:space="preserve"> </v>
      </c>
      <c r="Q282" t="str" cm="1">
        <f t="array" ref="Q282">_xlfn.IFS(I282&gt;=3.5,"Excellent", I282&gt;3,"Good",I282&gt;2,"Average",I282&lt;2,"Poor")</f>
        <v>Good</v>
      </c>
      <c r="S282" t="b">
        <f t="shared" si="18"/>
        <v>1</v>
      </c>
      <c r="U282">
        <f t="shared" si="19"/>
        <v>2023</v>
      </c>
      <c r="AA282">
        <f t="shared" ca="1" si="20"/>
        <v>697</v>
      </c>
    </row>
    <row r="283" spans="1:27" x14ac:dyDescent="0.3">
      <c r="A283" t="s">
        <v>587</v>
      </c>
      <c r="B283" t="s">
        <v>588</v>
      </c>
      <c r="C283" t="s">
        <v>54</v>
      </c>
      <c r="D283" t="s">
        <v>31</v>
      </c>
      <c r="E283" s="1">
        <v>44910</v>
      </c>
      <c r="F283" t="s">
        <v>14</v>
      </c>
      <c r="G283">
        <v>8332</v>
      </c>
      <c r="H283">
        <v>4580</v>
      </c>
      <c r="I283">
        <v>2.6</v>
      </c>
      <c r="J283">
        <v>53</v>
      </c>
      <c r="P283">
        <f t="shared" ca="1" si="17"/>
        <v>942</v>
      </c>
      <c r="Q283" t="str" cm="1">
        <f t="array" ref="Q283">_xlfn.IFS(I283&gt;=3.5,"Excellent", I283&gt;3,"Good",I283&gt;2,"Average",I283&lt;2,"Poor")</f>
        <v>Average</v>
      </c>
      <c r="S283" t="b">
        <f t="shared" si="18"/>
        <v>1</v>
      </c>
      <c r="U283">
        <f t="shared" si="19"/>
        <v>2022</v>
      </c>
      <c r="AA283" t="str">
        <f t="shared" ca="1" si="20"/>
        <v/>
      </c>
    </row>
    <row r="284" spans="1:27" x14ac:dyDescent="0.3">
      <c r="A284" t="s">
        <v>589</v>
      </c>
      <c r="B284" t="s">
        <v>590</v>
      </c>
      <c r="C284" t="s">
        <v>54</v>
      </c>
      <c r="D284" t="s">
        <v>31</v>
      </c>
      <c r="E284" s="1">
        <v>44869</v>
      </c>
      <c r="F284" t="s">
        <v>14</v>
      </c>
      <c r="G284">
        <v>8893</v>
      </c>
      <c r="H284">
        <v>6924</v>
      </c>
      <c r="I284">
        <v>3.7</v>
      </c>
      <c r="J284">
        <v>51</v>
      </c>
      <c r="P284">
        <f t="shared" ca="1" si="17"/>
        <v>983</v>
      </c>
      <c r="Q284" t="str" cm="1">
        <f t="array" ref="Q284">_xlfn.IFS(I284&gt;=3.5,"Excellent", I284&gt;3,"Good",I284&gt;2,"Average",I284&lt;2,"Poor")</f>
        <v>Excellent</v>
      </c>
      <c r="S284" t="b">
        <f t="shared" si="18"/>
        <v>1</v>
      </c>
      <c r="U284">
        <f t="shared" si="19"/>
        <v>2022</v>
      </c>
      <c r="AA284" t="str">
        <f t="shared" ca="1" si="20"/>
        <v/>
      </c>
    </row>
    <row r="285" spans="1:27" x14ac:dyDescent="0.3">
      <c r="A285" t="s">
        <v>591</v>
      </c>
      <c r="B285" t="s">
        <v>592</v>
      </c>
      <c r="C285" t="s">
        <v>28</v>
      </c>
      <c r="D285" t="s">
        <v>31</v>
      </c>
      <c r="E285" s="1">
        <v>44725</v>
      </c>
      <c r="F285" t="s">
        <v>39</v>
      </c>
      <c r="G285">
        <v>9981</v>
      </c>
      <c r="H285">
        <v>2190</v>
      </c>
      <c r="I285">
        <v>2.12</v>
      </c>
      <c r="J285">
        <v>53</v>
      </c>
      <c r="P285" t="str">
        <f t="shared" ca="1" si="17"/>
        <v xml:space="preserve"> </v>
      </c>
      <c r="Q285" t="str" cm="1">
        <f t="array" ref="Q285">_xlfn.IFS(I285&gt;=3.5,"Excellent", I285&gt;3,"Good",I285&gt;2,"Average",I285&lt;2,"Poor")</f>
        <v>Average</v>
      </c>
      <c r="S285" t="str">
        <f t="shared" si="18"/>
        <v xml:space="preserve"> </v>
      </c>
      <c r="U285">
        <f t="shared" si="19"/>
        <v>2022</v>
      </c>
      <c r="AA285" t="str">
        <f t="shared" ca="1" si="20"/>
        <v/>
      </c>
    </row>
    <row r="286" spans="1:27" x14ac:dyDescent="0.3">
      <c r="A286" t="s">
        <v>593</v>
      </c>
      <c r="B286" t="s">
        <v>594</v>
      </c>
      <c r="C286" t="s">
        <v>22</v>
      </c>
      <c r="D286" t="s">
        <v>31</v>
      </c>
      <c r="E286" s="1">
        <v>45254</v>
      </c>
      <c r="F286" t="s">
        <v>19</v>
      </c>
      <c r="G286">
        <v>9881</v>
      </c>
      <c r="H286">
        <v>561</v>
      </c>
      <c r="I286">
        <v>2.93</v>
      </c>
      <c r="J286">
        <v>90</v>
      </c>
      <c r="P286" t="str">
        <f t="shared" ca="1" si="17"/>
        <v xml:space="preserve"> </v>
      </c>
      <c r="Q286" t="str" cm="1">
        <f t="array" ref="Q286">_xlfn.IFS(I286&gt;=3.5,"Excellent", I286&gt;3,"Good",I286&gt;2,"Average",I286&lt;2,"Poor")</f>
        <v>Average</v>
      </c>
      <c r="S286" t="str">
        <f t="shared" si="18"/>
        <v xml:space="preserve"> </v>
      </c>
      <c r="U286">
        <f t="shared" si="19"/>
        <v>2023</v>
      </c>
      <c r="AA286">
        <f t="shared" ca="1" si="20"/>
        <v>598</v>
      </c>
    </row>
    <row r="287" spans="1:27" x14ac:dyDescent="0.3">
      <c r="A287" t="s">
        <v>595</v>
      </c>
      <c r="B287" t="s">
        <v>596</v>
      </c>
      <c r="C287" t="s">
        <v>12</v>
      </c>
      <c r="D287" t="s">
        <v>13</v>
      </c>
      <c r="E287" s="1">
        <v>45178</v>
      </c>
      <c r="F287" t="s">
        <v>14</v>
      </c>
      <c r="G287">
        <v>2709</v>
      </c>
      <c r="H287">
        <v>4201</v>
      </c>
      <c r="I287">
        <v>2.2599999999999998</v>
      </c>
      <c r="J287">
        <v>50</v>
      </c>
      <c r="P287">
        <f t="shared" ca="1" si="17"/>
        <v>674</v>
      </c>
      <c r="Q287" t="str" cm="1">
        <f t="array" ref="Q287">_xlfn.IFS(I287&gt;=3.5,"Excellent", I287&gt;3,"Good",I287&gt;2,"Average",I287&lt;2,"Poor")</f>
        <v>Average</v>
      </c>
      <c r="S287" t="b">
        <f t="shared" si="18"/>
        <v>1</v>
      </c>
      <c r="U287">
        <f t="shared" si="19"/>
        <v>2023</v>
      </c>
      <c r="AA287" t="str">
        <f t="shared" ca="1" si="20"/>
        <v/>
      </c>
    </row>
    <row r="288" spans="1:27" x14ac:dyDescent="0.3">
      <c r="A288" t="s">
        <v>597</v>
      </c>
      <c r="B288" t="s">
        <v>598</v>
      </c>
      <c r="C288" t="s">
        <v>17</v>
      </c>
      <c r="D288" t="s">
        <v>31</v>
      </c>
      <c r="E288" s="1">
        <v>44580</v>
      </c>
      <c r="F288" t="s">
        <v>14</v>
      </c>
      <c r="G288">
        <v>11935</v>
      </c>
      <c r="H288">
        <v>4832</v>
      </c>
      <c r="I288">
        <v>2.36</v>
      </c>
      <c r="J288">
        <v>31</v>
      </c>
      <c r="P288">
        <f t="shared" ca="1" si="17"/>
        <v>1272</v>
      </c>
      <c r="Q288" t="str" cm="1">
        <f t="array" ref="Q288">_xlfn.IFS(I288&gt;=3.5,"Excellent", I288&gt;3,"Good",I288&gt;2,"Average",I288&lt;2,"Poor")</f>
        <v>Average</v>
      </c>
      <c r="S288" t="str">
        <f t="shared" si="18"/>
        <v xml:space="preserve"> </v>
      </c>
      <c r="U288">
        <f t="shared" si="19"/>
        <v>2022</v>
      </c>
      <c r="AA288" t="str">
        <f t="shared" ca="1" si="20"/>
        <v/>
      </c>
    </row>
    <row r="289" spans="1:27" x14ac:dyDescent="0.3">
      <c r="A289" t="s">
        <v>599</v>
      </c>
      <c r="B289" t="s">
        <v>600</v>
      </c>
      <c r="C289" t="s">
        <v>25</v>
      </c>
      <c r="D289" t="s">
        <v>31</v>
      </c>
      <c r="E289" s="1">
        <v>45452</v>
      </c>
      <c r="F289" t="s">
        <v>14</v>
      </c>
      <c r="G289">
        <v>11303</v>
      </c>
      <c r="H289">
        <v>4786</v>
      </c>
      <c r="I289">
        <v>2.72</v>
      </c>
      <c r="J289">
        <v>60</v>
      </c>
      <c r="P289">
        <f t="shared" ca="1" si="17"/>
        <v>400</v>
      </c>
      <c r="Q289" t="str" cm="1">
        <f t="array" ref="Q289">_xlfn.IFS(I289&gt;=3.5,"Excellent", I289&gt;3,"Good",I289&gt;2,"Average",I289&lt;2,"Poor")</f>
        <v>Average</v>
      </c>
      <c r="S289" t="str">
        <f t="shared" si="18"/>
        <v xml:space="preserve"> </v>
      </c>
      <c r="U289">
        <f t="shared" si="19"/>
        <v>2024</v>
      </c>
      <c r="AA289" t="str">
        <f t="shared" ca="1" si="20"/>
        <v/>
      </c>
    </row>
    <row r="290" spans="1:27" x14ac:dyDescent="0.3">
      <c r="A290" t="s">
        <v>601</v>
      </c>
      <c r="B290" t="s">
        <v>602</v>
      </c>
      <c r="C290" t="s">
        <v>57</v>
      </c>
      <c r="D290" t="s">
        <v>62</v>
      </c>
      <c r="E290" s="1">
        <v>44872</v>
      </c>
      <c r="F290" t="s">
        <v>19</v>
      </c>
      <c r="G290">
        <v>14396</v>
      </c>
      <c r="H290">
        <v>4065</v>
      </c>
      <c r="I290">
        <v>2.06</v>
      </c>
      <c r="J290">
        <v>34</v>
      </c>
      <c r="P290" t="str">
        <f t="shared" ca="1" si="17"/>
        <v xml:space="preserve"> </v>
      </c>
      <c r="Q290" t="str" cm="1">
        <f t="array" ref="Q290">_xlfn.IFS(I290&gt;=3.5,"Excellent", I290&gt;3,"Good",I290&gt;2,"Average",I290&lt;2,"Poor")</f>
        <v>Average</v>
      </c>
      <c r="S290" t="str">
        <f t="shared" si="18"/>
        <v xml:space="preserve"> </v>
      </c>
      <c r="U290">
        <f t="shared" si="19"/>
        <v>2022</v>
      </c>
      <c r="AA290">
        <f t="shared" ca="1" si="20"/>
        <v>980</v>
      </c>
    </row>
    <row r="291" spans="1:27" x14ac:dyDescent="0.3">
      <c r="A291" t="s">
        <v>603</v>
      </c>
      <c r="B291" t="s">
        <v>604</v>
      </c>
      <c r="C291" t="s">
        <v>36</v>
      </c>
      <c r="D291" t="s">
        <v>13</v>
      </c>
      <c r="E291" s="1">
        <v>44980</v>
      </c>
      <c r="F291" t="s">
        <v>19</v>
      </c>
      <c r="G291">
        <v>7215</v>
      </c>
      <c r="H291">
        <v>260</v>
      </c>
      <c r="I291">
        <v>2.98</v>
      </c>
      <c r="J291">
        <v>47</v>
      </c>
      <c r="P291" t="str">
        <f t="shared" ca="1" si="17"/>
        <v xml:space="preserve"> </v>
      </c>
      <c r="Q291" t="str" cm="1">
        <f t="array" ref="Q291">_xlfn.IFS(I291&gt;=3.5,"Excellent", I291&gt;3,"Good",I291&gt;2,"Average",I291&lt;2,"Poor")</f>
        <v>Average</v>
      </c>
      <c r="S291" t="str">
        <f t="shared" si="18"/>
        <v xml:space="preserve"> </v>
      </c>
      <c r="U291">
        <f t="shared" si="19"/>
        <v>2023</v>
      </c>
      <c r="AA291">
        <f t="shared" ca="1" si="20"/>
        <v>872</v>
      </c>
    </row>
    <row r="292" spans="1:27" x14ac:dyDescent="0.3">
      <c r="A292" t="s">
        <v>605</v>
      </c>
      <c r="B292" t="s">
        <v>606</v>
      </c>
      <c r="C292" t="s">
        <v>57</v>
      </c>
      <c r="D292" t="s">
        <v>62</v>
      </c>
      <c r="E292" s="1">
        <v>44698</v>
      </c>
      <c r="F292" t="s">
        <v>14</v>
      </c>
      <c r="G292">
        <v>5255</v>
      </c>
      <c r="H292">
        <v>6902</v>
      </c>
      <c r="I292">
        <v>3.64</v>
      </c>
      <c r="J292">
        <v>86</v>
      </c>
      <c r="P292">
        <f t="shared" ca="1" si="17"/>
        <v>1154</v>
      </c>
      <c r="Q292" t="str" cm="1">
        <f t="array" ref="Q292">_xlfn.IFS(I292&gt;=3.5,"Excellent", I292&gt;3,"Good",I292&gt;2,"Average",I292&lt;2,"Poor")</f>
        <v>Excellent</v>
      </c>
      <c r="S292" t="b">
        <f t="shared" si="18"/>
        <v>1</v>
      </c>
      <c r="U292">
        <f t="shared" si="19"/>
        <v>2022</v>
      </c>
      <c r="AA292" t="str">
        <f t="shared" ca="1" si="20"/>
        <v/>
      </c>
    </row>
    <row r="293" spans="1:27" x14ac:dyDescent="0.3">
      <c r="A293" t="s">
        <v>607</v>
      </c>
      <c r="B293" t="s">
        <v>608</v>
      </c>
      <c r="C293" t="s">
        <v>54</v>
      </c>
      <c r="D293" t="s">
        <v>13</v>
      </c>
      <c r="E293" s="1">
        <v>45433</v>
      </c>
      <c r="F293" t="s">
        <v>39</v>
      </c>
      <c r="G293">
        <v>9805</v>
      </c>
      <c r="H293">
        <v>1354</v>
      </c>
      <c r="I293">
        <v>3.9</v>
      </c>
      <c r="J293">
        <v>83</v>
      </c>
      <c r="P293" t="str">
        <f t="shared" ca="1" si="17"/>
        <v xml:space="preserve"> </v>
      </c>
      <c r="Q293" t="str" cm="1">
        <f t="array" ref="Q293">_xlfn.IFS(I293&gt;=3.5,"Excellent", I293&gt;3,"Good",I293&gt;2,"Average",I293&lt;2,"Poor")</f>
        <v>Excellent</v>
      </c>
      <c r="S293" t="str">
        <f t="shared" si="18"/>
        <v xml:space="preserve"> </v>
      </c>
      <c r="U293">
        <f t="shared" si="19"/>
        <v>2024</v>
      </c>
      <c r="AA293" t="str">
        <f t="shared" ca="1" si="20"/>
        <v/>
      </c>
    </row>
    <row r="294" spans="1:27" x14ac:dyDescent="0.3">
      <c r="A294" t="s">
        <v>609</v>
      </c>
      <c r="B294" t="s">
        <v>610</v>
      </c>
      <c r="C294" t="s">
        <v>25</v>
      </c>
      <c r="D294" t="s">
        <v>18</v>
      </c>
      <c r="E294" s="1">
        <v>44933</v>
      </c>
      <c r="F294" t="s">
        <v>19</v>
      </c>
      <c r="G294">
        <v>4492</v>
      </c>
      <c r="H294">
        <v>9577</v>
      </c>
      <c r="I294">
        <v>3.78</v>
      </c>
      <c r="J294">
        <v>58</v>
      </c>
      <c r="P294" t="str">
        <f t="shared" ca="1" si="17"/>
        <v xml:space="preserve"> </v>
      </c>
      <c r="Q294" t="str" cm="1">
        <f t="array" ref="Q294">_xlfn.IFS(I294&gt;=3.5,"Excellent", I294&gt;3,"Good",I294&gt;2,"Average",I294&lt;2,"Poor")</f>
        <v>Excellent</v>
      </c>
      <c r="S294" t="b">
        <f t="shared" si="18"/>
        <v>1</v>
      </c>
      <c r="U294">
        <f t="shared" si="19"/>
        <v>2023</v>
      </c>
      <c r="AA294">
        <f t="shared" ca="1" si="20"/>
        <v>919</v>
      </c>
    </row>
    <row r="295" spans="1:27" x14ac:dyDescent="0.3">
      <c r="A295" t="s">
        <v>611</v>
      </c>
      <c r="B295" t="s">
        <v>612</v>
      </c>
      <c r="C295" t="s">
        <v>36</v>
      </c>
      <c r="D295" t="s">
        <v>62</v>
      </c>
      <c r="E295" s="1">
        <v>44691</v>
      </c>
      <c r="F295" t="s">
        <v>14</v>
      </c>
      <c r="G295">
        <v>14426</v>
      </c>
      <c r="H295">
        <v>9248</v>
      </c>
      <c r="I295">
        <v>2.79</v>
      </c>
      <c r="J295">
        <v>87</v>
      </c>
      <c r="P295">
        <f t="shared" ca="1" si="17"/>
        <v>1161</v>
      </c>
      <c r="Q295" t="str" cm="1">
        <f t="array" ref="Q295">_xlfn.IFS(I295&gt;=3.5,"Excellent", I295&gt;3,"Good",I295&gt;2,"Average",I295&lt;2,"Poor")</f>
        <v>Average</v>
      </c>
      <c r="S295" t="b">
        <f t="shared" si="18"/>
        <v>1</v>
      </c>
      <c r="U295">
        <f t="shared" si="19"/>
        <v>2022</v>
      </c>
      <c r="AA295" t="str">
        <f t="shared" ca="1" si="20"/>
        <v/>
      </c>
    </row>
    <row r="296" spans="1:27" x14ac:dyDescent="0.3">
      <c r="A296" t="s">
        <v>613</v>
      </c>
      <c r="B296" t="s">
        <v>614</v>
      </c>
      <c r="C296" t="s">
        <v>57</v>
      </c>
      <c r="D296" t="s">
        <v>62</v>
      </c>
      <c r="E296" s="1">
        <v>44914</v>
      </c>
      <c r="F296" t="s">
        <v>19</v>
      </c>
      <c r="G296">
        <v>5148</v>
      </c>
      <c r="H296">
        <v>2434</v>
      </c>
      <c r="I296">
        <v>3.96</v>
      </c>
      <c r="J296">
        <v>32</v>
      </c>
      <c r="P296" t="str">
        <f t="shared" ca="1" si="17"/>
        <v xml:space="preserve"> </v>
      </c>
      <c r="Q296" t="str" cm="1">
        <f t="array" ref="Q296">_xlfn.IFS(I296&gt;=3.5,"Excellent", I296&gt;3,"Good",I296&gt;2,"Average",I296&lt;2,"Poor")</f>
        <v>Excellent</v>
      </c>
      <c r="S296" t="str">
        <f t="shared" si="18"/>
        <v xml:space="preserve"> </v>
      </c>
      <c r="U296">
        <f t="shared" si="19"/>
        <v>2022</v>
      </c>
      <c r="AA296">
        <f t="shared" ca="1" si="20"/>
        <v>938</v>
      </c>
    </row>
    <row r="297" spans="1:27" x14ac:dyDescent="0.3">
      <c r="A297" t="s">
        <v>615</v>
      </c>
      <c r="B297" t="s">
        <v>616</v>
      </c>
      <c r="C297" t="s">
        <v>22</v>
      </c>
      <c r="D297" t="s">
        <v>18</v>
      </c>
      <c r="E297" s="1">
        <v>45240</v>
      </c>
      <c r="F297" t="s">
        <v>14</v>
      </c>
      <c r="G297">
        <v>11170</v>
      </c>
      <c r="H297">
        <v>7941</v>
      </c>
      <c r="I297">
        <v>2.06</v>
      </c>
      <c r="J297">
        <v>112</v>
      </c>
      <c r="P297">
        <f t="shared" ca="1" si="17"/>
        <v>612</v>
      </c>
      <c r="Q297" t="str" cm="1">
        <f t="array" ref="Q297">_xlfn.IFS(I297&gt;=3.5,"Excellent", I297&gt;3,"Good",I297&gt;2,"Average",I297&lt;2,"Poor")</f>
        <v>Average</v>
      </c>
      <c r="S297" t="b">
        <f t="shared" si="18"/>
        <v>1</v>
      </c>
      <c r="U297">
        <f t="shared" si="19"/>
        <v>2023</v>
      </c>
      <c r="AA297" t="str">
        <f t="shared" ca="1" si="20"/>
        <v/>
      </c>
    </row>
    <row r="298" spans="1:27" x14ac:dyDescent="0.3">
      <c r="A298" t="s">
        <v>617</v>
      </c>
      <c r="B298" t="s">
        <v>618</v>
      </c>
      <c r="C298" t="s">
        <v>57</v>
      </c>
      <c r="D298" t="s">
        <v>62</v>
      </c>
      <c r="E298" s="1">
        <v>44765</v>
      </c>
      <c r="F298" t="s">
        <v>14</v>
      </c>
      <c r="G298">
        <v>12190</v>
      </c>
      <c r="H298">
        <v>3721</v>
      </c>
      <c r="I298">
        <v>3.4</v>
      </c>
      <c r="J298">
        <v>5</v>
      </c>
      <c r="P298">
        <f t="shared" ca="1" si="17"/>
        <v>1087</v>
      </c>
      <c r="Q298" t="str" cm="1">
        <f t="array" ref="Q298">_xlfn.IFS(I298&gt;=3.5,"Excellent", I298&gt;3,"Good",I298&gt;2,"Average",I298&lt;2,"Poor")</f>
        <v>Good</v>
      </c>
      <c r="S298" t="str">
        <f t="shared" si="18"/>
        <v xml:space="preserve"> </v>
      </c>
      <c r="U298">
        <f t="shared" si="19"/>
        <v>2022</v>
      </c>
      <c r="AA298" t="str">
        <f t="shared" ca="1" si="20"/>
        <v/>
      </c>
    </row>
    <row r="299" spans="1:27" x14ac:dyDescent="0.3">
      <c r="A299" t="s">
        <v>619</v>
      </c>
      <c r="B299" t="s">
        <v>620</v>
      </c>
      <c r="C299" t="s">
        <v>28</v>
      </c>
      <c r="D299" t="s">
        <v>62</v>
      </c>
      <c r="E299" s="1">
        <v>44840</v>
      </c>
      <c r="F299" t="s">
        <v>19</v>
      </c>
      <c r="G299">
        <v>11788</v>
      </c>
      <c r="H299">
        <v>6411</v>
      </c>
      <c r="I299">
        <v>3.18</v>
      </c>
      <c r="J299">
        <v>23</v>
      </c>
      <c r="P299" t="str">
        <f t="shared" ca="1" si="17"/>
        <v xml:space="preserve"> </v>
      </c>
      <c r="Q299" t="str" cm="1">
        <f t="array" ref="Q299">_xlfn.IFS(I299&gt;=3.5,"Excellent", I299&gt;3,"Good",I299&gt;2,"Average",I299&lt;2,"Poor")</f>
        <v>Good</v>
      </c>
      <c r="S299" t="b">
        <f t="shared" si="18"/>
        <v>1</v>
      </c>
      <c r="U299">
        <f t="shared" si="19"/>
        <v>2022</v>
      </c>
      <c r="AA299">
        <f t="shared" ca="1" si="20"/>
        <v>1012</v>
      </c>
    </row>
    <row r="300" spans="1:27" x14ac:dyDescent="0.3">
      <c r="A300" t="s">
        <v>621</v>
      </c>
      <c r="B300" t="s">
        <v>622</v>
      </c>
      <c r="C300" t="s">
        <v>57</v>
      </c>
      <c r="D300" t="s">
        <v>62</v>
      </c>
      <c r="E300" s="1">
        <v>45340</v>
      </c>
      <c r="F300" t="s">
        <v>14</v>
      </c>
      <c r="G300">
        <v>7884</v>
      </c>
      <c r="H300">
        <v>6454</v>
      </c>
      <c r="I300">
        <v>2.1</v>
      </c>
      <c r="J300">
        <v>40</v>
      </c>
      <c r="P300">
        <f t="shared" ca="1" si="17"/>
        <v>512</v>
      </c>
      <c r="Q300" t="str" cm="1">
        <f t="array" ref="Q300">_xlfn.IFS(I300&gt;=3.5,"Excellent", I300&gt;3,"Good",I300&gt;2,"Average",I300&lt;2,"Poor")</f>
        <v>Average</v>
      </c>
      <c r="S300" t="b">
        <f t="shared" si="18"/>
        <v>1</v>
      </c>
      <c r="U300">
        <f t="shared" si="19"/>
        <v>2024</v>
      </c>
      <c r="AA300" t="str">
        <f t="shared" ca="1" si="20"/>
        <v/>
      </c>
    </row>
    <row r="301" spans="1:27" x14ac:dyDescent="0.3">
      <c r="A301" t="s">
        <v>623</v>
      </c>
      <c r="B301" t="s">
        <v>624</v>
      </c>
      <c r="C301" t="s">
        <v>22</v>
      </c>
      <c r="D301" t="s">
        <v>31</v>
      </c>
      <c r="E301" s="1">
        <v>45011</v>
      </c>
      <c r="F301" t="s">
        <v>19</v>
      </c>
      <c r="G301">
        <v>3515</v>
      </c>
      <c r="H301">
        <v>4798</v>
      </c>
      <c r="I301">
        <v>2.41</v>
      </c>
      <c r="J301">
        <v>115</v>
      </c>
      <c r="P301" t="str">
        <f t="shared" ca="1" si="17"/>
        <v xml:space="preserve"> </v>
      </c>
      <c r="Q301" t="str" cm="1">
        <f t="array" ref="Q301">_xlfn.IFS(I301&gt;=3.5,"Excellent", I301&gt;3,"Good",I301&gt;2,"Average",I301&lt;2,"Poor")</f>
        <v>Average</v>
      </c>
      <c r="S301" t="b">
        <f t="shared" si="18"/>
        <v>1</v>
      </c>
      <c r="U301">
        <f t="shared" si="19"/>
        <v>2023</v>
      </c>
      <c r="AA301">
        <f t="shared" ca="1" si="20"/>
        <v>841</v>
      </c>
    </row>
    <row r="302" spans="1:27" x14ac:dyDescent="0.3">
      <c r="A302" t="s">
        <v>625</v>
      </c>
      <c r="B302" t="s">
        <v>626</v>
      </c>
      <c r="C302" t="s">
        <v>57</v>
      </c>
      <c r="D302" t="s">
        <v>62</v>
      </c>
      <c r="E302" s="1">
        <v>44772</v>
      </c>
      <c r="F302" t="s">
        <v>19</v>
      </c>
      <c r="G302">
        <v>11803</v>
      </c>
      <c r="H302">
        <v>6022</v>
      </c>
      <c r="I302">
        <v>2.94</v>
      </c>
      <c r="J302">
        <v>116</v>
      </c>
      <c r="P302" t="str">
        <f t="shared" ca="1" si="17"/>
        <v xml:space="preserve"> </v>
      </c>
      <c r="Q302" t="str" cm="1">
        <f t="array" ref="Q302">_xlfn.IFS(I302&gt;=3.5,"Excellent", I302&gt;3,"Good",I302&gt;2,"Average",I302&lt;2,"Poor")</f>
        <v>Average</v>
      </c>
      <c r="S302" t="b">
        <f t="shared" si="18"/>
        <v>1</v>
      </c>
      <c r="U302">
        <f t="shared" si="19"/>
        <v>2022</v>
      </c>
      <c r="AA302">
        <f t="shared" ca="1" si="20"/>
        <v>1080</v>
      </c>
    </row>
    <row r="303" spans="1:27" x14ac:dyDescent="0.3">
      <c r="A303" t="s">
        <v>627</v>
      </c>
      <c r="B303" t="s">
        <v>628</v>
      </c>
      <c r="C303" t="s">
        <v>22</v>
      </c>
      <c r="D303" t="s">
        <v>13</v>
      </c>
      <c r="E303" s="1">
        <v>44691</v>
      </c>
      <c r="F303" t="s">
        <v>14</v>
      </c>
      <c r="G303">
        <v>5515</v>
      </c>
      <c r="H303">
        <v>5467</v>
      </c>
      <c r="I303">
        <v>3.85</v>
      </c>
      <c r="J303">
        <v>65</v>
      </c>
      <c r="P303">
        <f t="shared" ca="1" si="17"/>
        <v>1161</v>
      </c>
      <c r="Q303" t="str" cm="1">
        <f t="array" ref="Q303">_xlfn.IFS(I303&gt;=3.5,"Excellent", I303&gt;3,"Good",I303&gt;2,"Average",I303&lt;2,"Poor")</f>
        <v>Excellent</v>
      </c>
      <c r="S303" t="b">
        <f t="shared" si="18"/>
        <v>1</v>
      </c>
      <c r="U303">
        <f t="shared" si="19"/>
        <v>2022</v>
      </c>
      <c r="AA303" t="str">
        <f t="shared" ca="1" si="20"/>
        <v/>
      </c>
    </row>
    <row r="304" spans="1:27" x14ac:dyDescent="0.3">
      <c r="A304" t="s">
        <v>629</v>
      </c>
      <c r="B304" t="s">
        <v>630</v>
      </c>
      <c r="C304" t="s">
        <v>25</v>
      </c>
      <c r="D304" t="s">
        <v>62</v>
      </c>
      <c r="E304" s="1">
        <v>44812</v>
      </c>
      <c r="F304" t="s">
        <v>14</v>
      </c>
      <c r="G304">
        <v>12810</v>
      </c>
      <c r="H304">
        <v>9194</v>
      </c>
      <c r="I304">
        <v>3.95</v>
      </c>
      <c r="J304">
        <v>58</v>
      </c>
      <c r="P304">
        <f t="shared" ca="1" si="17"/>
        <v>1040</v>
      </c>
      <c r="Q304" t="str" cm="1">
        <f t="array" ref="Q304">_xlfn.IFS(I304&gt;=3.5,"Excellent", I304&gt;3,"Good",I304&gt;2,"Average",I304&lt;2,"Poor")</f>
        <v>Excellent</v>
      </c>
      <c r="S304" t="b">
        <f t="shared" si="18"/>
        <v>1</v>
      </c>
      <c r="U304">
        <f t="shared" si="19"/>
        <v>2022</v>
      </c>
      <c r="AA304" t="str">
        <f t="shared" ca="1" si="20"/>
        <v/>
      </c>
    </row>
    <row r="305" spans="1:27" x14ac:dyDescent="0.3">
      <c r="A305" t="s">
        <v>631</v>
      </c>
      <c r="B305" t="s">
        <v>632</v>
      </c>
      <c r="C305" t="s">
        <v>25</v>
      </c>
      <c r="D305" t="s">
        <v>31</v>
      </c>
      <c r="E305" s="1">
        <v>44839</v>
      </c>
      <c r="F305" t="s">
        <v>14</v>
      </c>
      <c r="G305">
        <v>4155</v>
      </c>
      <c r="H305">
        <v>4450</v>
      </c>
      <c r="I305">
        <v>3.64</v>
      </c>
      <c r="J305">
        <v>25</v>
      </c>
      <c r="P305">
        <f t="shared" ca="1" si="17"/>
        <v>1013</v>
      </c>
      <c r="Q305" t="str" cm="1">
        <f t="array" ref="Q305">_xlfn.IFS(I305&gt;=3.5,"Excellent", I305&gt;3,"Good",I305&gt;2,"Average",I305&lt;2,"Poor")</f>
        <v>Excellent</v>
      </c>
      <c r="S305" t="b">
        <f t="shared" si="18"/>
        <v>1</v>
      </c>
      <c r="U305">
        <f t="shared" si="19"/>
        <v>2022</v>
      </c>
      <c r="AA305" t="str">
        <f t="shared" ca="1" si="20"/>
        <v/>
      </c>
    </row>
    <row r="306" spans="1:27" x14ac:dyDescent="0.3">
      <c r="A306" t="s">
        <v>633</v>
      </c>
      <c r="B306" t="s">
        <v>634</v>
      </c>
      <c r="C306" t="s">
        <v>17</v>
      </c>
      <c r="D306" t="s">
        <v>62</v>
      </c>
      <c r="E306" s="1">
        <v>45372</v>
      </c>
      <c r="F306" t="s">
        <v>14</v>
      </c>
      <c r="G306">
        <v>7723</v>
      </c>
      <c r="H306">
        <v>368</v>
      </c>
      <c r="I306">
        <v>3.09</v>
      </c>
      <c r="J306">
        <v>23</v>
      </c>
      <c r="P306">
        <f t="shared" ca="1" si="17"/>
        <v>480</v>
      </c>
      <c r="Q306" t="str" cm="1">
        <f t="array" ref="Q306">_xlfn.IFS(I306&gt;=3.5,"Excellent", I306&gt;3,"Good",I306&gt;2,"Average",I306&lt;2,"Poor")</f>
        <v>Good</v>
      </c>
      <c r="S306" t="str">
        <f t="shared" si="18"/>
        <v xml:space="preserve"> </v>
      </c>
      <c r="U306">
        <f t="shared" si="19"/>
        <v>2024</v>
      </c>
      <c r="AA306" t="str">
        <f t="shared" ca="1" si="20"/>
        <v/>
      </c>
    </row>
    <row r="307" spans="1:27" x14ac:dyDescent="0.3">
      <c r="A307" t="s">
        <v>635</v>
      </c>
      <c r="B307" t="s">
        <v>636</v>
      </c>
      <c r="C307" t="s">
        <v>36</v>
      </c>
      <c r="D307" t="s">
        <v>18</v>
      </c>
      <c r="E307" s="1">
        <v>44883</v>
      </c>
      <c r="F307" t="s">
        <v>19</v>
      </c>
      <c r="G307">
        <v>6777</v>
      </c>
      <c r="H307">
        <v>7534</v>
      </c>
      <c r="I307">
        <v>2.29</v>
      </c>
      <c r="J307">
        <v>47</v>
      </c>
      <c r="P307" t="str">
        <f t="shared" ca="1" si="17"/>
        <v xml:space="preserve"> </v>
      </c>
      <c r="Q307" t="str" cm="1">
        <f t="array" ref="Q307">_xlfn.IFS(I307&gt;=3.5,"Excellent", I307&gt;3,"Good",I307&gt;2,"Average",I307&lt;2,"Poor")</f>
        <v>Average</v>
      </c>
      <c r="S307" t="b">
        <f t="shared" si="18"/>
        <v>1</v>
      </c>
      <c r="U307">
        <f t="shared" si="19"/>
        <v>2022</v>
      </c>
      <c r="AA307">
        <f t="shared" ca="1" si="20"/>
        <v>969</v>
      </c>
    </row>
    <row r="308" spans="1:27" x14ac:dyDescent="0.3">
      <c r="A308" t="s">
        <v>637</v>
      </c>
      <c r="B308" t="s">
        <v>638</v>
      </c>
      <c r="C308" t="s">
        <v>12</v>
      </c>
      <c r="D308" t="s">
        <v>13</v>
      </c>
      <c r="E308" s="1">
        <v>44584</v>
      </c>
      <c r="F308" t="s">
        <v>19</v>
      </c>
      <c r="G308">
        <v>8267</v>
      </c>
      <c r="H308">
        <v>1717</v>
      </c>
      <c r="I308">
        <v>3.92</v>
      </c>
      <c r="J308">
        <v>56</v>
      </c>
      <c r="P308" t="str">
        <f t="shared" ca="1" si="17"/>
        <v xml:space="preserve"> </v>
      </c>
      <c r="Q308" t="str" cm="1">
        <f t="array" ref="Q308">_xlfn.IFS(I308&gt;=3.5,"Excellent", I308&gt;3,"Good",I308&gt;2,"Average",I308&lt;2,"Poor")</f>
        <v>Excellent</v>
      </c>
      <c r="S308" t="str">
        <f t="shared" si="18"/>
        <v xml:space="preserve"> </v>
      </c>
      <c r="U308">
        <f t="shared" si="19"/>
        <v>2022</v>
      </c>
      <c r="AA308">
        <f t="shared" ca="1" si="20"/>
        <v>1268</v>
      </c>
    </row>
    <row r="309" spans="1:27" x14ac:dyDescent="0.3">
      <c r="A309" t="s">
        <v>639</v>
      </c>
      <c r="B309" t="s">
        <v>640</v>
      </c>
      <c r="C309" t="s">
        <v>12</v>
      </c>
      <c r="D309" t="s">
        <v>62</v>
      </c>
      <c r="E309" s="1">
        <v>44940</v>
      </c>
      <c r="F309" t="s">
        <v>14</v>
      </c>
      <c r="G309">
        <v>9602</v>
      </c>
      <c r="H309">
        <v>3213</v>
      </c>
      <c r="I309">
        <v>3.51</v>
      </c>
      <c r="J309">
        <v>103</v>
      </c>
      <c r="P309">
        <f t="shared" ca="1" si="17"/>
        <v>912</v>
      </c>
      <c r="Q309" t="str" cm="1">
        <f t="array" ref="Q309">_xlfn.IFS(I309&gt;=3.5,"Excellent", I309&gt;3,"Good",I309&gt;2,"Average",I309&lt;2,"Poor")</f>
        <v>Excellent</v>
      </c>
      <c r="S309" t="str">
        <f t="shared" si="18"/>
        <v xml:space="preserve"> </v>
      </c>
      <c r="U309">
        <f t="shared" si="19"/>
        <v>2023</v>
      </c>
      <c r="AA309" t="str">
        <f t="shared" ca="1" si="20"/>
        <v/>
      </c>
    </row>
    <row r="310" spans="1:27" x14ac:dyDescent="0.3">
      <c r="A310" t="s">
        <v>641</v>
      </c>
      <c r="B310" t="s">
        <v>642</v>
      </c>
      <c r="C310" t="s">
        <v>22</v>
      </c>
      <c r="D310" t="s">
        <v>31</v>
      </c>
      <c r="E310" s="1">
        <v>45017</v>
      </c>
      <c r="F310" t="s">
        <v>14</v>
      </c>
      <c r="G310">
        <v>7771</v>
      </c>
      <c r="H310">
        <v>7737</v>
      </c>
      <c r="I310">
        <v>3.5</v>
      </c>
      <c r="J310">
        <v>44</v>
      </c>
      <c r="P310">
        <f t="shared" ca="1" si="17"/>
        <v>835</v>
      </c>
      <c r="Q310" t="str" cm="1">
        <f t="array" ref="Q310">_xlfn.IFS(I310&gt;=3.5,"Excellent", I310&gt;3,"Good",I310&gt;2,"Average",I310&lt;2,"Poor")</f>
        <v>Excellent</v>
      </c>
      <c r="S310" t="b">
        <f t="shared" si="18"/>
        <v>1</v>
      </c>
      <c r="U310">
        <f t="shared" si="19"/>
        <v>2023</v>
      </c>
      <c r="AA310" t="str">
        <f t="shared" ca="1" si="20"/>
        <v/>
      </c>
    </row>
    <row r="311" spans="1:27" x14ac:dyDescent="0.3">
      <c r="A311" t="s">
        <v>643</v>
      </c>
      <c r="B311" t="s">
        <v>644</v>
      </c>
      <c r="C311" t="s">
        <v>54</v>
      </c>
      <c r="D311" t="s">
        <v>62</v>
      </c>
      <c r="E311" s="1">
        <v>44728</v>
      </c>
      <c r="F311" t="s">
        <v>14</v>
      </c>
      <c r="G311">
        <v>6051</v>
      </c>
      <c r="H311">
        <v>2238</v>
      </c>
      <c r="I311">
        <v>2.88</v>
      </c>
      <c r="J311">
        <v>73</v>
      </c>
      <c r="P311">
        <f t="shared" ca="1" si="17"/>
        <v>1124</v>
      </c>
      <c r="Q311" t="str" cm="1">
        <f t="array" ref="Q311">_xlfn.IFS(I311&gt;=3.5,"Excellent", I311&gt;3,"Good",I311&gt;2,"Average",I311&lt;2,"Poor")</f>
        <v>Average</v>
      </c>
      <c r="S311" t="str">
        <f t="shared" si="18"/>
        <v xml:space="preserve"> </v>
      </c>
      <c r="U311">
        <f t="shared" si="19"/>
        <v>2022</v>
      </c>
      <c r="AA311" t="str">
        <f t="shared" ca="1" si="20"/>
        <v/>
      </c>
    </row>
    <row r="312" spans="1:27" x14ac:dyDescent="0.3">
      <c r="A312" t="s">
        <v>645</v>
      </c>
      <c r="B312" t="s">
        <v>646</v>
      </c>
      <c r="C312" t="s">
        <v>22</v>
      </c>
      <c r="D312" t="s">
        <v>31</v>
      </c>
      <c r="E312" s="1">
        <v>45068</v>
      </c>
      <c r="F312" t="s">
        <v>19</v>
      </c>
      <c r="G312">
        <v>10432</v>
      </c>
      <c r="H312">
        <v>3942</v>
      </c>
      <c r="I312">
        <v>3.19</v>
      </c>
      <c r="J312">
        <v>34</v>
      </c>
      <c r="P312" t="str">
        <f t="shared" ca="1" si="17"/>
        <v xml:space="preserve"> </v>
      </c>
      <c r="Q312" t="str" cm="1">
        <f t="array" ref="Q312">_xlfn.IFS(I312&gt;=3.5,"Excellent", I312&gt;3,"Good",I312&gt;2,"Average",I312&lt;2,"Poor")</f>
        <v>Good</v>
      </c>
      <c r="S312" t="str">
        <f t="shared" si="18"/>
        <v xml:space="preserve"> </v>
      </c>
      <c r="U312">
        <f t="shared" si="19"/>
        <v>2023</v>
      </c>
      <c r="AA312">
        <f t="shared" ca="1" si="20"/>
        <v>784</v>
      </c>
    </row>
    <row r="313" spans="1:27" x14ac:dyDescent="0.3">
      <c r="A313" t="s">
        <v>647</v>
      </c>
      <c r="B313" t="s">
        <v>648</v>
      </c>
      <c r="C313" t="s">
        <v>57</v>
      </c>
      <c r="D313" t="s">
        <v>18</v>
      </c>
      <c r="E313" s="1">
        <v>44656</v>
      </c>
      <c r="F313" t="s">
        <v>19</v>
      </c>
      <c r="G313">
        <v>13615</v>
      </c>
      <c r="H313">
        <v>6143</v>
      </c>
      <c r="I313">
        <v>2.2999999999999998</v>
      </c>
      <c r="J313">
        <v>26</v>
      </c>
      <c r="P313" t="str">
        <f t="shared" ca="1" si="17"/>
        <v xml:space="preserve"> </v>
      </c>
      <c r="Q313" t="str" cm="1">
        <f t="array" ref="Q313">_xlfn.IFS(I313&gt;=3.5,"Excellent", I313&gt;3,"Good",I313&gt;2,"Average",I313&lt;2,"Poor")</f>
        <v>Average</v>
      </c>
      <c r="S313" t="str">
        <f t="shared" si="18"/>
        <v xml:space="preserve"> </v>
      </c>
      <c r="U313">
        <f t="shared" si="19"/>
        <v>2022</v>
      </c>
      <c r="AA313">
        <f t="shared" ca="1" si="20"/>
        <v>1196</v>
      </c>
    </row>
    <row r="314" spans="1:27" x14ac:dyDescent="0.3">
      <c r="A314" t="s">
        <v>649</v>
      </c>
      <c r="B314" t="s">
        <v>650</v>
      </c>
      <c r="C314" t="s">
        <v>28</v>
      </c>
      <c r="D314" t="s">
        <v>18</v>
      </c>
      <c r="E314" s="1">
        <v>44579</v>
      </c>
      <c r="F314" t="s">
        <v>14</v>
      </c>
      <c r="G314">
        <v>11152</v>
      </c>
      <c r="H314">
        <v>4980</v>
      </c>
      <c r="I314">
        <v>2.37</v>
      </c>
      <c r="J314">
        <v>27</v>
      </c>
      <c r="P314">
        <f t="shared" ca="1" si="17"/>
        <v>1273</v>
      </c>
      <c r="Q314" t="str" cm="1">
        <f t="array" ref="Q314">_xlfn.IFS(I314&gt;=3.5,"Excellent", I314&gt;3,"Good",I314&gt;2,"Average",I314&lt;2,"Poor")</f>
        <v>Average</v>
      </c>
      <c r="S314" t="str">
        <f t="shared" si="18"/>
        <v xml:space="preserve"> </v>
      </c>
      <c r="U314">
        <f t="shared" si="19"/>
        <v>2022</v>
      </c>
      <c r="AA314" t="str">
        <f t="shared" ca="1" si="20"/>
        <v/>
      </c>
    </row>
    <row r="315" spans="1:27" x14ac:dyDescent="0.3">
      <c r="A315" t="s">
        <v>651</v>
      </c>
      <c r="B315" t="s">
        <v>652</v>
      </c>
      <c r="C315" t="s">
        <v>54</v>
      </c>
      <c r="D315" t="s">
        <v>31</v>
      </c>
      <c r="E315" s="1">
        <v>45328</v>
      </c>
      <c r="F315" t="s">
        <v>14</v>
      </c>
      <c r="G315">
        <v>6901</v>
      </c>
      <c r="H315">
        <v>9266</v>
      </c>
      <c r="I315">
        <v>2.88</v>
      </c>
      <c r="J315">
        <v>83</v>
      </c>
      <c r="P315">
        <f t="shared" ca="1" si="17"/>
        <v>524</v>
      </c>
      <c r="Q315" t="str" cm="1">
        <f t="array" ref="Q315">_xlfn.IFS(I315&gt;=3.5,"Excellent", I315&gt;3,"Good",I315&gt;2,"Average",I315&lt;2,"Poor")</f>
        <v>Average</v>
      </c>
      <c r="S315" t="b">
        <f t="shared" si="18"/>
        <v>1</v>
      </c>
      <c r="U315">
        <f t="shared" si="19"/>
        <v>2024</v>
      </c>
      <c r="AA315" t="str">
        <f t="shared" ca="1" si="20"/>
        <v/>
      </c>
    </row>
    <row r="316" spans="1:27" x14ac:dyDescent="0.3">
      <c r="A316" t="s">
        <v>653</v>
      </c>
      <c r="B316" t="s">
        <v>654</v>
      </c>
      <c r="C316" t="s">
        <v>12</v>
      </c>
      <c r="D316" t="s">
        <v>13</v>
      </c>
      <c r="E316" s="1">
        <v>44730</v>
      </c>
      <c r="F316" t="s">
        <v>14</v>
      </c>
      <c r="G316">
        <v>8130</v>
      </c>
      <c r="H316">
        <v>906</v>
      </c>
      <c r="I316">
        <v>3.34</v>
      </c>
      <c r="J316">
        <v>13</v>
      </c>
      <c r="P316">
        <f t="shared" ca="1" si="17"/>
        <v>1122</v>
      </c>
      <c r="Q316" t="str" cm="1">
        <f t="array" ref="Q316">_xlfn.IFS(I316&gt;=3.5,"Excellent", I316&gt;3,"Good",I316&gt;2,"Average",I316&lt;2,"Poor")</f>
        <v>Good</v>
      </c>
      <c r="S316" t="str">
        <f t="shared" si="18"/>
        <v xml:space="preserve"> </v>
      </c>
      <c r="U316">
        <f t="shared" si="19"/>
        <v>2022</v>
      </c>
      <c r="AA316" t="str">
        <f t="shared" ca="1" si="20"/>
        <v/>
      </c>
    </row>
    <row r="317" spans="1:27" x14ac:dyDescent="0.3">
      <c r="A317" t="s">
        <v>655</v>
      </c>
      <c r="B317" t="s">
        <v>656</v>
      </c>
      <c r="C317" t="s">
        <v>22</v>
      </c>
      <c r="D317" t="s">
        <v>13</v>
      </c>
      <c r="E317" s="1">
        <v>44934</v>
      </c>
      <c r="F317" t="s">
        <v>19</v>
      </c>
      <c r="G317">
        <v>3221</v>
      </c>
      <c r="H317">
        <v>8857</v>
      </c>
      <c r="I317">
        <v>3.67</v>
      </c>
      <c r="J317">
        <v>48</v>
      </c>
      <c r="P317" t="str">
        <f t="shared" ca="1" si="17"/>
        <v xml:space="preserve"> </v>
      </c>
      <c r="Q317" t="str" cm="1">
        <f t="array" ref="Q317">_xlfn.IFS(I317&gt;=3.5,"Excellent", I317&gt;3,"Good",I317&gt;2,"Average",I317&lt;2,"Poor")</f>
        <v>Excellent</v>
      </c>
      <c r="S317" t="b">
        <f t="shared" si="18"/>
        <v>1</v>
      </c>
      <c r="U317">
        <f t="shared" si="19"/>
        <v>2023</v>
      </c>
      <c r="AA317">
        <f t="shared" ca="1" si="20"/>
        <v>918</v>
      </c>
    </row>
    <row r="318" spans="1:27" x14ac:dyDescent="0.3">
      <c r="A318" t="s">
        <v>657</v>
      </c>
      <c r="B318" t="s">
        <v>658</v>
      </c>
      <c r="C318" t="s">
        <v>17</v>
      </c>
      <c r="D318" t="s">
        <v>62</v>
      </c>
      <c r="E318" s="1">
        <v>44810</v>
      </c>
      <c r="F318" t="s">
        <v>19</v>
      </c>
      <c r="G318">
        <v>14917</v>
      </c>
      <c r="H318">
        <v>1441</v>
      </c>
      <c r="I318">
        <v>2.77</v>
      </c>
      <c r="J318">
        <v>23</v>
      </c>
      <c r="P318" t="str">
        <f t="shared" ca="1" si="17"/>
        <v xml:space="preserve"> </v>
      </c>
      <c r="Q318" t="str" cm="1">
        <f t="array" ref="Q318">_xlfn.IFS(I318&gt;=3.5,"Excellent", I318&gt;3,"Good",I318&gt;2,"Average",I318&lt;2,"Poor")</f>
        <v>Average</v>
      </c>
      <c r="S318" t="str">
        <f t="shared" si="18"/>
        <v xml:space="preserve"> </v>
      </c>
      <c r="U318">
        <f t="shared" si="19"/>
        <v>2022</v>
      </c>
      <c r="AA318">
        <f t="shared" ca="1" si="20"/>
        <v>1042</v>
      </c>
    </row>
    <row r="319" spans="1:27" x14ac:dyDescent="0.3">
      <c r="A319" t="s">
        <v>659</v>
      </c>
      <c r="B319" t="s">
        <v>660</v>
      </c>
      <c r="C319" t="s">
        <v>36</v>
      </c>
      <c r="D319" t="s">
        <v>62</v>
      </c>
      <c r="E319" s="1">
        <v>44893</v>
      </c>
      <c r="F319" t="s">
        <v>14</v>
      </c>
      <c r="G319">
        <v>12168</v>
      </c>
      <c r="H319">
        <v>2071</v>
      </c>
      <c r="I319">
        <v>2.75</v>
      </c>
      <c r="J319">
        <v>24</v>
      </c>
      <c r="P319">
        <f t="shared" ca="1" si="17"/>
        <v>959</v>
      </c>
      <c r="Q319" t="str" cm="1">
        <f t="array" ref="Q319">_xlfn.IFS(I319&gt;=3.5,"Excellent", I319&gt;3,"Good",I319&gt;2,"Average",I319&lt;2,"Poor")</f>
        <v>Average</v>
      </c>
      <c r="S319" t="str">
        <f t="shared" si="18"/>
        <v xml:space="preserve"> </v>
      </c>
      <c r="U319">
        <f t="shared" si="19"/>
        <v>2022</v>
      </c>
      <c r="AA319" t="str">
        <f t="shared" ca="1" si="20"/>
        <v/>
      </c>
    </row>
    <row r="320" spans="1:27" x14ac:dyDescent="0.3">
      <c r="A320" t="s">
        <v>661</v>
      </c>
      <c r="B320" t="s">
        <v>662</v>
      </c>
      <c r="C320" t="s">
        <v>54</v>
      </c>
      <c r="D320" t="s">
        <v>31</v>
      </c>
      <c r="E320" s="1">
        <v>44725</v>
      </c>
      <c r="F320" t="s">
        <v>19</v>
      </c>
      <c r="G320">
        <v>10039</v>
      </c>
      <c r="H320">
        <v>458</v>
      </c>
      <c r="I320">
        <v>3.26</v>
      </c>
      <c r="J320">
        <v>63</v>
      </c>
      <c r="P320" t="str">
        <f t="shared" ca="1" si="17"/>
        <v xml:space="preserve"> </v>
      </c>
      <c r="Q320" t="str" cm="1">
        <f t="array" ref="Q320">_xlfn.IFS(I320&gt;=3.5,"Excellent", I320&gt;3,"Good",I320&gt;2,"Average",I320&lt;2,"Poor")</f>
        <v>Good</v>
      </c>
      <c r="S320" t="str">
        <f t="shared" si="18"/>
        <v xml:space="preserve"> </v>
      </c>
      <c r="U320">
        <f t="shared" si="19"/>
        <v>2022</v>
      </c>
      <c r="AA320">
        <f t="shared" ca="1" si="20"/>
        <v>1127</v>
      </c>
    </row>
    <row r="321" spans="1:27" x14ac:dyDescent="0.3">
      <c r="A321" t="s">
        <v>663</v>
      </c>
      <c r="B321" t="s">
        <v>664</v>
      </c>
      <c r="C321" t="s">
        <v>54</v>
      </c>
      <c r="D321" t="s">
        <v>62</v>
      </c>
      <c r="E321" s="1">
        <v>44601</v>
      </c>
      <c r="F321" t="s">
        <v>14</v>
      </c>
      <c r="G321">
        <v>3870</v>
      </c>
      <c r="H321">
        <v>3731</v>
      </c>
      <c r="I321">
        <v>2.08</v>
      </c>
      <c r="J321">
        <v>65</v>
      </c>
      <c r="P321">
        <f t="shared" ca="1" si="17"/>
        <v>1251</v>
      </c>
      <c r="Q321" t="str" cm="1">
        <f t="array" ref="Q321">_xlfn.IFS(I321&gt;=3.5,"Excellent", I321&gt;3,"Good",I321&gt;2,"Average",I321&lt;2,"Poor")</f>
        <v>Average</v>
      </c>
      <c r="S321" t="b">
        <f t="shared" si="18"/>
        <v>1</v>
      </c>
      <c r="U321">
        <f t="shared" si="19"/>
        <v>2022</v>
      </c>
      <c r="AA321" t="str">
        <f t="shared" ca="1" si="20"/>
        <v/>
      </c>
    </row>
    <row r="322" spans="1:27" x14ac:dyDescent="0.3">
      <c r="A322" t="s">
        <v>665</v>
      </c>
      <c r="B322" t="s">
        <v>666</v>
      </c>
      <c r="C322" t="s">
        <v>36</v>
      </c>
      <c r="D322" t="s">
        <v>62</v>
      </c>
      <c r="E322" s="1">
        <v>44877</v>
      </c>
      <c r="F322" t="s">
        <v>19</v>
      </c>
      <c r="G322">
        <v>5914</v>
      </c>
      <c r="H322">
        <v>3962</v>
      </c>
      <c r="I322">
        <v>2.11</v>
      </c>
      <c r="J322">
        <v>71</v>
      </c>
      <c r="P322" t="str">
        <f t="shared" ca="1" si="17"/>
        <v xml:space="preserve"> </v>
      </c>
      <c r="Q322" t="str" cm="1">
        <f t="array" ref="Q322">_xlfn.IFS(I322&gt;=3.5,"Excellent", I322&gt;3,"Good",I322&gt;2,"Average",I322&lt;2,"Poor")</f>
        <v>Average</v>
      </c>
      <c r="S322" t="b">
        <f t="shared" si="18"/>
        <v>1</v>
      </c>
      <c r="U322">
        <f t="shared" si="19"/>
        <v>2022</v>
      </c>
      <c r="AA322">
        <f t="shared" ca="1" si="20"/>
        <v>975</v>
      </c>
    </row>
    <row r="323" spans="1:27" x14ac:dyDescent="0.3">
      <c r="A323" t="s">
        <v>667</v>
      </c>
      <c r="B323" t="s">
        <v>668</v>
      </c>
      <c r="C323" t="s">
        <v>17</v>
      </c>
      <c r="D323" t="s">
        <v>62</v>
      </c>
      <c r="E323" s="1">
        <v>45444</v>
      </c>
      <c r="F323" t="s">
        <v>14</v>
      </c>
      <c r="G323">
        <v>2084</v>
      </c>
      <c r="H323">
        <v>5468</v>
      </c>
      <c r="I323">
        <v>2.79</v>
      </c>
      <c r="J323">
        <v>46</v>
      </c>
      <c r="P323">
        <f t="shared" ref="P323:P386" ca="1" si="21">IF(F323="Enrolled",TODAY()-E323, " ")</f>
        <v>408</v>
      </c>
      <c r="Q323" t="str" cm="1">
        <f t="array" ref="Q323">_xlfn.IFS(I323&gt;=3.5,"Excellent", I323&gt;3,"Good",I323&gt;2,"Average",I323&lt;2,"Poor")</f>
        <v>Average</v>
      </c>
      <c r="S323" t="b">
        <f t="shared" ref="S323:S386" si="22">IF(H323&gt;0.5*G323,TRUE, " " )</f>
        <v>1</v>
      </c>
      <c r="U323">
        <f t="shared" ref="U323:U386" si="23">YEAR(E323)</f>
        <v>2024</v>
      </c>
      <c r="AA323" t="str">
        <f t="shared" ref="AA323:AA386" ca="1" si="24">IF(F323="Completed",TODAY()-E323,"")</f>
        <v/>
      </c>
    </row>
    <row r="324" spans="1:27" x14ac:dyDescent="0.3">
      <c r="A324" t="s">
        <v>669</v>
      </c>
      <c r="B324" t="s">
        <v>670</v>
      </c>
      <c r="C324" t="s">
        <v>12</v>
      </c>
      <c r="D324" t="s">
        <v>62</v>
      </c>
      <c r="E324" s="1">
        <v>44616</v>
      </c>
      <c r="F324" t="s">
        <v>14</v>
      </c>
      <c r="G324">
        <v>9739</v>
      </c>
      <c r="H324">
        <v>3558</v>
      </c>
      <c r="I324">
        <v>3.14</v>
      </c>
      <c r="J324">
        <v>50</v>
      </c>
      <c r="P324">
        <f t="shared" ca="1" si="21"/>
        <v>1236</v>
      </c>
      <c r="Q324" t="str" cm="1">
        <f t="array" ref="Q324">_xlfn.IFS(I324&gt;=3.5,"Excellent", I324&gt;3,"Good",I324&gt;2,"Average",I324&lt;2,"Poor")</f>
        <v>Good</v>
      </c>
      <c r="S324" t="str">
        <f t="shared" si="22"/>
        <v xml:space="preserve"> </v>
      </c>
      <c r="U324">
        <f t="shared" si="23"/>
        <v>2022</v>
      </c>
      <c r="AA324" t="str">
        <f t="shared" ca="1" si="24"/>
        <v/>
      </c>
    </row>
    <row r="325" spans="1:27" x14ac:dyDescent="0.3">
      <c r="A325" t="s">
        <v>671</v>
      </c>
      <c r="B325" t="s">
        <v>672</v>
      </c>
      <c r="C325" t="s">
        <v>36</v>
      </c>
      <c r="D325" t="s">
        <v>18</v>
      </c>
      <c r="E325" s="1">
        <v>45261</v>
      </c>
      <c r="F325" t="s">
        <v>19</v>
      </c>
      <c r="G325">
        <v>5005</v>
      </c>
      <c r="H325">
        <v>5309</v>
      </c>
      <c r="I325">
        <v>3.62</v>
      </c>
      <c r="J325">
        <v>31</v>
      </c>
      <c r="P325" t="str">
        <f t="shared" ca="1" si="21"/>
        <v xml:space="preserve"> </v>
      </c>
      <c r="Q325" t="str" cm="1">
        <f t="array" ref="Q325">_xlfn.IFS(I325&gt;=3.5,"Excellent", I325&gt;3,"Good",I325&gt;2,"Average",I325&lt;2,"Poor")</f>
        <v>Excellent</v>
      </c>
      <c r="S325" t="b">
        <f t="shared" si="22"/>
        <v>1</v>
      </c>
      <c r="U325">
        <f t="shared" si="23"/>
        <v>2023</v>
      </c>
      <c r="AA325">
        <f t="shared" ca="1" si="24"/>
        <v>591</v>
      </c>
    </row>
    <row r="326" spans="1:27" x14ac:dyDescent="0.3">
      <c r="A326" t="s">
        <v>673</v>
      </c>
      <c r="B326" t="s">
        <v>674</v>
      </c>
      <c r="C326" t="s">
        <v>54</v>
      </c>
      <c r="D326" t="s">
        <v>18</v>
      </c>
      <c r="E326" s="1">
        <v>45297</v>
      </c>
      <c r="F326" t="s">
        <v>19</v>
      </c>
      <c r="G326">
        <v>5480</v>
      </c>
      <c r="H326">
        <v>5300</v>
      </c>
      <c r="I326">
        <v>3.52</v>
      </c>
      <c r="J326">
        <v>111</v>
      </c>
      <c r="P326" t="str">
        <f t="shared" ca="1" si="21"/>
        <v xml:space="preserve"> </v>
      </c>
      <c r="Q326" t="str" cm="1">
        <f t="array" ref="Q326">_xlfn.IFS(I326&gt;=3.5,"Excellent", I326&gt;3,"Good",I326&gt;2,"Average",I326&lt;2,"Poor")</f>
        <v>Excellent</v>
      </c>
      <c r="S326" t="b">
        <f t="shared" si="22"/>
        <v>1</v>
      </c>
      <c r="U326">
        <f t="shared" si="23"/>
        <v>2024</v>
      </c>
      <c r="AA326">
        <f t="shared" ca="1" si="24"/>
        <v>555</v>
      </c>
    </row>
    <row r="327" spans="1:27" x14ac:dyDescent="0.3">
      <c r="A327" t="s">
        <v>675</v>
      </c>
      <c r="B327" t="s">
        <v>676</v>
      </c>
      <c r="C327" t="s">
        <v>22</v>
      </c>
      <c r="D327" t="s">
        <v>62</v>
      </c>
      <c r="E327" s="1">
        <v>45378</v>
      </c>
      <c r="F327" t="s">
        <v>14</v>
      </c>
      <c r="G327">
        <v>12926</v>
      </c>
      <c r="H327">
        <v>1253</v>
      </c>
      <c r="I327">
        <v>3.62</v>
      </c>
      <c r="J327">
        <v>13</v>
      </c>
      <c r="P327">
        <f t="shared" ca="1" si="21"/>
        <v>474</v>
      </c>
      <c r="Q327" t="str" cm="1">
        <f t="array" ref="Q327">_xlfn.IFS(I327&gt;=3.5,"Excellent", I327&gt;3,"Good",I327&gt;2,"Average",I327&lt;2,"Poor")</f>
        <v>Excellent</v>
      </c>
      <c r="S327" t="str">
        <f t="shared" si="22"/>
        <v xml:space="preserve"> </v>
      </c>
      <c r="U327">
        <f t="shared" si="23"/>
        <v>2024</v>
      </c>
      <c r="AA327" t="str">
        <f t="shared" ca="1" si="24"/>
        <v/>
      </c>
    </row>
    <row r="328" spans="1:27" x14ac:dyDescent="0.3">
      <c r="A328" t="s">
        <v>677</v>
      </c>
      <c r="B328" t="s">
        <v>678</v>
      </c>
      <c r="C328" t="s">
        <v>12</v>
      </c>
      <c r="D328" t="s">
        <v>13</v>
      </c>
      <c r="E328" s="1">
        <v>45430</v>
      </c>
      <c r="F328" t="s">
        <v>39</v>
      </c>
      <c r="G328">
        <v>11564</v>
      </c>
      <c r="H328">
        <v>2120</v>
      </c>
      <c r="I328">
        <v>2.13</v>
      </c>
      <c r="J328">
        <v>68</v>
      </c>
      <c r="P328" t="str">
        <f t="shared" ca="1" si="21"/>
        <v xml:space="preserve"> </v>
      </c>
      <c r="Q328" t="str" cm="1">
        <f t="array" ref="Q328">_xlfn.IFS(I328&gt;=3.5,"Excellent", I328&gt;3,"Good",I328&gt;2,"Average",I328&lt;2,"Poor")</f>
        <v>Average</v>
      </c>
      <c r="S328" t="str">
        <f t="shared" si="22"/>
        <v xml:space="preserve"> </v>
      </c>
      <c r="U328">
        <f t="shared" si="23"/>
        <v>2024</v>
      </c>
      <c r="AA328" t="str">
        <f t="shared" ca="1" si="24"/>
        <v/>
      </c>
    </row>
    <row r="329" spans="1:27" x14ac:dyDescent="0.3">
      <c r="A329" t="s">
        <v>679</v>
      </c>
      <c r="B329" t="s">
        <v>680</v>
      </c>
      <c r="C329" t="s">
        <v>54</v>
      </c>
      <c r="D329" t="s">
        <v>62</v>
      </c>
      <c r="E329" s="1">
        <v>44659</v>
      </c>
      <c r="F329" t="s">
        <v>14</v>
      </c>
      <c r="G329">
        <v>8396</v>
      </c>
      <c r="H329">
        <v>5614</v>
      </c>
      <c r="I329">
        <v>3.52</v>
      </c>
      <c r="J329">
        <v>8</v>
      </c>
      <c r="P329">
        <f t="shared" ca="1" si="21"/>
        <v>1193</v>
      </c>
      <c r="Q329" t="str" cm="1">
        <f t="array" ref="Q329">_xlfn.IFS(I329&gt;=3.5,"Excellent", I329&gt;3,"Good",I329&gt;2,"Average",I329&lt;2,"Poor")</f>
        <v>Excellent</v>
      </c>
      <c r="S329" t="b">
        <f t="shared" si="22"/>
        <v>1</v>
      </c>
      <c r="U329">
        <f t="shared" si="23"/>
        <v>2022</v>
      </c>
      <c r="AA329" t="str">
        <f t="shared" ca="1" si="24"/>
        <v/>
      </c>
    </row>
    <row r="330" spans="1:27" x14ac:dyDescent="0.3">
      <c r="A330" t="s">
        <v>681</v>
      </c>
      <c r="B330" t="s">
        <v>682</v>
      </c>
      <c r="C330" t="s">
        <v>54</v>
      </c>
      <c r="D330" t="s">
        <v>18</v>
      </c>
      <c r="E330" s="1">
        <v>44969</v>
      </c>
      <c r="F330" t="s">
        <v>14</v>
      </c>
      <c r="G330">
        <v>10998</v>
      </c>
      <c r="H330">
        <v>3502</v>
      </c>
      <c r="I330">
        <v>2.02</v>
      </c>
      <c r="J330">
        <v>113</v>
      </c>
      <c r="P330">
        <f t="shared" ca="1" si="21"/>
        <v>883</v>
      </c>
      <c r="Q330" t="str" cm="1">
        <f t="array" ref="Q330">_xlfn.IFS(I330&gt;=3.5,"Excellent", I330&gt;3,"Good",I330&gt;2,"Average",I330&lt;2,"Poor")</f>
        <v>Average</v>
      </c>
      <c r="S330" t="str">
        <f t="shared" si="22"/>
        <v xml:space="preserve"> </v>
      </c>
      <c r="U330">
        <f t="shared" si="23"/>
        <v>2023</v>
      </c>
      <c r="AA330" t="str">
        <f t="shared" ca="1" si="24"/>
        <v/>
      </c>
    </row>
    <row r="331" spans="1:27" x14ac:dyDescent="0.3">
      <c r="A331" t="s">
        <v>683</v>
      </c>
      <c r="B331" t="s">
        <v>684</v>
      </c>
      <c r="C331" t="s">
        <v>28</v>
      </c>
      <c r="D331" t="s">
        <v>31</v>
      </c>
      <c r="E331" s="1">
        <v>44578</v>
      </c>
      <c r="F331" t="s">
        <v>14</v>
      </c>
      <c r="G331">
        <v>8399</v>
      </c>
      <c r="H331">
        <v>1597</v>
      </c>
      <c r="I331">
        <v>2.92</v>
      </c>
      <c r="J331">
        <v>54</v>
      </c>
      <c r="P331">
        <f t="shared" ca="1" si="21"/>
        <v>1274</v>
      </c>
      <c r="Q331" t="str" cm="1">
        <f t="array" ref="Q331">_xlfn.IFS(I331&gt;=3.5,"Excellent", I331&gt;3,"Good",I331&gt;2,"Average",I331&lt;2,"Poor")</f>
        <v>Average</v>
      </c>
      <c r="S331" t="str">
        <f t="shared" si="22"/>
        <v xml:space="preserve"> </v>
      </c>
      <c r="U331">
        <f t="shared" si="23"/>
        <v>2022</v>
      </c>
      <c r="AA331" t="str">
        <f t="shared" ca="1" si="24"/>
        <v/>
      </c>
    </row>
    <row r="332" spans="1:27" x14ac:dyDescent="0.3">
      <c r="A332" t="s">
        <v>685</v>
      </c>
      <c r="B332" t="s">
        <v>686</v>
      </c>
      <c r="C332" t="s">
        <v>57</v>
      </c>
      <c r="D332" t="s">
        <v>31</v>
      </c>
      <c r="E332" s="1">
        <v>44640</v>
      </c>
      <c r="F332" t="s">
        <v>14</v>
      </c>
      <c r="G332">
        <v>14659</v>
      </c>
      <c r="H332">
        <v>4249</v>
      </c>
      <c r="I332">
        <v>3.9</v>
      </c>
      <c r="J332">
        <v>4</v>
      </c>
      <c r="P332">
        <f t="shared" ca="1" si="21"/>
        <v>1212</v>
      </c>
      <c r="Q332" t="str" cm="1">
        <f t="array" ref="Q332">_xlfn.IFS(I332&gt;=3.5,"Excellent", I332&gt;3,"Good",I332&gt;2,"Average",I332&lt;2,"Poor")</f>
        <v>Excellent</v>
      </c>
      <c r="S332" t="str">
        <f t="shared" si="22"/>
        <v xml:space="preserve"> </v>
      </c>
      <c r="U332">
        <f t="shared" si="23"/>
        <v>2022</v>
      </c>
      <c r="AA332" t="str">
        <f t="shared" ca="1" si="24"/>
        <v/>
      </c>
    </row>
    <row r="333" spans="1:27" x14ac:dyDescent="0.3">
      <c r="A333" t="s">
        <v>687</v>
      </c>
      <c r="B333" t="s">
        <v>688</v>
      </c>
      <c r="C333" t="s">
        <v>17</v>
      </c>
      <c r="D333" t="s">
        <v>18</v>
      </c>
      <c r="E333" s="1">
        <v>45132</v>
      </c>
      <c r="F333" t="s">
        <v>19</v>
      </c>
      <c r="G333">
        <v>11038</v>
      </c>
      <c r="H333">
        <v>590</v>
      </c>
      <c r="I333">
        <v>2.02</v>
      </c>
      <c r="J333">
        <v>16</v>
      </c>
      <c r="P333" t="str">
        <f t="shared" ca="1" si="21"/>
        <v xml:space="preserve"> </v>
      </c>
      <c r="Q333" t="str" cm="1">
        <f t="array" ref="Q333">_xlfn.IFS(I333&gt;=3.5,"Excellent", I333&gt;3,"Good",I333&gt;2,"Average",I333&lt;2,"Poor")</f>
        <v>Average</v>
      </c>
      <c r="S333" t="str">
        <f t="shared" si="22"/>
        <v xml:space="preserve"> </v>
      </c>
      <c r="U333">
        <f t="shared" si="23"/>
        <v>2023</v>
      </c>
      <c r="AA333">
        <f t="shared" ca="1" si="24"/>
        <v>720</v>
      </c>
    </row>
    <row r="334" spans="1:27" x14ac:dyDescent="0.3">
      <c r="A334" t="s">
        <v>689</v>
      </c>
      <c r="B334" t="s">
        <v>690</v>
      </c>
      <c r="C334" t="s">
        <v>12</v>
      </c>
      <c r="D334" t="s">
        <v>13</v>
      </c>
      <c r="E334" s="1">
        <v>45075</v>
      </c>
      <c r="F334" t="s">
        <v>19</v>
      </c>
      <c r="G334">
        <v>3155</v>
      </c>
      <c r="H334">
        <v>1309</v>
      </c>
      <c r="I334">
        <v>2.13</v>
      </c>
      <c r="J334">
        <v>60</v>
      </c>
      <c r="P334" t="str">
        <f t="shared" ca="1" si="21"/>
        <v xml:space="preserve"> </v>
      </c>
      <c r="Q334" t="str" cm="1">
        <f t="array" ref="Q334">_xlfn.IFS(I334&gt;=3.5,"Excellent", I334&gt;3,"Good",I334&gt;2,"Average",I334&lt;2,"Poor")</f>
        <v>Average</v>
      </c>
      <c r="S334" t="str">
        <f t="shared" si="22"/>
        <v xml:space="preserve"> </v>
      </c>
      <c r="U334">
        <f t="shared" si="23"/>
        <v>2023</v>
      </c>
      <c r="AA334">
        <f t="shared" ca="1" si="24"/>
        <v>777</v>
      </c>
    </row>
    <row r="335" spans="1:27" x14ac:dyDescent="0.3">
      <c r="A335" t="s">
        <v>691</v>
      </c>
      <c r="B335" t="s">
        <v>692</v>
      </c>
      <c r="C335" t="s">
        <v>57</v>
      </c>
      <c r="D335" t="s">
        <v>13</v>
      </c>
      <c r="E335" s="1">
        <v>44975</v>
      </c>
      <c r="F335" t="s">
        <v>14</v>
      </c>
      <c r="G335">
        <v>9857</v>
      </c>
      <c r="H335">
        <v>5580</v>
      </c>
      <c r="I335">
        <v>2.76</v>
      </c>
      <c r="J335">
        <v>6</v>
      </c>
      <c r="P335">
        <f t="shared" ca="1" si="21"/>
        <v>877</v>
      </c>
      <c r="Q335" t="str" cm="1">
        <f t="array" ref="Q335">_xlfn.IFS(I335&gt;=3.5,"Excellent", I335&gt;3,"Good",I335&gt;2,"Average",I335&lt;2,"Poor")</f>
        <v>Average</v>
      </c>
      <c r="S335" t="b">
        <f t="shared" si="22"/>
        <v>1</v>
      </c>
      <c r="U335">
        <f t="shared" si="23"/>
        <v>2023</v>
      </c>
      <c r="AA335" t="str">
        <f t="shared" ca="1" si="24"/>
        <v/>
      </c>
    </row>
    <row r="336" spans="1:27" x14ac:dyDescent="0.3">
      <c r="A336" t="s">
        <v>693</v>
      </c>
      <c r="B336" t="s">
        <v>694</v>
      </c>
      <c r="C336" t="s">
        <v>28</v>
      </c>
      <c r="D336" t="s">
        <v>62</v>
      </c>
      <c r="E336" s="1">
        <v>44607</v>
      </c>
      <c r="F336" t="s">
        <v>14</v>
      </c>
      <c r="G336">
        <v>3419</v>
      </c>
      <c r="H336">
        <v>7990</v>
      </c>
      <c r="I336">
        <v>3.98</v>
      </c>
      <c r="J336">
        <v>57</v>
      </c>
      <c r="P336">
        <f t="shared" ca="1" si="21"/>
        <v>1245</v>
      </c>
      <c r="Q336" t="str" cm="1">
        <f t="array" ref="Q336">_xlfn.IFS(I336&gt;=3.5,"Excellent", I336&gt;3,"Good",I336&gt;2,"Average",I336&lt;2,"Poor")</f>
        <v>Excellent</v>
      </c>
      <c r="S336" t="b">
        <f t="shared" si="22"/>
        <v>1</v>
      </c>
      <c r="U336">
        <f t="shared" si="23"/>
        <v>2022</v>
      </c>
      <c r="AA336" t="str">
        <f t="shared" ca="1" si="24"/>
        <v/>
      </c>
    </row>
    <row r="337" spans="1:27" x14ac:dyDescent="0.3">
      <c r="A337" t="s">
        <v>695</v>
      </c>
      <c r="B337" t="s">
        <v>696</v>
      </c>
      <c r="C337" t="s">
        <v>22</v>
      </c>
      <c r="D337" t="s">
        <v>18</v>
      </c>
      <c r="E337" s="1">
        <v>44837</v>
      </c>
      <c r="F337" t="s">
        <v>14</v>
      </c>
      <c r="G337">
        <v>10227</v>
      </c>
      <c r="H337">
        <v>8244</v>
      </c>
      <c r="I337">
        <v>2.46</v>
      </c>
      <c r="J337">
        <v>40</v>
      </c>
      <c r="P337">
        <f t="shared" ca="1" si="21"/>
        <v>1015</v>
      </c>
      <c r="Q337" t="str" cm="1">
        <f t="array" ref="Q337">_xlfn.IFS(I337&gt;=3.5,"Excellent", I337&gt;3,"Good",I337&gt;2,"Average",I337&lt;2,"Poor")</f>
        <v>Average</v>
      </c>
      <c r="S337" t="b">
        <f t="shared" si="22"/>
        <v>1</v>
      </c>
      <c r="U337">
        <f t="shared" si="23"/>
        <v>2022</v>
      </c>
      <c r="AA337" t="str">
        <f t="shared" ca="1" si="24"/>
        <v/>
      </c>
    </row>
    <row r="338" spans="1:27" x14ac:dyDescent="0.3">
      <c r="A338" t="s">
        <v>697</v>
      </c>
      <c r="B338" t="s">
        <v>698</v>
      </c>
      <c r="C338" t="s">
        <v>57</v>
      </c>
      <c r="D338" t="s">
        <v>62</v>
      </c>
      <c r="E338" s="1">
        <v>45269</v>
      </c>
      <c r="F338" t="s">
        <v>14</v>
      </c>
      <c r="G338">
        <v>5425</v>
      </c>
      <c r="H338">
        <v>8837</v>
      </c>
      <c r="I338">
        <v>2.46</v>
      </c>
      <c r="J338">
        <v>17</v>
      </c>
      <c r="P338">
        <f t="shared" ca="1" si="21"/>
        <v>583</v>
      </c>
      <c r="Q338" t="str" cm="1">
        <f t="array" ref="Q338">_xlfn.IFS(I338&gt;=3.5,"Excellent", I338&gt;3,"Good",I338&gt;2,"Average",I338&lt;2,"Poor")</f>
        <v>Average</v>
      </c>
      <c r="S338" t="b">
        <f t="shared" si="22"/>
        <v>1</v>
      </c>
      <c r="U338">
        <f t="shared" si="23"/>
        <v>2023</v>
      </c>
      <c r="AA338" t="str">
        <f t="shared" ca="1" si="24"/>
        <v/>
      </c>
    </row>
    <row r="339" spans="1:27" x14ac:dyDescent="0.3">
      <c r="A339" t="s">
        <v>699</v>
      </c>
      <c r="B339" t="s">
        <v>700</v>
      </c>
      <c r="C339" t="s">
        <v>12</v>
      </c>
      <c r="D339" t="s">
        <v>18</v>
      </c>
      <c r="E339" s="1">
        <v>45306</v>
      </c>
      <c r="F339" t="s">
        <v>14</v>
      </c>
      <c r="G339">
        <v>3010</v>
      </c>
      <c r="H339">
        <v>3613</v>
      </c>
      <c r="I339">
        <v>3.27</v>
      </c>
      <c r="J339">
        <v>9</v>
      </c>
      <c r="P339">
        <f t="shared" ca="1" si="21"/>
        <v>546</v>
      </c>
      <c r="Q339" t="str" cm="1">
        <f t="array" ref="Q339">_xlfn.IFS(I339&gt;=3.5,"Excellent", I339&gt;3,"Good",I339&gt;2,"Average",I339&lt;2,"Poor")</f>
        <v>Good</v>
      </c>
      <c r="S339" t="b">
        <f t="shared" si="22"/>
        <v>1</v>
      </c>
      <c r="U339">
        <f t="shared" si="23"/>
        <v>2024</v>
      </c>
      <c r="AA339" t="str">
        <f t="shared" ca="1" si="24"/>
        <v/>
      </c>
    </row>
    <row r="340" spans="1:27" x14ac:dyDescent="0.3">
      <c r="A340" t="s">
        <v>701</v>
      </c>
      <c r="B340" t="s">
        <v>702</v>
      </c>
      <c r="C340" t="s">
        <v>57</v>
      </c>
      <c r="D340" t="s">
        <v>31</v>
      </c>
      <c r="E340" s="1">
        <v>44854</v>
      </c>
      <c r="F340" t="s">
        <v>14</v>
      </c>
      <c r="G340">
        <v>8290</v>
      </c>
      <c r="H340">
        <v>4182</v>
      </c>
      <c r="I340">
        <v>2.71</v>
      </c>
      <c r="J340">
        <v>72</v>
      </c>
      <c r="P340">
        <f t="shared" ca="1" si="21"/>
        <v>998</v>
      </c>
      <c r="Q340" t="str" cm="1">
        <f t="array" ref="Q340">_xlfn.IFS(I340&gt;=3.5,"Excellent", I340&gt;3,"Good",I340&gt;2,"Average",I340&lt;2,"Poor")</f>
        <v>Average</v>
      </c>
      <c r="S340" t="b">
        <f t="shared" si="22"/>
        <v>1</v>
      </c>
      <c r="U340">
        <f t="shared" si="23"/>
        <v>2022</v>
      </c>
      <c r="AA340" t="str">
        <f t="shared" ca="1" si="24"/>
        <v/>
      </c>
    </row>
    <row r="341" spans="1:27" x14ac:dyDescent="0.3">
      <c r="A341" t="s">
        <v>703</v>
      </c>
      <c r="B341" t="s">
        <v>704</v>
      </c>
      <c r="C341" t="s">
        <v>36</v>
      </c>
      <c r="D341" t="s">
        <v>62</v>
      </c>
      <c r="E341" s="1">
        <v>45062</v>
      </c>
      <c r="F341" t="s">
        <v>14</v>
      </c>
      <c r="G341">
        <v>3151</v>
      </c>
      <c r="H341">
        <v>2504</v>
      </c>
      <c r="I341">
        <v>2.38</v>
      </c>
      <c r="J341">
        <v>51</v>
      </c>
      <c r="P341">
        <f t="shared" ca="1" si="21"/>
        <v>790</v>
      </c>
      <c r="Q341" t="str" cm="1">
        <f t="array" ref="Q341">_xlfn.IFS(I341&gt;=3.5,"Excellent", I341&gt;3,"Good",I341&gt;2,"Average",I341&lt;2,"Poor")</f>
        <v>Average</v>
      </c>
      <c r="S341" t="b">
        <f t="shared" si="22"/>
        <v>1</v>
      </c>
      <c r="U341">
        <f t="shared" si="23"/>
        <v>2023</v>
      </c>
      <c r="AA341" t="str">
        <f t="shared" ca="1" si="24"/>
        <v/>
      </c>
    </row>
    <row r="342" spans="1:27" x14ac:dyDescent="0.3">
      <c r="A342" t="s">
        <v>705</v>
      </c>
      <c r="B342" t="s">
        <v>706</v>
      </c>
      <c r="C342" t="s">
        <v>17</v>
      </c>
      <c r="D342" t="s">
        <v>13</v>
      </c>
      <c r="E342" s="1">
        <v>45043</v>
      </c>
      <c r="F342" t="s">
        <v>14</v>
      </c>
      <c r="G342">
        <v>3317</v>
      </c>
      <c r="H342">
        <v>5701</v>
      </c>
      <c r="I342">
        <v>2.08</v>
      </c>
      <c r="J342">
        <v>85</v>
      </c>
      <c r="P342">
        <f t="shared" ca="1" si="21"/>
        <v>809</v>
      </c>
      <c r="Q342" t="str" cm="1">
        <f t="array" ref="Q342">_xlfn.IFS(I342&gt;=3.5,"Excellent", I342&gt;3,"Good",I342&gt;2,"Average",I342&lt;2,"Poor")</f>
        <v>Average</v>
      </c>
      <c r="S342" t="b">
        <f t="shared" si="22"/>
        <v>1</v>
      </c>
      <c r="U342">
        <f t="shared" si="23"/>
        <v>2023</v>
      </c>
      <c r="AA342" t="str">
        <f t="shared" ca="1" si="24"/>
        <v/>
      </c>
    </row>
    <row r="343" spans="1:27" x14ac:dyDescent="0.3">
      <c r="A343" t="s">
        <v>707</v>
      </c>
      <c r="B343" t="s">
        <v>708</v>
      </c>
      <c r="C343" t="s">
        <v>28</v>
      </c>
      <c r="D343" t="s">
        <v>62</v>
      </c>
      <c r="E343" s="1">
        <v>44611</v>
      </c>
      <c r="F343" t="s">
        <v>14</v>
      </c>
      <c r="G343">
        <v>4447</v>
      </c>
      <c r="H343">
        <v>1972</v>
      </c>
      <c r="I343">
        <v>3.43</v>
      </c>
      <c r="J343">
        <v>67</v>
      </c>
      <c r="P343">
        <f t="shared" ca="1" si="21"/>
        <v>1241</v>
      </c>
      <c r="Q343" t="str" cm="1">
        <f t="array" ref="Q343">_xlfn.IFS(I343&gt;=3.5,"Excellent", I343&gt;3,"Good",I343&gt;2,"Average",I343&lt;2,"Poor")</f>
        <v>Good</v>
      </c>
      <c r="S343" t="str">
        <f t="shared" si="22"/>
        <v xml:space="preserve"> </v>
      </c>
      <c r="U343">
        <f t="shared" si="23"/>
        <v>2022</v>
      </c>
      <c r="AA343" t="str">
        <f t="shared" ca="1" si="24"/>
        <v/>
      </c>
    </row>
    <row r="344" spans="1:27" x14ac:dyDescent="0.3">
      <c r="A344" t="s">
        <v>709</v>
      </c>
      <c r="B344" t="s">
        <v>710</v>
      </c>
      <c r="C344" t="s">
        <v>25</v>
      </c>
      <c r="D344" t="s">
        <v>18</v>
      </c>
      <c r="E344" s="1">
        <v>45321</v>
      </c>
      <c r="F344" t="s">
        <v>14</v>
      </c>
      <c r="G344">
        <v>4390</v>
      </c>
      <c r="H344">
        <v>9450</v>
      </c>
      <c r="I344">
        <v>3.04</v>
      </c>
      <c r="J344">
        <v>119</v>
      </c>
      <c r="P344">
        <f t="shared" ca="1" si="21"/>
        <v>531</v>
      </c>
      <c r="Q344" t="str" cm="1">
        <f t="array" ref="Q344">_xlfn.IFS(I344&gt;=3.5,"Excellent", I344&gt;3,"Good",I344&gt;2,"Average",I344&lt;2,"Poor")</f>
        <v>Good</v>
      </c>
      <c r="S344" t="b">
        <f t="shared" si="22"/>
        <v>1</v>
      </c>
      <c r="U344">
        <f t="shared" si="23"/>
        <v>2024</v>
      </c>
      <c r="AA344" t="str">
        <f t="shared" ca="1" si="24"/>
        <v/>
      </c>
    </row>
    <row r="345" spans="1:27" x14ac:dyDescent="0.3">
      <c r="A345" t="s">
        <v>711</v>
      </c>
      <c r="B345" t="s">
        <v>712</v>
      </c>
      <c r="C345" t="s">
        <v>17</v>
      </c>
      <c r="D345" t="s">
        <v>18</v>
      </c>
      <c r="E345" s="1">
        <v>44945</v>
      </c>
      <c r="F345" t="s">
        <v>14</v>
      </c>
      <c r="G345">
        <v>12226</v>
      </c>
      <c r="H345">
        <v>5785</v>
      </c>
      <c r="I345">
        <v>3.48</v>
      </c>
      <c r="J345">
        <v>46</v>
      </c>
      <c r="P345">
        <f t="shared" ca="1" si="21"/>
        <v>907</v>
      </c>
      <c r="Q345" t="str" cm="1">
        <f t="array" ref="Q345">_xlfn.IFS(I345&gt;=3.5,"Excellent", I345&gt;3,"Good",I345&gt;2,"Average",I345&lt;2,"Poor")</f>
        <v>Good</v>
      </c>
      <c r="S345" t="str">
        <f t="shared" si="22"/>
        <v xml:space="preserve"> </v>
      </c>
      <c r="U345">
        <f t="shared" si="23"/>
        <v>2023</v>
      </c>
      <c r="AA345" t="str">
        <f t="shared" ca="1" si="24"/>
        <v/>
      </c>
    </row>
    <row r="346" spans="1:27" x14ac:dyDescent="0.3">
      <c r="A346" t="s">
        <v>713</v>
      </c>
      <c r="B346" t="s">
        <v>714</v>
      </c>
      <c r="C346" t="s">
        <v>57</v>
      </c>
      <c r="D346" t="s">
        <v>13</v>
      </c>
      <c r="E346" s="1">
        <v>45460</v>
      </c>
      <c r="F346" t="s">
        <v>14</v>
      </c>
      <c r="G346">
        <v>10765</v>
      </c>
      <c r="H346">
        <v>3730</v>
      </c>
      <c r="I346">
        <v>3.18</v>
      </c>
      <c r="J346">
        <v>109</v>
      </c>
      <c r="P346">
        <f t="shared" ca="1" si="21"/>
        <v>392</v>
      </c>
      <c r="Q346" t="str" cm="1">
        <f t="array" ref="Q346">_xlfn.IFS(I346&gt;=3.5,"Excellent", I346&gt;3,"Good",I346&gt;2,"Average",I346&lt;2,"Poor")</f>
        <v>Good</v>
      </c>
      <c r="S346" t="str">
        <f t="shared" si="22"/>
        <v xml:space="preserve"> </v>
      </c>
      <c r="U346">
        <f t="shared" si="23"/>
        <v>2024</v>
      </c>
      <c r="AA346" t="str">
        <f t="shared" ca="1" si="24"/>
        <v/>
      </c>
    </row>
    <row r="347" spans="1:27" x14ac:dyDescent="0.3">
      <c r="A347" t="s">
        <v>715</v>
      </c>
      <c r="B347" t="s">
        <v>716</v>
      </c>
      <c r="C347" t="s">
        <v>17</v>
      </c>
      <c r="D347" t="s">
        <v>62</v>
      </c>
      <c r="E347" s="1">
        <v>45183</v>
      </c>
      <c r="F347" t="s">
        <v>14</v>
      </c>
      <c r="G347">
        <v>6631</v>
      </c>
      <c r="H347">
        <v>3605</v>
      </c>
      <c r="I347">
        <v>2.15</v>
      </c>
      <c r="J347">
        <v>93</v>
      </c>
      <c r="P347">
        <f t="shared" ca="1" si="21"/>
        <v>669</v>
      </c>
      <c r="Q347" t="str" cm="1">
        <f t="array" ref="Q347">_xlfn.IFS(I347&gt;=3.5,"Excellent", I347&gt;3,"Good",I347&gt;2,"Average",I347&lt;2,"Poor")</f>
        <v>Average</v>
      </c>
      <c r="S347" t="b">
        <f t="shared" si="22"/>
        <v>1</v>
      </c>
      <c r="U347">
        <f t="shared" si="23"/>
        <v>2023</v>
      </c>
      <c r="AA347" t="str">
        <f t="shared" ca="1" si="24"/>
        <v/>
      </c>
    </row>
    <row r="348" spans="1:27" x14ac:dyDescent="0.3">
      <c r="A348" t="s">
        <v>717</v>
      </c>
      <c r="B348" t="s">
        <v>718</v>
      </c>
      <c r="C348" t="s">
        <v>28</v>
      </c>
      <c r="D348" t="s">
        <v>13</v>
      </c>
      <c r="E348" s="1">
        <v>44884</v>
      </c>
      <c r="F348" t="s">
        <v>14</v>
      </c>
      <c r="G348">
        <v>12250</v>
      </c>
      <c r="H348">
        <v>373</v>
      </c>
      <c r="I348">
        <v>3.37</v>
      </c>
      <c r="J348">
        <v>23</v>
      </c>
      <c r="P348">
        <f t="shared" ca="1" si="21"/>
        <v>968</v>
      </c>
      <c r="Q348" t="str" cm="1">
        <f t="array" ref="Q348">_xlfn.IFS(I348&gt;=3.5,"Excellent", I348&gt;3,"Good",I348&gt;2,"Average",I348&lt;2,"Poor")</f>
        <v>Good</v>
      </c>
      <c r="S348" t="str">
        <f t="shared" si="22"/>
        <v xml:space="preserve"> </v>
      </c>
      <c r="U348">
        <f t="shared" si="23"/>
        <v>2022</v>
      </c>
      <c r="AA348" t="str">
        <f t="shared" ca="1" si="24"/>
        <v/>
      </c>
    </row>
    <row r="349" spans="1:27" x14ac:dyDescent="0.3">
      <c r="A349" t="s">
        <v>719</v>
      </c>
      <c r="B349" t="s">
        <v>720</v>
      </c>
      <c r="C349" t="s">
        <v>12</v>
      </c>
      <c r="D349" t="s">
        <v>13</v>
      </c>
      <c r="E349" s="1">
        <v>44641</v>
      </c>
      <c r="F349" t="s">
        <v>14</v>
      </c>
      <c r="G349">
        <v>8028</v>
      </c>
      <c r="H349">
        <v>5955</v>
      </c>
      <c r="I349">
        <v>2.81</v>
      </c>
      <c r="J349">
        <v>4</v>
      </c>
      <c r="P349">
        <f t="shared" ca="1" si="21"/>
        <v>1211</v>
      </c>
      <c r="Q349" t="str" cm="1">
        <f t="array" ref="Q349">_xlfn.IFS(I349&gt;=3.5,"Excellent", I349&gt;3,"Good",I349&gt;2,"Average",I349&lt;2,"Poor")</f>
        <v>Average</v>
      </c>
      <c r="S349" t="b">
        <f t="shared" si="22"/>
        <v>1</v>
      </c>
      <c r="U349">
        <f t="shared" si="23"/>
        <v>2022</v>
      </c>
      <c r="AA349" t="str">
        <f t="shared" ca="1" si="24"/>
        <v/>
      </c>
    </row>
    <row r="350" spans="1:27" x14ac:dyDescent="0.3">
      <c r="A350" t="s">
        <v>721</v>
      </c>
      <c r="B350" t="s">
        <v>722</v>
      </c>
      <c r="C350" t="s">
        <v>12</v>
      </c>
      <c r="D350" t="s">
        <v>62</v>
      </c>
      <c r="E350" s="1">
        <v>45316</v>
      </c>
      <c r="F350" t="s">
        <v>19</v>
      </c>
      <c r="G350">
        <v>4948</v>
      </c>
      <c r="H350">
        <v>3342</v>
      </c>
      <c r="I350">
        <v>3.08</v>
      </c>
      <c r="J350">
        <v>119</v>
      </c>
      <c r="P350" t="str">
        <f t="shared" ca="1" si="21"/>
        <v xml:space="preserve"> </v>
      </c>
      <c r="Q350" t="str" cm="1">
        <f t="array" ref="Q350">_xlfn.IFS(I350&gt;=3.5,"Excellent", I350&gt;3,"Good",I350&gt;2,"Average",I350&lt;2,"Poor")</f>
        <v>Good</v>
      </c>
      <c r="S350" t="b">
        <f t="shared" si="22"/>
        <v>1</v>
      </c>
      <c r="U350">
        <f t="shared" si="23"/>
        <v>2024</v>
      </c>
      <c r="AA350">
        <f t="shared" ca="1" si="24"/>
        <v>536</v>
      </c>
    </row>
    <row r="351" spans="1:27" x14ac:dyDescent="0.3">
      <c r="A351" t="s">
        <v>723</v>
      </c>
      <c r="B351" t="s">
        <v>724</v>
      </c>
      <c r="C351" t="s">
        <v>22</v>
      </c>
      <c r="D351" t="s">
        <v>18</v>
      </c>
      <c r="E351" s="1">
        <v>45382</v>
      </c>
      <c r="F351" t="s">
        <v>14</v>
      </c>
      <c r="G351">
        <v>5751</v>
      </c>
      <c r="H351">
        <v>1819</v>
      </c>
      <c r="I351">
        <v>2.04</v>
      </c>
      <c r="J351">
        <v>58</v>
      </c>
      <c r="P351">
        <f t="shared" ca="1" si="21"/>
        <v>470</v>
      </c>
      <c r="Q351" t="str" cm="1">
        <f t="array" ref="Q351">_xlfn.IFS(I351&gt;=3.5,"Excellent", I351&gt;3,"Good",I351&gt;2,"Average",I351&lt;2,"Poor")</f>
        <v>Average</v>
      </c>
      <c r="S351" t="str">
        <f t="shared" si="22"/>
        <v xml:space="preserve"> </v>
      </c>
      <c r="U351">
        <f t="shared" si="23"/>
        <v>2024</v>
      </c>
      <c r="AA351" t="str">
        <f t="shared" ca="1" si="24"/>
        <v/>
      </c>
    </row>
    <row r="352" spans="1:27" x14ac:dyDescent="0.3">
      <c r="A352" t="s">
        <v>725</v>
      </c>
      <c r="B352" t="s">
        <v>726</v>
      </c>
      <c r="C352" t="s">
        <v>25</v>
      </c>
      <c r="D352" t="s">
        <v>18</v>
      </c>
      <c r="E352" s="1">
        <v>44760</v>
      </c>
      <c r="F352" t="s">
        <v>39</v>
      </c>
      <c r="G352">
        <v>8271</v>
      </c>
      <c r="H352">
        <v>6443</v>
      </c>
      <c r="I352">
        <v>3.38</v>
      </c>
      <c r="J352">
        <v>101</v>
      </c>
      <c r="P352" t="str">
        <f t="shared" ca="1" si="21"/>
        <v xml:space="preserve"> </v>
      </c>
      <c r="Q352" t="str" cm="1">
        <f t="array" ref="Q352">_xlfn.IFS(I352&gt;=3.5,"Excellent", I352&gt;3,"Good",I352&gt;2,"Average",I352&lt;2,"Poor")</f>
        <v>Good</v>
      </c>
      <c r="S352" t="b">
        <f t="shared" si="22"/>
        <v>1</v>
      </c>
      <c r="U352">
        <f t="shared" si="23"/>
        <v>2022</v>
      </c>
      <c r="AA352" t="str">
        <f t="shared" ca="1" si="24"/>
        <v/>
      </c>
    </row>
    <row r="353" spans="1:27" x14ac:dyDescent="0.3">
      <c r="A353" t="s">
        <v>727</v>
      </c>
      <c r="B353" t="s">
        <v>728</v>
      </c>
      <c r="C353" t="s">
        <v>17</v>
      </c>
      <c r="D353" t="s">
        <v>31</v>
      </c>
      <c r="E353" s="1">
        <v>45312</v>
      </c>
      <c r="F353" t="s">
        <v>14</v>
      </c>
      <c r="G353">
        <v>11568</v>
      </c>
      <c r="H353">
        <v>9456</v>
      </c>
      <c r="I353">
        <v>3.74</v>
      </c>
      <c r="J353">
        <v>104</v>
      </c>
      <c r="P353">
        <f t="shared" ca="1" si="21"/>
        <v>540</v>
      </c>
      <c r="Q353" t="str" cm="1">
        <f t="array" ref="Q353">_xlfn.IFS(I353&gt;=3.5,"Excellent", I353&gt;3,"Good",I353&gt;2,"Average",I353&lt;2,"Poor")</f>
        <v>Excellent</v>
      </c>
      <c r="S353" t="b">
        <f t="shared" si="22"/>
        <v>1</v>
      </c>
      <c r="U353">
        <f t="shared" si="23"/>
        <v>2024</v>
      </c>
      <c r="AA353" t="str">
        <f t="shared" ca="1" si="24"/>
        <v/>
      </c>
    </row>
    <row r="354" spans="1:27" x14ac:dyDescent="0.3">
      <c r="A354" t="s">
        <v>729</v>
      </c>
      <c r="B354" t="s">
        <v>730</v>
      </c>
      <c r="C354" t="s">
        <v>12</v>
      </c>
      <c r="D354" t="s">
        <v>18</v>
      </c>
      <c r="E354" s="1">
        <v>45138</v>
      </c>
      <c r="F354" t="s">
        <v>14</v>
      </c>
      <c r="G354">
        <v>10825</v>
      </c>
      <c r="H354">
        <v>9457</v>
      </c>
      <c r="I354">
        <v>3.74</v>
      </c>
      <c r="J354">
        <v>3</v>
      </c>
      <c r="P354">
        <f t="shared" ca="1" si="21"/>
        <v>714</v>
      </c>
      <c r="Q354" t="str" cm="1">
        <f t="array" ref="Q354">_xlfn.IFS(I354&gt;=3.5,"Excellent", I354&gt;3,"Good",I354&gt;2,"Average",I354&lt;2,"Poor")</f>
        <v>Excellent</v>
      </c>
      <c r="S354" t="b">
        <f t="shared" si="22"/>
        <v>1</v>
      </c>
      <c r="U354">
        <f t="shared" si="23"/>
        <v>2023</v>
      </c>
      <c r="AA354" t="str">
        <f t="shared" ca="1" si="24"/>
        <v/>
      </c>
    </row>
    <row r="355" spans="1:27" x14ac:dyDescent="0.3">
      <c r="A355" t="s">
        <v>731</v>
      </c>
      <c r="B355" t="s">
        <v>732</v>
      </c>
      <c r="C355" t="s">
        <v>54</v>
      </c>
      <c r="D355" t="s">
        <v>31</v>
      </c>
      <c r="E355" s="1">
        <v>44748</v>
      </c>
      <c r="F355" t="s">
        <v>19</v>
      </c>
      <c r="G355">
        <v>7978</v>
      </c>
      <c r="H355">
        <v>7406</v>
      </c>
      <c r="I355">
        <v>3.61</v>
      </c>
      <c r="J355">
        <v>32</v>
      </c>
      <c r="P355" t="str">
        <f t="shared" ca="1" si="21"/>
        <v xml:space="preserve"> </v>
      </c>
      <c r="Q355" t="str" cm="1">
        <f t="array" ref="Q355">_xlfn.IFS(I355&gt;=3.5,"Excellent", I355&gt;3,"Good",I355&gt;2,"Average",I355&lt;2,"Poor")</f>
        <v>Excellent</v>
      </c>
      <c r="S355" t="b">
        <f t="shared" si="22"/>
        <v>1</v>
      </c>
      <c r="U355">
        <f t="shared" si="23"/>
        <v>2022</v>
      </c>
      <c r="AA355">
        <f t="shared" ca="1" si="24"/>
        <v>1104</v>
      </c>
    </row>
    <row r="356" spans="1:27" x14ac:dyDescent="0.3">
      <c r="A356" t="s">
        <v>733</v>
      </c>
      <c r="B356" t="s">
        <v>734</v>
      </c>
      <c r="C356" t="s">
        <v>22</v>
      </c>
      <c r="D356" t="s">
        <v>13</v>
      </c>
      <c r="E356" s="1">
        <v>44837</v>
      </c>
      <c r="F356" t="s">
        <v>19</v>
      </c>
      <c r="G356">
        <v>11708</v>
      </c>
      <c r="H356">
        <v>9853</v>
      </c>
      <c r="I356">
        <v>2.88</v>
      </c>
      <c r="J356">
        <v>49</v>
      </c>
      <c r="P356" t="str">
        <f t="shared" ca="1" si="21"/>
        <v xml:space="preserve"> </v>
      </c>
      <c r="Q356" t="str" cm="1">
        <f t="array" ref="Q356">_xlfn.IFS(I356&gt;=3.5,"Excellent", I356&gt;3,"Good",I356&gt;2,"Average",I356&lt;2,"Poor")</f>
        <v>Average</v>
      </c>
      <c r="S356" t="b">
        <f t="shared" si="22"/>
        <v>1</v>
      </c>
      <c r="U356">
        <f t="shared" si="23"/>
        <v>2022</v>
      </c>
      <c r="AA356">
        <f t="shared" ca="1" si="24"/>
        <v>1015</v>
      </c>
    </row>
    <row r="357" spans="1:27" x14ac:dyDescent="0.3">
      <c r="A357" t="s">
        <v>735</v>
      </c>
      <c r="B357" t="s">
        <v>736</v>
      </c>
      <c r="C357" t="s">
        <v>28</v>
      </c>
      <c r="D357" t="s">
        <v>18</v>
      </c>
      <c r="E357" s="1">
        <v>44562</v>
      </c>
      <c r="F357" t="s">
        <v>14</v>
      </c>
      <c r="G357">
        <v>14323</v>
      </c>
      <c r="H357">
        <v>5656</v>
      </c>
      <c r="I357">
        <v>3.7</v>
      </c>
      <c r="J357">
        <v>48</v>
      </c>
      <c r="P357">
        <f t="shared" ca="1" si="21"/>
        <v>1290</v>
      </c>
      <c r="Q357" t="str" cm="1">
        <f t="array" ref="Q357">_xlfn.IFS(I357&gt;=3.5,"Excellent", I357&gt;3,"Good",I357&gt;2,"Average",I357&lt;2,"Poor")</f>
        <v>Excellent</v>
      </c>
      <c r="S357" t="str">
        <f t="shared" si="22"/>
        <v xml:space="preserve"> </v>
      </c>
      <c r="U357">
        <f t="shared" si="23"/>
        <v>2022</v>
      </c>
      <c r="AA357" t="str">
        <f t="shared" ca="1" si="24"/>
        <v/>
      </c>
    </row>
    <row r="358" spans="1:27" x14ac:dyDescent="0.3">
      <c r="A358" t="s">
        <v>737</v>
      </c>
      <c r="B358" t="s">
        <v>738</v>
      </c>
      <c r="C358" t="s">
        <v>54</v>
      </c>
      <c r="D358" t="s">
        <v>13</v>
      </c>
      <c r="E358" s="1">
        <v>44939</v>
      </c>
      <c r="F358" t="s">
        <v>14</v>
      </c>
      <c r="G358">
        <v>3253</v>
      </c>
      <c r="H358">
        <v>8143</v>
      </c>
      <c r="I358">
        <v>2.79</v>
      </c>
      <c r="J358">
        <v>69</v>
      </c>
      <c r="P358">
        <f t="shared" ca="1" si="21"/>
        <v>913</v>
      </c>
      <c r="Q358" t="str" cm="1">
        <f t="array" ref="Q358">_xlfn.IFS(I358&gt;=3.5,"Excellent", I358&gt;3,"Good",I358&gt;2,"Average",I358&lt;2,"Poor")</f>
        <v>Average</v>
      </c>
      <c r="S358" t="b">
        <f t="shared" si="22"/>
        <v>1</v>
      </c>
      <c r="U358">
        <f t="shared" si="23"/>
        <v>2023</v>
      </c>
      <c r="AA358" t="str">
        <f t="shared" ca="1" si="24"/>
        <v/>
      </c>
    </row>
    <row r="359" spans="1:27" x14ac:dyDescent="0.3">
      <c r="A359" t="s">
        <v>739</v>
      </c>
      <c r="B359" t="s">
        <v>740</v>
      </c>
      <c r="C359" t="s">
        <v>28</v>
      </c>
      <c r="D359" t="s">
        <v>62</v>
      </c>
      <c r="E359" s="1">
        <v>45168</v>
      </c>
      <c r="F359" t="s">
        <v>14</v>
      </c>
      <c r="G359">
        <v>14408</v>
      </c>
      <c r="H359">
        <v>9114</v>
      </c>
      <c r="I359">
        <v>2.0699999999999998</v>
      </c>
      <c r="J359">
        <v>74</v>
      </c>
      <c r="P359">
        <f t="shared" ca="1" si="21"/>
        <v>684</v>
      </c>
      <c r="Q359" t="str" cm="1">
        <f t="array" ref="Q359">_xlfn.IFS(I359&gt;=3.5,"Excellent", I359&gt;3,"Good",I359&gt;2,"Average",I359&lt;2,"Poor")</f>
        <v>Average</v>
      </c>
      <c r="S359" t="b">
        <f t="shared" si="22"/>
        <v>1</v>
      </c>
      <c r="U359">
        <f t="shared" si="23"/>
        <v>2023</v>
      </c>
      <c r="AA359" t="str">
        <f t="shared" ca="1" si="24"/>
        <v/>
      </c>
    </row>
    <row r="360" spans="1:27" x14ac:dyDescent="0.3">
      <c r="A360" t="s">
        <v>741</v>
      </c>
      <c r="B360" t="s">
        <v>742</v>
      </c>
      <c r="C360" t="s">
        <v>57</v>
      </c>
      <c r="D360" t="s">
        <v>13</v>
      </c>
      <c r="E360" s="1">
        <v>44860</v>
      </c>
      <c r="F360" t="s">
        <v>14</v>
      </c>
      <c r="G360">
        <v>9948</v>
      </c>
      <c r="H360">
        <v>840</v>
      </c>
      <c r="I360">
        <v>2.4500000000000002</v>
      </c>
      <c r="J360">
        <v>9</v>
      </c>
      <c r="P360">
        <f t="shared" ca="1" si="21"/>
        <v>992</v>
      </c>
      <c r="Q360" t="str" cm="1">
        <f t="array" ref="Q360">_xlfn.IFS(I360&gt;=3.5,"Excellent", I360&gt;3,"Good",I360&gt;2,"Average",I360&lt;2,"Poor")</f>
        <v>Average</v>
      </c>
      <c r="S360" t="str">
        <f t="shared" si="22"/>
        <v xml:space="preserve"> </v>
      </c>
      <c r="U360">
        <f t="shared" si="23"/>
        <v>2022</v>
      </c>
      <c r="AA360" t="str">
        <f t="shared" ca="1" si="24"/>
        <v/>
      </c>
    </row>
    <row r="361" spans="1:27" x14ac:dyDescent="0.3">
      <c r="A361" t="s">
        <v>743</v>
      </c>
      <c r="B361" t="s">
        <v>744</v>
      </c>
      <c r="C361" t="s">
        <v>54</v>
      </c>
      <c r="D361" t="s">
        <v>18</v>
      </c>
      <c r="E361" s="1">
        <v>45289</v>
      </c>
      <c r="F361" t="s">
        <v>39</v>
      </c>
      <c r="G361">
        <v>8535</v>
      </c>
      <c r="H361">
        <v>678</v>
      </c>
      <c r="I361">
        <v>3.07</v>
      </c>
      <c r="J361">
        <v>28</v>
      </c>
      <c r="P361" t="str">
        <f t="shared" ca="1" si="21"/>
        <v xml:space="preserve"> </v>
      </c>
      <c r="Q361" t="str" cm="1">
        <f t="array" ref="Q361">_xlfn.IFS(I361&gt;=3.5,"Excellent", I361&gt;3,"Good",I361&gt;2,"Average",I361&lt;2,"Poor")</f>
        <v>Good</v>
      </c>
      <c r="S361" t="str">
        <f t="shared" si="22"/>
        <v xml:space="preserve"> </v>
      </c>
      <c r="U361">
        <f t="shared" si="23"/>
        <v>2023</v>
      </c>
      <c r="AA361" t="str">
        <f t="shared" ca="1" si="24"/>
        <v/>
      </c>
    </row>
    <row r="362" spans="1:27" x14ac:dyDescent="0.3">
      <c r="A362" t="s">
        <v>745</v>
      </c>
      <c r="B362" t="s">
        <v>746</v>
      </c>
      <c r="C362" t="s">
        <v>28</v>
      </c>
      <c r="D362" t="s">
        <v>31</v>
      </c>
      <c r="E362" s="1">
        <v>44729</v>
      </c>
      <c r="F362" t="s">
        <v>14</v>
      </c>
      <c r="G362">
        <v>3685</v>
      </c>
      <c r="H362">
        <v>36</v>
      </c>
      <c r="I362">
        <v>2.57</v>
      </c>
      <c r="J362">
        <v>5</v>
      </c>
      <c r="P362">
        <f t="shared" ca="1" si="21"/>
        <v>1123</v>
      </c>
      <c r="Q362" t="str" cm="1">
        <f t="array" ref="Q362">_xlfn.IFS(I362&gt;=3.5,"Excellent", I362&gt;3,"Good",I362&gt;2,"Average",I362&lt;2,"Poor")</f>
        <v>Average</v>
      </c>
      <c r="S362" t="str">
        <f t="shared" si="22"/>
        <v xml:space="preserve"> </v>
      </c>
      <c r="U362">
        <f t="shared" si="23"/>
        <v>2022</v>
      </c>
      <c r="AA362" t="str">
        <f t="shared" ca="1" si="24"/>
        <v/>
      </c>
    </row>
    <row r="363" spans="1:27" x14ac:dyDescent="0.3">
      <c r="A363" t="s">
        <v>747</v>
      </c>
      <c r="B363" t="s">
        <v>748</v>
      </c>
      <c r="C363" t="s">
        <v>57</v>
      </c>
      <c r="D363" t="s">
        <v>62</v>
      </c>
      <c r="E363" s="1">
        <v>45438</v>
      </c>
      <c r="F363" t="s">
        <v>39</v>
      </c>
      <c r="G363">
        <v>13540</v>
      </c>
      <c r="H363">
        <v>3077</v>
      </c>
      <c r="I363">
        <v>3.69</v>
      </c>
      <c r="J363">
        <v>62</v>
      </c>
      <c r="P363" t="str">
        <f t="shared" ca="1" si="21"/>
        <v xml:space="preserve"> </v>
      </c>
      <c r="Q363" t="str" cm="1">
        <f t="array" ref="Q363">_xlfn.IFS(I363&gt;=3.5,"Excellent", I363&gt;3,"Good",I363&gt;2,"Average",I363&lt;2,"Poor")</f>
        <v>Excellent</v>
      </c>
      <c r="S363" t="str">
        <f t="shared" si="22"/>
        <v xml:space="preserve"> </v>
      </c>
      <c r="U363">
        <f t="shared" si="23"/>
        <v>2024</v>
      </c>
      <c r="AA363" t="str">
        <f t="shared" ca="1" si="24"/>
        <v/>
      </c>
    </row>
    <row r="364" spans="1:27" x14ac:dyDescent="0.3">
      <c r="A364" t="s">
        <v>749</v>
      </c>
      <c r="B364" t="s">
        <v>750</v>
      </c>
      <c r="C364" t="s">
        <v>25</v>
      </c>
      <c r="D364" t="s">
        <v>18</v>
      </c>
      <c r="E364" s="1">
        <v>45421</v>
      </c>
      <c r="F364" t="s">
        <v>19</v>
      </c>
      <c r="G364">
        <v>14073</v>
      </c>
      <c r="H364">
        <v>6320</v>
      </c>
      <c r="I364">
        <v>2.4300000000000002</v>
      </c>
      <c r="J364">
        <v>3</v>
      </c>
      <c r="P364" t="str">
        <f t="shared" ca="1" si="21"/>
        <v xml:space="preserve"> </v>
      </c>
      <c r="Q364" t="str" cm="1">
        <f t="array" ref="Q364">_xlfn.IFS(I364&gt;=3.5,"Excellent", I364&gt;3,"Good",I364&gt;2,"Average",I364&lt;2,"Poor")</f>
        <v>Average</v>
      </c>
      <c r="S364" t="str">
        <f t="shared" si="22"/>
        <v xml:space="preserve"> </v>
      </c>
      <c r="U364">
        <f t="shared" si="23"/>
        <v>2024</v>
      </c>
      <c r="AA364">
        <f t="shared" ca="1" si="24"/>
        <v>431</v>
      </c>
    </row>
    <row r="365" spans="1:27" x14ac:dyDescent="0.3">
      <c r="A365" t="s">
        <v>751</v>
      </c>
      <c r="B365" t="s">
        <v>752</v>
      </c>
      <c r="C365" t="s">
        <v>57</v>
      </c>
      <c r="D365" t="s">
        <v>31</v>
      </c>
      <c r="E365" s="1">
        <v>45265</v>
      </c>
      <c r="F365" t="s">
        <v>19</v>
      </c>
      <c r="G365">
        <v>6665</v>
      </c>
      <c r="H365">
        <v>2771</v>
      </c>
      <c r="I365">
        <v>3.28</v>
      </c>
      <c r="J365">
        <v>66</v>
      </c>
      <c r="P365" t="str">
        <f t="shared" ca="1" si="21"/>
        <v xml:space="preserve"> </v>
      </c>
      <c r="Q365" t="str" cm="1">
        <f t="array" ref="Q365">_xlfn.IFS(I365&gt;=3.5,"Excellent", I365&gt;3,"Good",I365&gt;2,"Average",I365&lt;2,"Poor")</f>
        <v>Good</v>
      </c>
      <c r="S365" t="str">
        <f t="shared" si="22"/>
        <v xml:space="preserve"> </v>
      </c>
      <c r="U365">
        <f t="shared" si="23"/>
        <v>2023</v>
      </c>
      <c r="AA365">
        <f t="shared" ca="1" si="24"/>
        <v>587</v>
      </c>
    </row>
    <row r="366" spans="1:27" x14ac:dyDescent="0.3">
      <c r="A366" t="s">
        <v>753</v>
      </c>
      <c r="B366" t="s">
        <v>754</v>
      </c>
      <c r="C366" t="s">
        <v>22</v>
      </c>
      <c r="D366" t="s">
        <v>62</v>
      </c>
      <c r="E366" s="1">
        <v>44614</v>
      </c>
      <c r="F366" t="s">
        <v>14</v>
      </c>
      <c r="G366">
        <v>7095</v>
      </c>
      <c r="H366">
        <v>8663</v>
      </c>
      <c r="I366">
        <v>2.3199999999999998</v>
      </c>
      <c r="J366">
        <v>98</v>
      </c>
      <c r="P366">
        <f t="shared" ca="1" si="21"/>
        <v>1238</v>
      </c>
      <c r="Q366" t="str" cm="1">
        <f t="array" ref="Q366">_xlfn.IFS(I366&gt;=3.5,"Excellent", I366&gt;3,"Good",I366&gt;2,"Average",I366&lt;2,"Poor")</f>
        <v>Average</v>
      </c>
      <c r="S366" t="b">
        <f t="shared" si="22"/>
        <v>1</v>
      </c>
      <c r="U366">
        <f t="shared" si="23"/>
        <v>2022</v>
      </c>
      <c r="AA366" t="str">
        <f t="shared" ca="1" si="24"/>
        <v/>
      </c>
    </row>
    <row r="367" spans="1:27" x14ac:dyDescent="0.3">
      <c r="A367" t="s">
        <v>755</v>
      </c>
      <c r="B367" t="s">
        <v>756</v>
      </c>
      <c r="C367" t="s">
        <v>25</v>
      </c>
      <c r="D367" t="s">
        <v>62</v>
      </c>
      <c r="E367" s="1">
        <v>44826</v>
      </c>
      <c r="F367" t="s">
        <v>14</v>
      </c>
      <c r="G367">
        <v>14571</v>
      </c>
      <c r="H367">
        <v>1629</v>
      </c>
      <c r="I367">
        <v>2.36</v>
      </c>
      <c r="J367">
        <v>33</v>
      </c>
      <c r="P367">
        <f t="shared" ca="1" si="21"/>
        <v>1026</v>
      </c>
      <c r="Q367" t="str" cm="1">
        <f t="array" ref="Q367">_xlfn.IFS(I367&gt;=3.5,"Excellent", I367&gt;3,"Good",I367&gt;2,"Average",I367&lt;2,"Poor")</f>
        <v>Average</v>
      </c>
      <c r="S367" t="str">
        <f t="shared" si="22"/>
        <v xml:space="preserve"> </v>
      </c>
      <c r="U367">
        <f t="shared" si="23"/>
        <v>2022</v>
      </c>
      <c r="AA367" t="str">
        <f t="shared" ca="1" si="24"/>
        <v/>
      </c>
    </row>
    <row r="368" spans="1:27" x14ac:dyDescent="0.3">
      <c r="A368" t="s">
        <v>757</v>
      </c>
      <c r="B368" t="s">
        <v>758</v>
      </c>
      <c r="C368" t="s">
        <v>25</v>
      </c>
      <c r="D368" t="s">
        <v>31</v>
      </c>
      <c r="E368" s="1">
        <v>45453</v>
      </c>
      <c r="F368" t="s">
        <v>39</v>
      </c>
      <c r="G368">
        <v>10830</v>
      </c>
      <c r="H368">
        <v>6989</v>
      </c>
      <c r="I368">
        <v>2.2200000000000002</v>
      </c>
      <c r="J368">
        <v>83</v>
      </c>
      <c r="P368" t="str">
        <f t="shared" ca="1" si="21"/>
        <v xml:space="preserve"> </v>
      </c>
      <c r="Q368" t="str" cm="1">
        <f t="array" ref="Q368">_xlfn.IFS(I368&gt;=3.5,"Excellent", I368&gt;3,"Good",I368&gt;2,"Average",I368&lt;2,"Poor")</f>
        <v>Average</v>
      </c>
      <c r="S368" t="b">
        <f t="shared" si="22"/>
        <v>1</v>
      </c>
      <c r="U368">
        <f t="shared" si="23"/>
        <v>2024</v>
      </c>
      <c r="AA368" t="str">
        <f t="shared" ca="1" si="24"/>
        <v/>
      </c>
    </row>
    <row r="369" spans="1:27" x14ac:dyDescent="0.3">
      <c r="A369" t="s">
        <v>759</v>
      </c>
      <c r="B369" t="s">
        <v>760</v>
      </c>
      <c r="C369" t="s">
        <v>12</v>
      </c>
      <c r="D369" t="s">
        <v>18</v>
      </c>
      <c r="E369" s="1">
        <v>45241</v>
      </c>
      <c r="F369" t="s">
        <v>39</v>
      </c>
      <c r="G369">
        <v>8519</v>
      </c>
      <c r="H369">
        <v>2389</v>
      </c>
      <c r="I369">
        <v>2.85</v>
      </c>
      <c r="J369">
        <v>109</v>
      </c>
      <c r="P369" t="str">
        <f t="shared" ca="1" si="21"/>
        <v xml:space="preserve"> </v>
      </c>
      <c r="Q369" t="str" cm="1">
        <f t="array" ref="Q369">_xlfn.IFS(I369&gt;=3.5,"Excellent", I369&gt;3,"Good",I369&gt;2,"Average",I369&lt;2,"Poor")</f>
        <v>Average</v>
      </c>
      <c r="S369" t="str">
        <f t="shared" si="22"/>
        <v xml:space="preserve"> </v>
      </c>
      <c r="U369">
        <f t="shared" si="23"/>
        <v>2023</v>
      </c>
      <c r="AA369" t="str">
        <f t="shared" ca="1" si="24"/>
        <v/>
      </c>
    </row>
    <row r="370" spans="1:27" x14ac:dyDescent="0.3">
      <c r="A370" t="s">
        <v>761</v>
      </c>
      <c r="B370" t="s">
        <v>762</v>
      </c>
      <c r="C370" t="s">
        <v>28</v>
      </c>
      <c r="D370" t="s">
        <v>18</v>
      </c>
      <c r="E370" s="1">
        <v>44721</v>
      </c>
      <c r="F370" t="s">
        <v>14</v>
      </c>
      <c r="G370">
        <v>3664</v>
      </c>
      <c r="H370">
        <v>6430</v>
      </c>
      <c r="I370">
        <v>3.23</v>
      </c>
      <c r="J370">
        <v>112</v>
      </c>
      <c r="P370">
        <f t="shared" ca="1" si="21"/>
        <v>1131</v>
      </c>
      <c r="Q370" t="str" cm="1">
        <f t="array" ref="Q370">_xlfn.IFS(I370&gt;=3.5,"Excellent", I370&gt;3,"Good",I370&gt;2,"Average",I370&lt;2,"Poor")</f>
        <v>Good</v>
      </c>
      <c r="S370" t="b">
        <f t="shared" si="22"/>
        <v>1</v>
      </c>
      <c r="U370">
        <f t="shared" si="23"/>
        <v>2022</v>
      </c>
      <c r="AA370" t="str">
        <f t="shared" ca="1" si="24"/>
        <v/>
      </c>
    </row>
    <row r="371" spans="1:27" x14ac:dyDescent="0.3">
      <c r="A371" t="s">
        <v>763</v>
      </c>
      <c r="B371" t="s">
        <v>764</v>
      </c>
      <c r="C371" t="s">
        <v>12</v>
      </c>
      <c r="D371" t="s">
        <v>18</v>
      </c>
      <c r="E371" s="1">
        <v>44833</v>
      </c>
      <c r="F371" t="s">
        <v>14</v>
      </c>
      <c r="G371">
        <v>2185</v>
      </c>
      <c r="H371">
        <v>9733</v>
      </c>
      <c r="I371">
        <v>2.1</v>
      </c>
      <c r="J371">
        <v>21</v>
      </c>
      <c r="P371">
        <f t="shared" ca="1" si="21"/>
        <v>1019</v>
      </c>
      <c r="Q371" t="str" cm="1">
        <f t="array" ref="Q371">_xlfn.IFS(I371&gt;=3.5,"Excellent", I371&gt;3,"Good",I371&gt;2,"Average",I371&lt;2,"Poor")</f>
        <v>Average</v>
      </c>
      <c r="S371" t="b">
        <f t="shared" si="22"/>
        <v>1</v>
      </c>
      <c r="U371">
        <f t="shared" si="23"/>
        <v>2022</v>
      </c>
      <c r="AA371" t="str">
        <f t="shared" ca="1" si="24"/>
        <v/>
      </c>
    </row>
    <row r="372" spans="1:27" x14ac:dyDescent="0.3">
      <c r="A372" t="s">
        <v>765</v>
      </c>
      <c r="B372" t="s">
        <v>766</v>
      </c>
      <c r="C372" t="s">
        <v>17</v>
      </c>
      <c r="D372" t="s">
        <v>31</v>
      </c>
      <c r="E372" s="1">
        <v>44957</v>
      </c>
      <c r="F372" t="s">
        <v>14</v>
      </c>
      <c r="G372">
        <v>14842</v>
      </c>
      <c r="H372">
        <v>8209</v>
      </c>
      <c r="I372">
        <v>3.53</v>
      </c>
      <c r="J372">
        <v>5</v>
      </c>
      <c r="P372">
        <f t="shared" ca="1" si="21"/>
        <v>895</v>
      </c>
      <c r="Q372" t="str" cm="1">
        <f t="array" ref="Q372">_xlfn.IFS(I372&gt;=3.5,"Excellent", I372&gt;3,"Good",I372&gt;2,"Average",I372&lt;2,"Poor")</f>
        <v>Excellent</v>
      </c>
      <c r="S372" t="b">
        <f t="shared" si="22"/>
        <v>1</v>
      </c>
      <c r="U372">
        <f t="shared" si="23"/>
        <v>2023</v>
      </c>
      <c r="AA372" t="str">
        <f t="shared" ca="1" si="24"/>
        <v/>
      </c>
    </row>
    <row r="373" spans="1:27" x14ac:dyDescent="0.3">
      <c r="A373" t="s">
        <v>767</v>
      </c>
      <c r="B373" t="s">
        <v>768</v>
      </c>
      <c r="C373" t="s">
        <v>12</v>
      </c>
      <c r="D373" t="s">
        <v>31</v>
      </c>
      <c r="E373" s="1">
        <v>44705</v>
      </c>
      <c r="F373" t="s">
        <v>19</v>
      </c>
      <c r="G373">
        <v>4085</v>
      </c>
      <c r="H373">
        <v>7274</v>
      </c>
      <c r="I373">
        <v>3.68</v>
      </c>
      <c r="J373">
        <v>118</v>
      </c>
      <c r="P373" t="str">
        <f t="shared" ca="1" si="21"/>
        <v xml:space="preserve"> </v>
      </c>
      <c r="Q373" t="str" cm="1">
        <f t="array" ref="Q373">_xlfn.IFS(I373&gt;=3.5,"Excellent", I373&gt;3,"Good",I373&gt;2,"Average",I373&lt;2,"Poor")</f>
        <v>Excellent</v>
      </c>
      <c r="S373" t="b">
        <f t="shared" si="22"/>
        <v>1</v>
      </c>
      <c r="U373">
        <f t="shared" si="23"/>
        <v>2022</v>
      </c>
      <c r="AA373">
        <f t="shared" ca="1" si="24"/>
        <v>1147</v>
      </c>
    </row>
    <row r="374" spans="1:27" x14ac:dyDescent="0.3">
      <c r="A374" t="s">
        <v>769</v>
      </c>
      <c r="B374" t="s">
        <v>770</v>
      </c>
      <c r="C374" t="s">
        <v>12</v>
      </c>
      <c r="D374" t="s">
        <v>62</v>
      </c>
      <c r="E374" s="1">
        <v>45408</v>
      </c>
      <c r="F374" t="s">
        <v>39</v>
      </c>
      <c r="G374">
        <v>10083</v>
      </c>
      <c r="H374">
        <v>7627</v>
      </c>
      <c r="I374">
        <v>3.65</v>
      </c>
      <c r="J374">
        <v>51</v>
      </c>
      <c r="P374" t="str">
        <f t="shared" ca="1" si="21"/>
        <v xml:space="preserve"> </v>
      </c>
      <c r="Q374" t="str" cm="1">
        <f t="array" ref="Q374">_xlfn.IFS(I374&gt;=3.5,"Excellent", I374&gt;3,"Good",I374&gt;2,"Average",I374&lt;2,"Poor")</f>
        <v>Excellent</v>
      </c>
      <c r="S374" t="b">
        <f t="shared" si="22"/>
        <v>1</v>
      </c>
      <c r="U374">
        <f t="shared" si="23"/>
        <v>2024</v>
      </c>
      <c r="AA374" t="str">
        <f t="shared" ca="1" si="24"/>
        <v/>
      </c>
    </row>
    <row r="375" spans="1:27" x14ac:dyDescent="0.3">
      <c r="A375" t="s">
        <v>771</v>
      </c>
      <c r="B375" t="s">
        <v>772</v>
      </c>
      <c r="C375" t="s">
        <v>28</v>
      </c>
      <c r="D375" t="s">
        <v>31</v>
      </c>
      <c r="E375" s="1">
        <v>44818</v>
      </c>
      <c r="F375" t="s">
        <v>14</v>
      </c>
      <c r="G375">
        <v>7207</v>
      </c>
      <c r="H375">
        <v>849</v>
      </c>
      <c r="I375">
        <v>2.7</v>
      </c>
      <c r="J375">
        <v>13</v>
      </c>
      <c r="P375">
        <f t="shared" ca="1" si="21"/>
        <v>1034</v>
      </c>
      <c r="Q375" t="str" cm="1">
        <f t="array" ref="Q375">_xlfn.IFS(I375&gt;=3.5,"Excellent", I375&gt;3,"Good",I375&gt;2,"Average",I375&lt;2,"Poor")</f>
        <v>Average</v>
      </c>
      <c r="S375" t="str">
        <f t="shared" si="22"/>
        <v xml:space="preserve"> </v>
      </c>
      <c r="U375">
        <f t="shared" si="23"/>
        <v>2022</v>
      </c>
      <c r="AA375" t="str">
        <f t="shared" ca="1" si="24"/>
        <v/>
      </c>
    </row>
    <row r="376" spans="1:27" x14ac:dyDescent="0.3">
      <c r="A376" t="s">
        <v>773</v>
      </c>
      <c r="B376" t="s">
        <v>774</v>
      </c>
      <c r="C376" t="s">
        <v>54</v>
      </c>
      <c r="D376" t="s">
        <v>18</v>
      </c>
      <c r="E376" s="1">
        <v>44826</v>
      </c>
      <c r="F376" t="s">
        <v>19</v>
      </c>
      <c r="G376">
        <v>5212</v>
      </c>
      <c r="H376">
        <v>8077</v>
      </c>
      <c r="I376">
        <v>3.84</v>
      </c>
      <c r="J376">
        <v>107</v>
      </c>
      <c r="P376" t="str">
        <f t="shared" ca="1" si="21"/>
        <v xml:space="preserve"> </v>
      </c>
      <c r="Q376" t="str" cm="1">
        <f t="array" ref="Q376">_xlfn.IFS(I376&gt;=3.5,"Excellent", I376&gt;3,"Good",I376&gt;2,"Average",I376&lt;2,"Poor")</f>
        <v>Excellent</v>
      </c>
      <c r="S376" t="b">
        <f t="shared" si="22"/>
        <v>1</v>
      </c>
      <c r="U376">
        <f t="shared" si="23"/>
        <v>2022</v>
      </c>
      <c r="AA376">
        <f t="shared" ca="1" si="24"/>
        <v>1026</v>
      </c>
    </row>
    <row r="377" spans="1:27" x14ac:dyDescent="0.3">
      <c r="A377" t="s">
        <v>775</v>
      </c>
      <c r="B377" t="s">
        <v>776</v>
      </c>
      <c r="C377" t="s">
        <v>12</v>
      </c>
      <c r="D377" t="s">
        <v>31</v>
      </c>
      <c r="E377" s="1">
        <v>44630</v>
      </c>
      <c r="F377" t="s">
        <v>14</v>
      </c>
      <c r="G377">
        <v>9737</v>
      </c>
      <c r="H377">
        <v>4257</v>
      </c>
      <c r="I377">
        <v>3.43</v>
      </c>
      <c r="J377">
        <v>47</v>
      </c>
      <c r="P377">
        <f t="shared" ca="1" si="21"/>
        <v>1222</v>
      </c>
      <c r="Q377" t="str" cm="1">
        <f t="array" ref="Q377">_xlfn.IFS(I377&gt;=3.5,"Excellent", I377&gt;3,"Good",I377&gt;2,"Average",I377&lt;2,"Poor")</f>
        <v>Good</v>
      </c>
      <c r="S377" t="str">
        <f t="shared" si="22"/>
        <v xml:space="preserve"> </v>
      </c>
      <c r="U377">
        <f t="shared" si="23"/>
        <v>2022</v>
      </c>
      <c r="AA377" t="str">
        <f t="shared" ca="1" si="24"/>
        <v/>
      </c>
    </row>
    <row r="378" spans="1:27" x14ac:dyDescent="0.3">
      <c r="A378" t="s">
        <v>777</v>
      </c>
      <c r="B378" t="s">
        <v>778</v>
      </c>
      <c r="C378" t="s">
        <v>36</v>
      </c>
      <c r="D378" t="s">
        <v>62</v>
      </c>
      <c r="E378" s="1">
        <v>44616</v>
      </c>
      <c r="F378" t="s">
        <v>39</v>
      </c>
      <c r="G378">
        <v>3123</v>
      </c>
      <c r="H378">
        <v>5542</v>
      </c>
      <c r="I378">
        <v>3.82</v>
      </c>
      <c r="J378">
        <v>48</v>
      </c>
      <c r="P378" t="str">
        <f t="shared" ca="1" si="21"/>
        <v xml:space="preserve"> </v>
      </c>
      <c r="Q378" t="str" cm="1">
        <f t="array" ref="Q378">_xlfn.IFS(I378&gt;=3.5,"Excellent", I378&gt;3,"Good",I378&gt;2,"Average",I378&lt;2,"Poor")</f>
        <v>Excellent</v>
      </c>
      <c r="S378" t="b">
        <f t="shared" si="22"/>
        <v>1</v>
      </c>
      <c r="U378">
        <f t="shared" si="23"/>
        <v>2022</v>
      </c>
      <c r="AA378" t="str">
        <f t="shared" ca="1" si="24"/>
        <v/>
      </c>
    </row>
    <row r="379" spans="1:27" x14ac:dyDescent="0.3">
      <c r="A379" t="s">
        <v>779</v>
      </c>
      <c r="B379" t="s">
        <v>780</v>
      </c>
      <c r="C379" t="s">
        <v>57</v>
      </c>
      <c r="D379" t="s">
        <v>13</v>
      </c>
      <c r="E379" s="1">
        <v>45122</v>
      </c>
      <c r="F379" t="s">
        <v>14</v>
      </c>
      <c r="G379">
        <v>2497</v>
      </c>
      <c r="H379">
        <v>7768</v>
      </c>
      <c r="I379">
        <v>3.66</v>
      </c>
      <c r="J379">
        <v>56</v>
      </c>
      <c r="P379">
        <f t="shared" ca="1" si="21"/>
        <v>730</v>
      </c>
      <c r="Q379" t="str" cm="1">
        <f t="array" ref="Q379">_xlfn.IFS(I379&gt;=3.5,"Excellent", I379&gt;3,"Good",I379&gt;2,"Average",I379&lt;2,"Poor")</f>
        <v>Excellent</v>
      </c>
      <c r="S379" t="b">
        <f t="shared" si="22"/>
        <v>1</v>
      </c>
      <c r="U379">
        <f t="shared" si="23"/>
        <v>2023</v>
      </c>
      <c r="AA379" t="str">
        <f t="shared" ca="1" si="24"/>
        <v/>
      </c>
    </row>
    <row r="380" spans="1:27" x14ac:dyDescent="0.3">
      <c r="A380" t="s">
        <v>781</v>
      </c>
      <c r="B380" t="s">
        <v>782</v>
      </c>
      <c r="C380" t="s">
        <v>17</v>
      </c>
      <c r="D380" t="s">
        <v>18</v>
      </c>
      <c r="E380" s="1">
        <v>45453</v>
      </c>
      <c r="F380" t="s">
        <v>19</v>
      </c>
      <c r="G380">
        <v>13114</v>
      </c>
      <c r="H380">
        <v>5020</v>
      </c>
      <c r="I380">
        <v>2.78</v>
      </c>
      <c r="J380">
        <v>67</v>
      </c>
      <c r="P380" t="str">
        <f t="shared" ca="1" si="21"/>
        <v xml:space="preserve"> </v>
      </c>
      <c r="Q380" t="str" cm="1">
        <f t="array" ref="Q380">_xlfn.IFS(I380&gt;=3.5,"Excellent", I380&gt;3,"Good",I380&gt;2,"Average",I380&lt;2,"Poor")</f>
        <v>Average</v>
      </c>
      <c r="S380" t="str">
        <f t="shared" si="22"/>
        <v xml:space="preserve"> </v>
      </c>
      <c r="U380">
        <f t="shared" si="23"/>
        <v>2024</v>
      </c>
      <c r="AA380">
        <f t="shared" ca="1" si="24"/>
        <v>399</v>
      </c>
    </row>
    <row r="381" spans="1:27" x14ac:dyDescent="0.3">
      <c r="A381" t="s">
        <v>783</v>
      </c>
      <c r="B381" t="s">
        <v>784</v>
      </c>
      <c r="C381" t="s">
        <v>57</v>
      </c>
      <c r="D381" t="s">
        <v>62</v>
      </c>
      <c r="E381" s="1">
        <v>44640</v>
      </c>
      <c r="F381" t="s">
        <v>14</v>
      </c>
      <c r="G381">
        <v>12549</v>
      </c>
      <c r="H381">
        <v>5639</v>
      </c>
      <c r="I381">
        <v>3.36</v>
      </c>
      <c r="J381">
        <v>38</v>
      </c>
      <c r="P381">
        <f t="shared" ca="1" si="21"/>
        <v>1212</v>
      </c>
      <c r="Q381" t="str" cm="1">
        <f t="array" ref="Q381">_xlfn.IFS(I381&gt;=3.5,"Excellent", I381&gt;3,"Good",I381&gt;2,"Average",I381&lt;2,"Poor")</f>
        <v>Good</v>
      </c>
      <c r="S381" t="str">
        <f t="shared" si="22"/>
        <v xml:space="preserve"> </v>
      </c>
      <c r="U381">
        <f t="shared" si="23"/>
        <v>2022</v>
      </c>
      <c r="AA381" t="str">
        <f t="shared" ca="1" si="24"/>
        <v/>
      </c>
    </row>
    <row r="382" spans="1:27" x14ac:dyDescent="0.3">
      <c r="A382" t="s">
        <v>785</v>
      </c>
      <c r="B382" t="s">
        <v>786</v>
      </c>
      <c r="C382" t="s">
        <v>12</v>
      </c>
      <c r="D382" t="s">
        <v>31</v>
      </c>
      <c r="E382" s="1">
        <v>45061</v>
      </c>
      <c r="F382" t="s">
        <v>14</v>
      </c>
      <c r="G382">
        <v>11461</v>
      </c>
      <c r="H382">
        <v>6852</v>
      </c>
      <c r="I382">
        <v>2.88</v>
      </c>
      <c r="J382">
        <v>73</v>
      </c>
      <c r="P382">
        <f t="shared" ca="1" si="21"/>
        <v>791</v>
      </c>
      <c r="Q382" t="str" cm="1">
        <f t="array" ref="Q382">_xlfn.IFS(I382&gt;=3.5,"Excellent", I382&gt;3,"Good",I382&gt;2,"Average",I382&lt;2,"Poor")</f>
        <v>Average</v>
      </c>
      <c r="S382" t="b">
        <f t="shared" si="22"/>
        <v>1</v>
      </c>
      <c r="U382">
        <f t="shared" si="23"/>
        <v>2023</v>
      </c>
      <c r="AA382" t="str">
        <f t="shared" ca="1" si="24"/>
        <v/>
      </c>
    </row>
    <row r="383" spans="1:27" x14ac:dyDescent="0.3">
      <c r="A383" t="s">
        <v>787</v>
      </c>
      <c r="B383" t="s">
        <v>788</v>
      </c>
      <c r="C383" t="s">
        <v>12</v>
      </c>
      <c r="D383" t="s">
        <v>31</v>
      </c>
      <c r="E383" s="1">
        <v>45068</v>
      </c>
      <c r="F383" t="s">
        <v>39</v>
      </c>
      <c r="G383">
        <v>13551</v>
      </c>
      <c r="H383">
        <v>1986</v>
      </c>
      <c r="I383">
        <v>3.86</v>
      </c>
      <c r="J383">
        <v>5</v>
      </c>
      <c r="P383" t="str">
        <f t="shared" ca="1" si="21"/>
        <v xml:space="preserve"> </v>
      </c>
      <c r="Q383" t="str" cm="1">
        <f t="array" ref="Q383">_xlfn.IFS(I383&gt;=3.5,"Excellent", I383&gt;3,"Good",I383&gt;2,"Average",I383&lt;2,"Poor")</f>
        <v>Excellent</v>
      </c>
      <c r="S383" t="str">
        <f t="shared" si="22"/>
        <v xml:space="preserve"> </v>
      </c>
      <c r="U383">
        <f t="shared" si="23"/>
        <v>2023</v>
      </c>
      <c r="AA383" t="str">
        <f t="shared" ca="1" si="24"/>
        <v/>
      </c>
    </row>
    <row r="384" spans="1:27" x14ac:dyDescent="0.3">
      <c r="A384" t="s">
        <v>789</v>
      </c>
      <c r="B384" t="s">
        <v>790</v>
      </c>
      <c r="C384" t="s">
        <v>22</v>
      </c>
      <c r="D384" t="s">
        <v>13</v>
      </c>
      <c r="E384" s="1">
        <v>44967</v>
      </c>
      <c r="F384" t="s">
        <v>39</v>
      </c>
      <c r="G384">
        <v>13139</v>
      </c>
      <c r="H384">
        <v>2798</v>
      </c>
      <c r="I384">
        <v>2.63</v>
      </c>
      <c r="J384">
        <v>119</v>
      </c>
      <c r="P384" t="str">
        <f t="shared" ca="1" si="21"/>
        <v xml:space="preserve"> </v>
      </c>
      <c r="Q384" t="str" cm="1">
        <f t="array" ref="Q384">_xlfn.IFS(I384&gt;=3.5,"Excellent", I384&gt;3,"Good",I384&gt;2,"Average",I384&lt;2,"Poor")</f>
        <v>Average</v>
      </c>
      <c r="S384" t="str">
        <f t="shared" si="22"/>
        <v xml:space="preserve"> </v>
      </c>
      <c r="U384">
        <f t="shared" si="23"/>
        <v>2023</v>
      </c>
      <c r="AA384" t="str">
        <f t="shared" ca="1" si="24"/>
        <v/>
      </c>
    </row>
    <row r="385" spans="1:27" x14ac:dyDescent="0.3">
      <c r="A385" t="s">
        <v>791</v>
      </c>
      <c r="B385" t="s">
        <v>792</v>
      </c>
      <c r="C385" t="s">
        <v>36</v>
      </c>
      <c r="D385" t="s">
        <v>13</v>
      </c>
      <c r="E385" s="1">
        <v>45163</v>
      </c>
      <c r="F385" t="s">
        <v>14</v>
      </c>
      <c r="G385">
        <v>4092</v>
      </c>
      <c r="H385">
        <v>8499</v>
      </c>
      <c r="I385">
        <v>3.48</v>
      </c>
      <c r="J385">
        <v>69</v>
      </c>
      <c r="P385">
        <f t="shared" ca="1" si="21"/>
        <v>689</v>
      </c>
      <c r="Q385" t="str" cm="1">
        <f t="array" ref="Q385">_xlfn.IFS(I385&gt;=3.5,"Excellent", I385&gt;3,"Good",I385&gt;2,"Average",I385&lt;2,"Poor")</f>
        <v>Good</v>
      </c>
      <c r="S385" t="b">
        <f t="shared" si="22"/>
        <v>1</v>
      </c>
      <c r="U385">
        <f t="shared" si="23"/>
        <v>2023</v>
      </c>
      <c r="AA385" t="str">
        <f t="shared" ca="1" si="24"/>
        <v/>
      </c>
    </row>
    <row r="386" spans="1:27" x14ac:dyDescent="0.3">
      <c r="A386" t="s">
        <v>793</v>
      </c>
      <c r="B386" t="s">
        <v>794</v>
      </c>
      <c r="C386" t="s">
        <v>28</v>
      </c>
      <c r="D386" t="s">
        <v>62</v>
      </c>
      <c r="E386" s="1">
        <v>44726</v>
      </c>
      <c r="F386" t="s">
        <v>19</v>
      </c>
      <c r="G386">
        <v>2153</v>
      </c>
      <c r="H386">
        <v>7439</v>
      </c>
      <c r="I386">
        <v>3.76</v>
      </c>
      <c r="J386">
        <v>30</v>
      </c>
      <c r="P386" t="str">
        <f t="shared" ca="1" si="21"/>
        <v xml:space="preserve"> </v>
      </c>
      <c r="Q386" t="str" cm="1">
        <f t="array" ref="Q386">_xlfn.IFS(I386&gt;=3.5,"Excellent", I386&gt;3,"Good",I386&gt;2,"Average",I386&lt;2,"Poor")</f>
        <v>Excellent</v>
      </c>
      <c r="S386" t="b">
        <f t="shared" si="22"/>
        <v>1</v>
      </c>
      <c r="U386">
        <f t="shared" si="23"/>
        <v>2022</v>
      </c>
      <c r="AA386">
        <f t="shared" ca="1" si="24"/>
        <v>1126</v>
      </c>
    </row>
    <row r="387" spans="1:27" x14ac:dyDescent="0.3">
      <c r="A387" t="s">
        <v>795</v>
      </c>
      <c r="B387" t="s">
        <v>796</v>
      </c>
      <c r="C387" t="s">
        <v>36</v>
      </c>
      <c r="D387" t="s">
        <v>31</v>
      </c>
      <c r="E387" s="1">
        <v>44676</v>
      </c>
      <c r="F387" t="s">
        <v>14</v>
      </c>
      <c r="G387">
        <v>8339</v>
      </c>
      <c r="H387">
        <v>9829</v>
      </c>
      <c r="I387">
        <v>2.34</v>
      </c>
      <c r="J387">
        <v>116</v>
      </c>
      <c r="P387">
        <f t="shared" ref="P387:P450" ca="1" si="25">IF(F387="Enrolled",TODAY()-E387, " ")</f>
        <v>1176</v>
      </c>
      <c r="Q387" t="str" cm="1">
        <f t="array" ref="Q387">_xlfn.IFS(I387&gt;=3.5,"Excellent", I387&gt;3,"Good",I387&gt;2,"Average",I387&lt;2,"Poor")</f>
        <v>Average</v>
      </c>
      <c r="S387" t="b">
        <f t="shared" ref="S387:S450" si="26">IF(H387&gt;0.5*G387,TRUE, " " )</f>
        <v>1</v>
      </c>
      <c r="U387">
        <f t="shared" ref="U387:U450" si="27">YEAR(E387)</f>
        <v>2022</v>
      </c>
      <c r="AA387" t="str">
        <f t="shared" ref="AA387:AA450" ca="1" si="28">IF(F387="Completed",TODAY()-E387,"")</f>
        <v/>
      </c>
    </row>
    <row r="388" spans="1:27" x14ac:dyDescent="0.3">
      <c r="A388" t="s">
        <v>797</v>
      </c>
      <c r="B388" t="s">
        <v>798</v>
      </c>
      <c r="C388" t="s">
        <v>54</v>
      </c>
      <c r="D388" t="s">
        <v>13</v>
      </c>
      <c r="E388" s="1">
        <v>44629</v>
      </c>
      <c r="F388" t="s">
        <v>14</v>
      </c>
      <c r="G388">
        <v>11121</v>
      </c>
      <c r="H388">
        <v>2183</v>
      </c>
      <c r="I388">
        <v>2.99</v>
      </c>
      <c r="J388">
        <v>42</v>
      </c>
      <c r="P388">
        <f t="shared" ca="1" si="25"/>
        <v>1223</v>
      </c>
      <c r="Q388" t="str" cm="1">
        <f t="array" ref="Q388">_xlfn.IFS(I388&gt;=3.5,"Excellent", I388&gt;3,"Good",I388&gt;2,"Average",I388&lt;2,"Poor")</f>
        <v>Average</v>
      </c>
      <c r="S388" t="str">
        <f t="shared" si="26"/>
        <v xml:space="preserve"> </v>
      </c>
      <c r="U388">
        <f t="shared" si="27"/>
        <v>2022</v>
      </c>
      <c r="AA388" t="str">
        <f t="shared" ca="1" si="28"/>
        <v/>
      </c>
    </row>
    <row r="389" spans="1:27" x14ac:dyDescent="0.3">
      <c r="A389" t="s">
        <v>799</v>
      </c>
      <c r="B389" t="s">
        <v>800</v>
      </c>
      <c r="C389" t="s">
        <v>57</v>
      </c>
      <c r="D389" t="s">
        <v>31</v>
      </c>
      <c r="E389" s="1">
        <v>44741</v>
      </c>
      <c r="F389" t="s">
        <v>14</v>
      </c>
      <c r="G389">
        <v>7432</v>
      </c>
      <c r="H389">
        <v>7205</v>
      </c>
      <c r="I389">
        <v>3.64</v>
      </c>
      <c r="J389">
        <v>8</v>
      </c>
      <c r="P389">
        <f t="shared" ca="1" si="25"/>
        <v>1111</v>
      </c>
      <c r="Q389" t="str" cm="1">
        <f t="array" ref="Q389">_xlfn.IFS(I389&gt;=3.5,"Excellent", I389&gt;3,"Good",I389&gt;2,"Average",I389&lt;2,"Poor")</f>
        <v>Excellent</v>
      </c>
      <c r="S389" t="b">
        <f t="shared" si="26"/>
        <v>1</v>
      </c>
      <c r="U389">
        <f t="shared" si="27"/>
        <v>2022</v>
      </c>
      <c r="AA389" t="str">
        <f t="shared" ca="1" si="28"/>
        <v/>
      </c>
    </row>
    <row r="390" spans="1:27" x14ac:dyDescent="0.3">
      <c r="A390" t="s">
        <v>801</v>
      </c>
      <c r="B390" t="s">
        <v>802</v>
      </c>
      <c r="C390" t="s">
        <v>36</v>
      </c>
      <c r="D390" t="s">
        <v>62</v>
      </c>
      <c r="E390" s="1">
        <v>44873</v>
      </c>
      <c r="F390" t="s">
        <v>14</v>
      </c>
      <c r="G390">
        <v>3537</v>
      </c>
      <c r="H390">
        <v>1875</v>
      </c>
      <c r="I390">
        <v>2.87</v>
      </c>
      <c r="J390">
        <v>19</v>
      </c>
      <c r="P390">
        <f t="shared" ca="1" si="25"/>
        <v>979</v>
      </c>
      <c r="Q390" t="str" cm="1">
        <f t="array" ref="Q390">_xlfn.IFS(I390&gt;=3.5,"Excellent", I390&gt;3,"Good",I390&gt;2,"Average",I390&lt;2,"Poor")</f>
        <v>Average</v>
      </c>
      <c r="S390" t="b">
        <f t="shared" si="26"/>
        <v>1</v>
      </c>
      <c r="U390">
        <f t="shared" si="27"/>
        <v>2022</v>
      </c>
      <c r="AA390" t="str">
        <f t="shared" ca="1" si="28"/>
        <v/>
      </c>
    </row>
    <row r="391" spans="1:27" x14ac:dyDescent="0.3">
      <c r="A391" t="s">
        <v>803</v>
      </c>
      <c r="B391" t="s">
        <v>804</v>
      </c>
      <c r="C391" t="s">
        <v>28</v>
      </c>
      <c r="D391" t="s">
        <v>31</v>
      </c>
      <c r="E391" s="1">
        <v>44668</v>
      </c>
      <c r="F391" t="s">
        <v>14</v>
      </c>
      <c r="G391">
        <v>9228</v>
      </c>
      <c r="H391">
        <v>1359</v>
      </c>
      <c r="I391">
        <v>2.4</v>
      </c>
      <c r="J391">
        <v>81</v>
      </c>
      <c r="P391">
        <f t="shared" ca="1" si="25"/>
        <v>1184</v>
      </c>
      <c r="Q391" t="str" cm="1">
        <f t="array" ref="Q391">_xlfn.IFS(I391&gt;=3.5,"Excellent", I391&gt;3,"Good",I391&gt;2,"Average",I391&lt;2,"Poor")</f>
        <v>Average</v>
      </c>
      <c r="S391" t="str">
        <f t="shared" si="26"/>
        <v xml:space="preserve"> </v>
      </c>
      <c r="U391">
        <f t="shared" si="27"/>
        <v>2022</v>
      </c>
      <c r="AA391" t="str">
        <f t="shared" ca="1" si="28"/>
        <v/>
      </c>
    </row>
    <row r="392" spans="1:27" x14ac:dyDescent="0.3">
      <c r="A392" t="s">
        <v>805</v>
      </c>
      <c r="B392" t="s">
        <v>806</v>
      </c>
      <c r="C392" t="s">
        <v>36</v>
      </c>
      <c r="D392" t="s">
        <v>13</v>
      </c>
      <c r="E392" s="1">
        <v>44918</v>
      </c>
      <c r="F392" t="s">
        <v>19</v>
      </c>
      <c r="G392">
        <v>13877</v>
      </c>
      <c r="H392">
        <v>6447</v>
      </c>
      <c r="I392">
        <v>2.34</v>
      </c>
      <c r="J392">
        <v>69</v>
      </c>
      <c r="P392" t="str">
        <f t="shared" ca="1" si="25"/>
        <v xml:space="preserve"> </v>
      </c>
      <c r="Q392" t="str" cm="1">
        <f t="array" ref="Q392">_xlfn.IFS(I392&gt;=3.5,"Excellent", I392&gt;3,"Good",I392&gt;2,"Average",I392&lt;2,"Poor")</f>
        <v>Average</v>
      </c>
      <c r="S392" t="str">
        <f t="shared" si="26"/>
        <v xml:space="preserve"> </v>
      </c>
      <c r="U392">
        <f t="shared" si="27"/>
        <v>2022</v>
      </c>
      <c r="AA392">
        <f t="shared" ca="1" si="28"/>
        <v>934</v>
      </c>
    </row>
    <row r="393" spans="1:27" x14ac:dyDescent="0.3">
      <c r="A393" t="s">
        <v>807</v>
      </c>
      <c r="B393" t="s">
        <v>808</v>
      </c>
      <c r="C393" t="s">
        <v>36</v>
      </c>
      <c r="D393" t="s">
        <v>18</v>
      </c>
      <c r="E393" s="1">
        <v>45112</v>
      </c>
      <c r="F393" t="s">
        <v>14</v>
      </c>
      <c r="G393">
        <v>10582</v>
      </c>
      <c r="H393">
        <v>7243</v>
      </c>
      <c r="I393">
        <v>2.41</v>
      </c>
      <c r="J393">
        <v>10</v>
      </c>
      <c r="P393">
        <f t="shared" ca="1" si="25"/>
        <v>740</v>
      </c>
      <c r="Q393" t="str" cm="1">
        <f t="array" ref="Q393">_xlfn.IFS(I393&gt;=3.5,"Excellent", I393&gt;3,"Good",I393&gt;2,"Average",I393&lt;2,"Poor")</f>
        <v>Average</v>
      </c>
      <c r="S393" t="b">
        <f t="shared" si="26"/>
        <v>1</v>
      </c>
      <c r="U393">
        <f t="shared" si="27"/>
        <v>2023</v>
      </c>
      <c r="AA393" t="str">
        <f t="shared" ca="1" si="28"/>
        <v/>
      </c>
    </row>
    <row r="394" spans="1:27" x14ac:dyDescent="0.3">
      <c r="A394" t="s">
        <v>809</v>
      </c>
      <c r="B394" t="s">
        <v>810</v>
      </c>
      <c r="C394" t="s">
        <v>57</v>
      </c>
      <c r="D394" t="s">
        <v>13</v>
      </c>
      <c r="E394" s="1">
        <v>45324</v>
      </c>
      <c r="F394" t="s">
        <v>14</v>
      </c>
      <c r="G394">
        <v>11913</v>
      </c>
      <c r="H394">
        <v>1193</v>
      </c>
      <c r="I394">
        <v>3.95</v>
      </c>
      <c r="J394">
        <v>92</v>
      </c>
      <c r="P394">
        <f t="shared" ca="1" si="25"/>
        <v>528</v>
      </c>
      <c r="Q394" t="str" cm="1">
        <f t="array" ref="Q394">_xlfn.IFS(I394&gt;=3.5,"Excellent", I394&gt;3,"Good",I394&gt;2,"Average",I394&lt;2,"Poor")</f>
        <v>Excellent</v>
      </c>
      <c r="S394" t="str">
        <f t="shared" si="26"/>
        <v xml:space="preserve"> </v>
      </c>
      <c r="U394">
        <f t="shared" si="27"/>
        <v>2024</v>
      </c>
      <c r="AA394" t="str">
        <f t="shared" ca="1" si="28"/>
        <v/>
      </c>
    </row>
    <row r="395" spans="1:27" x14ac:dyDescent="0.3">
      <c r="A395" t="s">
        <v>811</v>
      </c>
      <c r="B395" t="s">
        <v>812</v>
      </c>
      <c r="C395" t="s">
        <v>17</v>
      </c>
      <c r="D395" t="s">
        <v>62</v>
      </c>
      <c r="E395" s="1">
        <v>45102</v>
      </c>
      <c r="F395" t="s">
        <v>14</v>
      </c>
      <c r="G395">
        <v>4298</v>
      </c>
      <c r="H395">
        <v>6092</v>
      </c>
      <c r="I395">
        <v>3.4</v>
      </c>
      <c r="J395">
        <v>5</v>
      </c>
      <c r="P395">
        <f t="shared" ca="1" si="25"/>
        <v>750</v>
      </c>
      <c r="Q395" t="str" cm="1">
        <f t="array" ref="Q395">_xlfn.IFS(I395&gt;=3.5,"Excellent", I395&gt;3,"Good",I395&gt;2,"Average",I395&lt;2,"Poor")</f>
        <v>Good</v>
      </c>
      <c r="S395" t="b">
        <f t="shared" si="26"/>
        <v>1</v>
      </c>
      <c r="U395">
        <f t="shared" si="27"/>
        <v>2023</v>
      </c>
      <c r="AA395" t="str">
        <f t="shared" ca="1" si="28"/>
        <v/>
      </c>
    </row>
    <row r="396" spans="1:27" x14ac:dyDescent="0.3">
      <c r="A396" t="s">
        <v>813</v>
      </c>
      <c r="B396" t="s">
        <v>814</v>
      </c>
      <c r="C396" t="s">
        <v>57</v>
      </c>
      <c r="D396" t="s">
        <v>13</v>
      </c>
      <c r="E396" s="1">
        <v>44576</v>
      </c>
      <c r="F396" t="s">
        <v>14</v>
      </c>
      <c r="G396">
        <v>4756</v>
      </c>
      <c r="H396">
        <v>7006</v>
      </c>
      <c r="I396">
        <v>3.99</v>
      </c>
      <c r="J396">
        <v>105</v>
      </c>
      <c r="P396">
        <f t="shared" ca="1" si="25"/>
        <v>1276</v>
      </c>
      <c r="Q396" t="str" cm="1">
        <f t="array" ref="Q396">_xlfn.IFS(I396&gt;=3.5,"Excellent", I396&gt;3,"Good",I396&gt;2,"Average",I396&lt;2,"Poor")</f>
        <v>Excellent</v>
      </c>
      <c r="S396" t="b">
        <f t="shared" si="26"/>
        <v>1</v>
      </c>
      <c r="U396">
        <f t="shared" si="27"/>
        <v>2022</v>
      </c>
      <c r="AA396" t="str">
        <f t="shared" ca="1" si="28"/>
        <v/>
      </c>
    </row>
    <row r="397" spans="1:27" x14ac:dyDescent="0.3">
      <c r="A397" t="s">
        <v>815</v>
      </c>
      <c r="B397" t="s">
        <v>816</v>
      </c>
      <c r="C397" t="s">
        <v>36</v>
      </c>
      <c r="D397" t="s">
        <v>13</v>
      </c>
      <c r="E397" s="1">
        <v>44882</v>
      </c>
      <c r="F397" t="s">
        <v>14</v>
      </c>
      <c r="G397">
        <v>3656</v>
      </c>
      <c r="H397">
        <v>2681</v>
      </c>
      <c r="I397">
        <v>3.13</v>
      </c>
      <c r="J397">
        <v>100</v>
      </c>
      <c r="P397">
        <f t="shared" ca="1" si="25"/>
        <v>970</v>
      </c>
      <c r="Q397" t="str" cm="1">
        <f t="array" ref="Q397">_xlfn.IFS(I397&gt;=3.5,"Excellent", I397&gt;3,"Good",I397&gt;2,"Average",I397&lt;2,"Poor")</f>
        <v>Good</v>
      </c>
      <c r="S397" t="b">
        <f t="shared" si="26"/>
        <v>1</v>
      </c>
      <c r="U397">
        <f t="shared" si="27"/>
        <v>2022</v>
      </c>
      <c r="AA397" t="str">
        <f t="shared" ca="1" si="28"/>
        <v/>
      </c>
    </row>
    <row r="398" spans="1:27" x14ac:dyDescent="0.3">
      <c r="A398" t="s">
        <v>817</v>
      </c>
      <c r="B398" t="s">
        <v>818</v>
      </c>
      <c r="C398" t="s">
        <v>54</v>
      </c>
      <c r="D398" t="s">
        <v>62</v>
      </c>
      <c r="E398" s="1">
        <v>44846</v>
      </c>
      <c r="F398" t="s">
        <v>19</v>
      </c>
      <c r="G398">
        <v>10433</v>
      </c>
      <c r="H398">
        <v>4525</v>
      </c>
      <c r="I398">
        <v>3.29</v>
      </c>
      <c r="J398">
        <v>108</v>
      </c>
      <c r="P398" t="str">
        <f t="shared" ca="1" si="25"/>
        <v xml:space="preserve"> </v>
      </c>
      <c r="Q398" t="str" cm="1">
        <f t="array" ref="Q398">_xlfn.IFS(I398&gt;=3.5,"Excellent", I398&gt;3,"Good",I398&gt;2,"Average",I398&lt;2,"Poor")</f>
        <v>Good</v>
      </c>
      <c r="S398" t="str">
        <f t="shared" si="26"/>
        <v xml:space="preserve"> </v>
      </c>
      <c r="U398">
        <f t="shared" si="27"/>
        <v>2022</v>
      </c>
      <c r="AA398">
        <f t="shared" ca="1" si="28"/>
        <v>1006</v>
      </c>
    </row>
    <row r="399" spans="1:27" x14ac:dyDescent="0.3">
      <c r="A399" t="s">
        <v>819</v>
      </c>
      <c r="B399" t="s">
        <v>820</v>
      </c>
      <c r="C399" t="s">
        <v>12</v>
      </c>
      <c r="D399" t="s">
        <v>62</v>
      </c>
      <c r="E399" s="1">
        <v>44945</v>
      </c>
      <c r="F399" t="s">
        <v>14</v>
      </c>
      <c r="G399">
        <v>7176</v>
      </c>
      <c r="H399">
        <v>6289</v>
      </c>
      <c r="I399">
        <v>2.74</v>
      </c>
      <c r="J399">
        <v>8</v>
      </c>
      <c r="P399">
        <f t="shared" ca="1" si="25"/>
        <v>907</v>
      </c>
      <c r="Q399" t="str" cm="1">
        <f t="array" ref="Q399">_xlfn.IFS(I399&gt;=3.5,"Excellent", I399&gt;3,"Good",I399&gt;2,"Average",I399&lt;2,"Poor")</f>
        <v>Average</v>
      </c>
      <c r="S399" t="b">
        <f t="shared" si="26"/>
        <v>1</v>
      </c>
      <c r="U399">
        <f t="shared" si="27"/>
        <v>2023</v>
      </c>
      <c r="AA399" t="str">
        <f t="shared" ca="1" si="28"/>
        <v/>
      </c>
    </row>
    <row r="400" spans="1:27" x14ac:dyDescent="0.3">
      <c r="A400" t="s">
        <v>821</v>
      </c>
      <c r="B400" t="s">
        <v>822</v>
      </c>
      <c r="C400" t="s">
        <v>12</v>
      </c>
      <c r="D400" t="s">
        <v>31</v>
      </c>
      <c r="E400" s="1">
        <v>45209</v>
      </c>
      <c r="F400" t="s">
        <v>19</v>
      </c>
      <c r="G400">
        <v>4923</v>
      </c>
      <c r="H400">
        <v>4054</v>
      </c>
      <c r="I400">
        <v>2.95</v>
      </c>
      <c r="J400">
        <v>47</v>
      </c>
      <c r="P400" t="str">
        <f t="shared" ca="1" si="25"/>
        <v xml:space="preserve"> </v>
      </c>
      <c r="Q400" t="str" cm="1">
        <f t="array" ref="Q400">_xlfn.IFS(I400&gt;=3.5,"Excellent", I400&gt;3,"Good",I400&gt;2,"Average",I400&lt;2,"Poor")</f>
        <v>Average</v>
      </c>
      <c r="S400" t="b">
        <f t="shared" si="26"/>
        <v>1</v>
      </c>
      <c r="U400">
        <f t="shared" si="27"/>
        <v>2023</v>
      </c>
      <c r="AA400">
        <f t="shared" ca="1" si="28"/>
        <v>643</v>
      </c>
    </row>
    <row r="401" spans="1:27" x14ac:dyDescent="0.3">
      <c r="A401" t="s">
        <v>823</v>
      </c>
      <c r="B401" t="s">
        <v>824</v>
      </c>
      <c r="C401" t="s">
        <v>25</v>
      </c>
      <c r="D401" t="s">
        <v>18</v>
      </c>
      <c r="E401" s="1">
        <v>45169</v>
      </c>
      <c r="F401" t="s">
        <v>14</v>
      </c>
      <c r="G401">
        <v>11530</v>
      </c>
      <c r="H401">
        <v>8184</v>
      </c>
      <c r="I401">
        <v>2.92</v>
      </c>
      <c r="J401">
        <v>39</v>
      </c>
      <c r="P401">
        <f t="shared" ca="1" si="25"/>
        <v>683</v>
      </c>
      <c r="Q401" t="str" cm="1">
        <f t="array" ref="Q401">_xlfn.IFS(I401&gt;=3.5,"Excellent", I401&gt;3,"Good",I401&gt;2,"Average",I401&lt;2,"Poor")</f>
        <v>Average</v>
      </c>
      <c r="S401" t="b">
        <f t="shared" si="26"/>
        <v>1</v>
      </c>
      <c r="U401">
        <f t="shared" si="27"/>
        <v>2023</v>
      </c>
      <c r="AA401" t="str">
        <f t="shared" ca="1" si="28"/>
        <v/>
      </c>
    </row>
    <row r="402" spans="1:27" x14ac:dyDescent="0.3">
      <c r="A402" t="s">
        <v>825</v>
      </c>
      <c r="B402" t="s">
        <v>826</v>
      </c>
      <c r="C402" t="s">
        <v>36</v>
      </c>
      <c r="D402" t="s">
        <v>18</v>
      </c>
      <c r="E402" s="1">
        <v>44882</v>
      </c>
      <c r="F402" t="s">
        <v>14</v>
      </c>
      <c r="G402">
        <v>8885</v>
      </c>
      <c r="H402">
        <v>7872</v>
      </c>
      <c r="I402">
        <v>3.05</v>
      </c>
      <c r="J402">
        <v>90</v>
      </c>
      <c r="P402">
        <f t="shared" ca="1" si="25"/>
        <v>970</v>
      </c>
      <c r="Q402" t="str" cm="1">
        <f t="array" ref="Q402">_xlfn.IFS(I402&gt;=3.5,"Excellent", I402&gt;3,"Good",I402&gt;2,"Average",I402&lt;2,"Poor")</f>
        <v>Good</v>
      </c>
      <c r="S402" t="b">
        <f t="shared" si="26"/>
        <v>1</v>
      </c>
      <c r="U402">
        <f t="shared" si="27"/>
        <v>2022</v>
      </c>
      <c r="AA402" t="str">
        <f t="shared" ca="1" si="28"/>
        <v/>
      </c>
    </row>
    <row r="403" spans="1:27" x14ac:dyDescent="0.3">
      <c r="A403" t="s">
        <v>827</v>
      </c>
      <c r="B403" t="s">
        <v>828</v>
      </c>
      <c r="C403" t="s">
        <v>54</v>
      </c>
      <c r="D403" t="s">
        <v>31</v>
      </c>
      <c r="E403" s="1">
        <v>45451</v>
      </c>
      <c r="F403" t="s">
        <v>14</v>
      </c>
      <c r="G403">
        <v>10284</v>
      </c>
      <c r="H403">
        <v>3331</v>
      </c>
      <c r="I403">
        <v>2.88</v>
      </c>
      <c r="J403">
        <v>39</v>
      </c>
      <c r="P403">
        <f t="shared" ca="1" si="25"/>
        <v>401</v>
      </c>
      <c r="Q403" t="str" cm="1">
        <f t="array" ref="Q403">_xlfn.IFS(I403&gt;=3.5,"Excellent", I403&gt;3,"Good",I403&gt;2,"Average",I403&lt;2,"Poor")</f>
        <v>Average</v>
      </c>
      <c r="S403" t="str">
        <f t="shared" si="26"/>
        <v xml:space="preserve"> </v>
      </c>
      <c r="U403">
        <f t="shared" si="27"/>
        <v>2024</v>
      </c>
      <c r="AA403" t="str">
        <f t="shared" ca="1" si="28"/>
        <v/>
      </c>
    </row>
    <row r="404" spans="1:27" x14ac:dyDescent="0.3">
      <c r="A404" t="s">
        <v>829</v>
      </c>
      <c r="B404" t="s">
        <v>830</v>
      </c>
      <c r="C404" t="s">
        <v>36</v>
      </c>
      <c r="D404" t="s">
        <v>62</v>
      </c>
      <c r="E404" s="1">
        <v>44995</v>
      </c>
      <c r="F404" t="s">
        <v>19</v>
      </c>
      <c r="G404">
        <v>3783</v>
      </c>
      <c r="H404">
        <v>2017</v>
      </c>
      <c r="I404">
        <v>3.28</v>
      </c>
      <c r="J404">
        <v>88</v>
      </c>
      <c r="P404" t="str">
        <f t="shared" ca="1" si="25"/>
        <v xml:space="preserve"> </v>
      </c>
      <c r="Q404" t="str" cm="1">
        <f t="array" ref="Q404">_xlfn.IFS(I404&gt;=3.5,"Excellent", I404&gt;3,"Good",I404&gt;2,"Average",I404&lt;2,"Poor")</f>
        <v>Good</v>
      </c>
      <c r="S404" t="b">
        <f t="shared" si="26"/>
        <v>1</v>
      </c>
      <c r="U404">
        <f t="shared" si="27"/>
        <v>2023</v>
      </c>
      <c r="AA404">
        <f t="shared" ca="1" si="28"/>
        <v>857</v>
      </c>
    </row>
    <row r="405" spans="1:27" x14ac:dyDescent="0.3">
      <c r="A405" t="s">
        <v>831</v>
      </c>
      <c r="B405" t="s">
        <v>832</v>
      </c>
      <c r="C405" t="s">
        <v>57</v>
      </c>
      <c r="D405" t="s">
        <v>31</v>
      </c>
      <c r="E405" s="1">
        <v>45263</v>
      </c>
      <c r="F405" t="s">
        <v>39</v>
      </c>
      <c r="G405">
        <v>2286</v>
      </c>
      <c r="H405">
        <v>5321</v>
      </c>
      <c r="I405">
        <v>2.81</v>
      </c>
      <c r="J405">
        <v>111</v>
      </c>
      <c r="P405" t="str">
        <f t="shared" ca="1" si="25"/>
        <v xml:space="preserve"> </v>
      </c>
      <c r="Q405" t="str" cm="1">
        <f t="array" ref="Q405">_xlfn.IFS(I405&gt;=3.5,"Excellent", I405&gt;3,"Good",I405&gt;2,"Average",I405&lt;2,"Poor")</f>
        <v>Average</v>
      </c>
      <c r="S405" t="b">
        <f t="shared" si="26"/>
        <v>1</v>
      </c>
      <c r="U405">
        <f t="shared" si="27"/>
        <v>2023</v>
      </c>
      <c r="AA405" t="str">
        <f t="shared" ca="1" si="28"/>
        <v/>
      </c>
    </row>
    <row r="406" spans="1:27" x14ac:dyDescent="0.3">
      <c r="A406" t="s">
        <v>833</v>
      </c>
      <c r="B406" t="s">
        <v>834</v>
      </c>
      <c r="C406" t="s">
        <v>28</v>
      </c>
      <c r="D406" t="s">
        <v>13</v>
      </c>
      <c r="E406" s="1">
        <v>44916</v>
      </c>
      <c r="F406" t="s">
        <v>14</v>
      </c>
      <c r="G406">
        <v>6531</v>
      </c>
      <c r="H406">
        <v>6344</v>
      </c>
      <c r="I406">
        <v>3.86</v>
      </c>
      <c r="J406">
        <v>36</v>
      </c>
      <c r="P406">
        <f t="shared" ca="1" si="25"/>
        <v>936</v>
      </c>
      <c r="Q406" t="str" cm="1">
        <f t="array" ref="Q406">_xlfn.IFS(I406&gt;=3.5,"Excellent", I406&gt;3,"Good",I406&gt;2,"Average",I406&lt;2,"Poor")</f>
        <v>Excellent</v>
      </c>
      <c r="S406" t="b">
        <f t="shared" si="26"/>
        <v>1</v>
      </c>
      <c r="U406">
        <f t="shared" si="27"/>
        <v>2022</v>
      </c>
      <c r="AA406" t="str">
        <f t="shared" ca="1" si="28"/>
        <v/>
      </c>
    </row>
    <row r="407" spans="1:27" x14ac:dyDescent="0.3">
      <c r="A407" t="s">
        <v>835</v>
      </c>
      <c r="B407" t="s">
        <v>836</v>
      </c>
      <c r="C407" t="s">
        <v>28</v>
      </c>
      <c r="D407" t="s">
        <v>13</v>
      </c>
      <c r="E407" s="1">
        <v>44674</v>
      </c>
      <c r="F407" t="s">
        <v>14</v>
      </c>
      <c r="G407">
        <v>5496</v>
      </c>
      <c r="H407">
        <v>3092</v>
      </c>
      <c r="I407">
        <v>3.83</v>
      </c>
      <c r="J407">
        <v>71</v>
      </c>
      <c r="P407">
        <f t="shared" ca="1" si="25"/>
        <v>1178</v>
      </c>
      <c r="Q407" t="str" cm="1">
        <f t="array" ref="Q407">_xlfn.IFS(I407&gt;=3.5,"Excellent", I407&gt;3,"Good",I407&gt;2,"Average",I407&lt;2,"Poor")</f>
        <v>Excellent</v>
      </c>
      <c r="S407" t="b">
        <f t="shared" si="26"/>
        <v>1</v>
      </c>
      <c r="U407">
        <f t="shared" si="27"/>
        <v>2022</v>
      </c>
      <c r="AA407" t="str">
        <f t="shared" ca="1" si="28"/>
        <v/>
      </c>
    </row>
    <row r="408" spans="1:27" x14ac:dyDescent="0.3">
      <c r="A408" t="s">
        <v>837</v>
      </c>
      <c r="B408" t="s">
        <v>838</v>
      </c>
      <c r="C408" t="s">
        <v>54</v>
      </c>
      <c r="D408" t="s">
        <v>13</v>
      </c>
      <c r="E408" s="1">
        <v>44681</v>
      </c>
      <c r="F408" t="s">
        <v>14</v>
      </c>
      <c r="G408">
        <v>8341</v>
      </c>
      <c r="H408">
        <v>2639</v>
      </c>
      <c r="I408">
        <v>3.15</v>
      </c>
      <c r="J408">
        <v>39</v>
      </c>
      <c r="P408">
        <f t="shared" ca="1" si="25"/>
        <v>1171</v>
      </c>
      <c r="Q408" t="str" cm="1">
        <f t="array" ref="Q408">_xlfn.IFS(I408&gt;=3.5,"Excellent", I408&gt;3,"Good",I408&gt;2,"Average",I408&lt;2,"Poor")</f>
        <v>Good</v>
      </c>
      <c r="S408" t="str">
        <f t="shared" si="26"/>
        <v xml:space="preserve"> </v>
      </c>
      <c r="U408">
        <f t="shared" si="27"/>
        <v>2022</v>
      </c>
      <c r="AA408" t="str">
        <f t="shared" ca="1" si="28"/>
        <v/>
      </c>
    </row>
    <row r="409" spans="1:27" x14ac:dyDescent="0.3">
      <c r="A409" t="s">
        <v>839</v>
      </c>
      <c r="B409" t="s">
        <v>840</v>
      </c>
      <c r="C409" t="s">
        <v>54</v>
      </c>
      <c r="D409" t="s">
        <v>18</v>
      </c>
      <c r="E409" s="1">
        <v>44767</v>
      </c>
      <c r="F409" t="s">
        <v>19</v>
      </c>
      <c r="G409">
        <v>3900</v>
      </c>
      <c r="H409">
        <v>8192</v>
      </c>
      <c r="I409">
        <v>3.46</v>
      </c>
      <c r="J409">
        <v>1</v>
      </c>
      <c r="P409" t="str">
        <f t="shared" ca="1" si="25"/>
        <v xml:space="preserve"> </v>
      </c>
      <c r="Q409" t="str" cm="1">
        <f t="array" ref="Q409">_xlfn.IFS(I409&gt;=3.5,"Excellent", I409&gt;3,"Good",I409&gt;2,"Average",I409&lt;2,"Poor")</f>
        <v>Good</v>
      </c>
      <c r="S409" t="b">
        <f t="shared" si="26"/>
        <v>1</v>
      </c>
      <c r="U409">
        <f t="shared" si="27"/>
        <v>2022</v>
      </c>
      <c r="AA409">
        <f t="shared" ca="1" si="28"/>
        <v>1085</v>
      </c>
    </row>
    <row r="410" spans="1:27" x14ac:dyDescent="0.3">
      <c r="A410" t="s">
        <v>841</v>
      </c>
      <c r="B410" t="s">
        <v>842</v>
      </c>
      <c r="C410" t="s">
        <v>28</v>
      </c>
      <c r="D410" t="s">
        <v>13</v>
      </c>
      <c r="E410" s="1">
        <v>45451</v>
      </c>
      <c r="F410" t="s">
        <v>19</v>
      </c>
      <c r="G410">
        <v>10931</v>
      </c>
      <c r="H410">
        <v>768</v>
      </c>
      <c r="I410">
        <v>3.3</v>
      </c>
      <c r="J410">
        <v>97</v>
      </c>
      <c r="P410" t="str">
        <f t="shared" ca="1" si="25"/>
        <v xml:space="preserve"> </v>
      </c>
      <c r="Q410" t="str" cm="1">
        <f t="array" ref="Q410">_xlfn.IFS(I410&gt;=3.5,"Excellent", I410&gt;3,"Good",I410&gt;2,"Average",I410&lt;2,"Poor")</f>
        <v>Good</v>
      </c>
      <c r="S410" t="str">
        <f t="shared" si="26"/>
        <v xml:space="preserve"> </v>
      </c>
      <c r="U410">
        <f t="shared" si="27"/>
        <v>2024</v>
      </c>
      <c r="AA410">
        <f t="shared" ca="1" si="28"/>
        <v>401</v>
      </c>
    </row>
    <row r="411" spans="1:27" x14ac:dyDescent="0.3">
      <c r="A411" t="s">
        <v>843</v>
      </c>
      <c r="B411" t="s">
        <v>844</v>
      </c>
      <c r="C411" t="s">
        <v>28</v>
      </c>
      <c r="D411" t="s">
        <v>13</v>
      </c>
      <c r="E411" s="1">
        <v>45199</v>
      </c>
      <c r="F411" t="s">
        <v>14</v>
      </c>
      <c r="G411">
        <v>13786</v>
      </c>
      <c r="H411">
        <v>8660</v>
      </c>
      <c r="I411">
        <v>2.0499999999999998</v>
      </c>
      <c r="J411">
        <v>59</v>
      </c>
      <c r="P411">
        <f t="shared" ca="1" si="25"/>
        <v>653</v>
      </c>
      <c r="Q411" t="str" cm="1">
        <f t="array" ref="Q411">_xlfn.IFS(I411&gt;=3.5,"Excellent", I411&gt;3,"Good",I411&gt;2,"Average",I411&lt;2,"Poor")</f>
        <v>Average</v>
      </c>
      <c r="S411" t="b">
        <f t="shared" si="26"/>
        <v>1</v>
      </c>
      <c r="U411">
        <f t="shared" si="27"/>
        <v>2023</v>
      </c>
      <c r="AA411" t="str">
        <f t="shared" ca="1" si="28"/>
        <v/>
      </c>
    </row>
    <row r="412" spans="1:27" x14ac:dyDescent="0.3">
      <c r="A412" t="s">
        <v>845</v>
      </c>
      <c r="B412" t="s">
        <v>846</v>
      </c>
      <c r="C412" t="s">
        <v>28</v>
      </c>
      <c r="D412" t="s">
        <v>62</v>
      </c>
      <c r="E412" s="1">
        <v>45359</v>
      </c>
      <c r="F412" t="s">
        <v>19</v>
      </c>
      <c r="G412">
        <v>7556</v>
      </c>
      <c r="H412">
        <v>4121</v>
      </c>
      <c r="I412">
        <v>2.62</v>
      </c>
      <c r="J412">
        <v>109</v>
      </c>
      <c r="P412" t="str">
        <f t="shared" ca="1" si="25"/>
        <v xml:space="preserve"> </v>
      </c>
      <c r="Q412" t="str" cm="1">
        <f t="array" ref="Q412">_xlfn.IFS(I412&gt;=3.5,"Excellent", I412&gt;3,"Good",I412&gt;2,"Average",I412&lt;2,"Poor")</f>
        <v>Average</v>
      </c>
      <c r="S412" t="b">
        <f t="shared" si="26"/>
        <v>1</v>
      </c>
      <c r="U412">
        <f t="shared" si="27"/>
        <v>2024</v>
      </c>
      <c r="AA412">
        <f t="shared" ca="1" si="28"/>
        <v>493</v>
      </c>
    </row>
    <row r="413" spans="1:27" x14ac:dyDescent="0.3">
      <c r="A413" t="s">
        <v>847</v>
      </c>
      <c r="B413" t="s">
        <v>848</v>
      </c>
      <c r="C413" t="s">
        <v>12</v>
      </c>
      <c r="D413" t="s">
        <v>62</v>
      </c>
      <c r="E413" s="1">
        <v>45088</v>
      </c>
      <c r="F413" t="s">
        <v>14</v>
      </c>
      <c r="G413">
        <v>2531</v>
      </c>
      <c r="H413">
        <v>864</v>
      </c>
      <c r="I413">
        <v>2.9</v>
      </c>
      <c r="J413">
        <v>20</v>
      </c>
      <c r="P413">
        <f t="shared" ca="1" si="25"/>
        <v>764</v>
      </c>
      <c r="Q413" t="str" cm="1">
        <f t="array" ref="Q413">_xlfn.IFS(I413&gt;=3.5,"Excellent", I413&gt;3,"Good",I413&gt;2,"Average",I413&lt;2,"Poor")</f>
        <v>Average</v>
      </c>
      <c r="S413" t="str">
        <f t="shared" si="26"/>
        <v xml:space="preserve"> </v>
      </c>
      <c r="U413">
        <f t="shared" si="27"/>
        <v>2023</v>
      </c>
      <c r="AA413" t="str">
        <f t="shared" ca="1" si="28"/>
        <v/>
      </c>
    </row>
    <row r="414" spans="1:27" x14ac:dyDescent="0.3">
      <c r="A414" t="s">
        <v>849</v>
      </c>
      <c r="B414" t="s">
        <v>850</v>
      </c>
      <c r="C414" t="s">
        <v>25</v>
      </c>
      <c r="D414" t="s">
        <v>62</v>
      </c>
      <c r="E414" s="1">
        <v>45139</v>
      </c>
      <c r="F414" t="s">
        <v>14</v>
      </c>
      <c r="G414">
        <v>11002</v>
      </c>
      <c r="H414">
        <v>7136</v>
      </c>
      <c r="I414">
        <v>3.77</v>
      </c>
      <c r="J414">
        <v>43</v>
      </c>
      <c r="P414">
        <f t="shared" ca="1" si="25"/>
        <v>713</v>
      </c>
      <c r="Q414" t="str" cm="1">
        <f t="array" ref="Q414">_xlfn.IFS(I414&gt;=3.5,"Excellent", I414&gt;3,"Good",I414&gt;2,"Average",I414&lt;2,"Poor")</f>
        <v>Excellent</v>
      </c>
      <c r="S414" t="b">
        <f t="shared" si="26"/>
        <v>1</v>
      </c>
      <c r="U414">
        <f t="shared" si="27"/>
        <v>2023</v>
      </c>
      <c r="AA414" t="str">
        <f t="shared" ca="1" si="28"/>
        <v/>
      </c>
    </row>
    <row r="415" spans="1:27" x14ac:dyDescent="0.3">
      <c r="A415" t="s">
        <v>851</v>
      </c>
      <c r="B415" t="s">
        <v>852</v>
      </c>
      <c r="C415" t="s">
        <v>36</v>
      </c>
      <c r="D415" t="s">
        <v>13</v>
      </c>
      <c r="E415" s="1">
        <v>44950</v>
      </c>
      <c r="F415" t="s">
        <v>14</v>
      </c>
      <c r="G415">
        <v>11863</v>
      </c>
      <c r="H415">
        <v>3622</v>
      </c>
      <c r="I415">
        <v>3.98</v>
      </c>
      <c r="J415">
        <v>31</v>
      </c>
      <c r="P415">
        <f t="shared" ca="1" si="25"/>
        <v>902</v>
      </c>
      <c r="Q415" t="str" cm="1">
        <f t="array" ref="Q415">_xlfn.IFS(I415&gt;=3.5,"Excellent", I415&gt;3,"Good",I415&gt;2,"Average",I415&lt;2,"Poor")</f>
        <v>Excellent</v>
      </c>
      <c r="S415" t="str">
        <f t="shared" si="26"/>
        <v xml:space="preserve"> </v>
      </c>
      <c r="U415">
        <f t="shared" si="27"/>
        <v>2023</v>
      </c>
      <c r="AA415" t="str">
        <f t="shared" ca="1" si="28"/>
        <v/>
      </c>
    </row>
    <row r="416" spans="1:27" x14ac:dyDescent="0.3">
      <c r="A416" t="s">
        <v>853</v>
      </c>
      <c r="B416" t="s">
        <v>854</v>
      </c>
      <c r="C416" t="s">
        <v>17</v>
      </c>
      <c r="D416" t="s">
        <v>13</v>
      </c>
      <c r="E416" s="1">
        <v>44906</v>
      </c>
      <c r="F416" t="s">
        <v>14</v>
      </c>
      <c r="G416">
        <v>2264</v>
      </c>
      <c r="H416">
        <v>9265</v>
      </c>
      <c r="I416">
        <v>2.16</v>
      </c>
      <c r="J416">
        <v>73</v>
      </c>
      <c r="P416">
        <f t="shared" ca="1" si="25"/>
        <v>946</v>
      </c>
      <c r="Q416" t="str" cm="1">
        <f t="array" ref="Q416">_xlfn.IFS(I416&gt;=3.5,"Excellent", I416&gt;3,"Good",I416&gt;2,"Average",I416&lt;2,"Poor")</f>
        <v>Average</v>
      </c>
      <c r="S416" t="b">
        <f t="shared" si="26"/>
        <v>1</v>
      </c>
      <c r="U416">
        <f t="shared" si="27"/>
        <v>2022</v>
      </c>
      <c r="AA416" t="str">
        <f t="shared" ca="1" si="28"/>
        <v/>
      </c>
    </row>
    <row r="417" spans="1:27" x14ac:dyDescent="0.3">
      <c r="A417" t="s">
        <v>855</v>
      </c>
      <c r="B417" t="s">
        <v>856</v>
      </c>
      <c r="C417" t="s">
        <v>22</v>
      </c>
      <c r="D417" t="s">
        <v>31</v>
      </c>
      <c r="E417" s="1">
        <v>44899</v>
      </c>
      <c r="F417" t="s">
        <v>14</v>
      </c>
      <c r="G417">
        <v>10950</v>
      </c>
      <c r="H417">
        <v>9633</v>
      </c>
      <c r="I417">
        <v>2.75</v>
      </c>
      <c r="J417">
        <v>103</v>
      </c>
      <c r="P417">
        <f t="shared" ca="1" si="25"/>
        <v>953</v>
      </c>
      <c r="Q417" t="str" cm="1">
        <f t="array" ref="Q417">_xlfn.IFS(I417&gt;=3.5,"Excellent", I417&gt;3,"Good",I417&gt;2,"Average",I417&lt;2,"Poor")</f>
        <v>Average</v>
      </c>
      <c r="S417" t="b">
        <f t="shared" si="26"/>
        <v>1</v>
      </c>
      <c r="U417">
        <f t="shared" si="27"/>
        <v>2022</v>
      </c>
      <c r="AA417" t="str">
        <f t="shared" ca="1" si="28"/>
        <v/>
      </c>
    </row>
    <row r="418" spans="1:27" x14ac:dyDescent="0.3">
      <c r="A418" t="s">
        <v>857</v>
      </c>
      <c r="B418" t="s">
        <v>858</v>
      </c>
      <c r="C418" t="s">
        <v>54</v>
      </c>
      <c r="D418" t="s">
        <v>18</v>
      </c>
      <c r="E418" s="1">
        <v>44826</v>
      </c>
      <c r="F418" t="s">
        <v>14</v>
      </c>
      <c r="G418">
        <v>14054</v>
      </c>
      <c r="H418">
        <v>2816</v>
      </c>
      <c r="I418">
        <v>3.16</v>
      </c>
      <c r="J418">
        <v>72</v>
      </c>
      <c r="P418">
        <f t="shared" ca="1" si="25"/>
        <v>1026</v>
      </c>
      <c r="Q418" t="str" cm="1">
        <f t="array" ref="Q418">_xlfn.IFS(I418&gt;=3.5,"Excellent", I418&gt;3,"Good",I418&gt;2,"Average",I418&lt;2,"Poor")</f>
        <v>Good</v>
      </c>
      <c r="S418" t="str">
        <f t="shared" si="26"/>
        <v xml:space="preserve"> </v>
      </c>
      <c r="U418">
        <f t="shared" si="27"/>
        <v>2022</v>
      </c>
      <c r="AA418" t="str">
        <f t="shared" ca="1" si="28"/>
        <v/>
      </c>
    </row>
    <row r="419" spans="1:27" x14ac:dyDescent="0.3">
      <c r="A419" t="s">
        <v>859</v>
      </c>
      <c r="B419" t="s">
        <v>860</v>
      </c>
      <c r="C419" t="s">
        <v>17</v>
      </c>
      <c r="D419" t="s">
        <v>13</v>
      </c>
      <c r="E419" s="1">
        <v>44822</v>
      </c>
      <c r="F419" t="s">
        <v>14</v>
      </c>
      <c r="G419">
        <v>3844</v>
      </c>
      <c r="H419">
        <v>3972</v>
      </c>
      <c r="I419">
        <v>2.31</v>
      </c>
      <c r="J419">
        <v>57</v>
      </c>
      <c r="P419">
        <f t="shared" ca="1" si="25"/>
        <v>1030</v>
      </c>
      <c r="Q419" t="str" cm="1">
        <f t="array" ref="Q419">_xlfn.IFS(I419&gt;=3.5,"Excellent", I419&gt;3,"Good",I419&gt;2,"Average",I419&lt;2,"Poor")</f>
        <v>Average</v>
      </c>
      <c r="S419" t="b">
        <f t="shared" si="26"/>
        <v>1</v>
      </c>
      <c r="U419">
        <f t="shared" si="27"/>
        <v>2022</v>
      </c>
      <c r="AA419" t="str">
        <f t="shared" ca="1" si="28"/>
        <v/>
      </c>
    </row>
    <row r="420" spans="1:27" x14ac:dyDescent="0.3">
      <c r="A420" t="s">
        <v>861</v>
      </c>
      <c r="B420" t="s">
        <v>862</v>
      </c>
      <c r="C420" t="s">
        <v>17</v>
      </c>
      <c r="D420" t="s">
        <v>62</v>
      </c>
      <c r="E420" s="1">
        <v>44627</v>
      </c>
      <c r="F420" t="s">
        <v>19</v>
      </c>
      <c r="G420">
        <v>5442</v>
      </c>
      <c r="H420">
        <v>4647</v>
      </c>
      <c r="I420">
        <v>2.83</v>
      </c>
      <c r="J420">
        <v>23</v>
      </c>
      <c r="P420" t="str">
        <f t="shared" ca="1" si="25"/>
        <v xml:space="preserve"> </v>
      </c>
      <c r="Q420" t="str" cm="1">
        <f t="array" ref="Q420">_xlfn.IFS(I420&gt;=3.5,"Excellent", I420&gt;3,"Good",I420&gt;2,"Average",I420&lt;2,"Poor")</f>
        <v>Average</v>
      </c>
      <c r="S420" t="b">
        <f t="shared" si="26"/>
        <v>1</v>
      </c>
      <c r="U420">
        <f t="shared" si="27"/>
        <v>2022</v>
      </c>
      <c r="AA420">
        <f t="shared" ca="1" si="28"/>
        <v>1225</v>
      </c>
    </row>
    <row r="421" spans="1:27" x14ac:dyDescent="0.3">
      <c r="A421" t="s">
        <v>863</v>
      </c>
      <c r="B421" t="s">
        <v>864</v>
      </c>
      <c r="C421" t="s">
        <v>28</v>
      </c>
      <c r="D421" t="s">
        <v>18</v>
      </c>
      <c r="E421" s="1">
        <v>44745</v>
      </c>
      <c r="F421" t="s">
        <v>14</v>
      </c>
      <c r="G421">
        <v>6199</v>
      </c>
      <c r="H421">
        <v>3078</v>
      </c>
      <c r="I421">
        <v>3.4</v>
      </c>
      <c r="J421">
        <v>118</v>
      </c>
      <c r="P421">
        <f t="shared" ca="1" si="25"/>
        <v>1107</v>
      </c>
      <c r="Q421" t="str" cm="1">
        <f t="array" ref="Q421">_xlfn.IFS(I421&gt;=3.5,"Excellent", I421&gt;3,"Good",I421&gt;2,"Average",I421&lt;2,"Poor")</f>
        <v>Good</v>
      </c>
      <c r="S421" t="str">
        <f t="shared" si="26"/>
        <v xml:space="preserve"> </v>
      </c>
      <c r="U421">
        <f t="shared" si="27"/>
        <v>2022</v>
      </c>
      <c r="AA421" t="str">
        <f t="shared" ca="1" si="28"/>
        <v/>
      </c>
    </row>
    <row r="422" spans="1:27" x14ac:dyDescent="0.3">
      <c r="A422" t="s">
        <v>865</v>
      </c>
      <c r="B422" t="s">
        <v>866</v>
      </c>
      <c r="C422" t="s">
        <v>25</v>
      </c>
      <c r="D422" t="s">
        <v>18</v>
      </c>
      <c r="E422" s="1">
        <v>45394</v>
      </c>
      <c r="F422" t="s">
        <v>14</v>
      </c>
      <c r="G422">
        <v>14814</v>
      </c>
      <c r="H422">
        <v>8975</v>
      </c>
      <c r="I422">
        <v>3.52</v>
      </c>
      <c r="J422">
        <v>109</v>
      </c>
      <c r="P422">
        <f t="shared" ca="1" si="25"/>
        <v>458</v>
      </c>
      <c r="Q422" t="str" cm="1">
        <f t="array" ref="Q422">_xlfn.IFS(I422&gt;=3.5,"Excellent", I422&gt;3,"Good",I422&gt;2,"Average",I422&lt;2,"Poor")</f>
        <v>Excellent</v>
      </c>
      <c r="S422" t="b">
        <f t="shared" si="26"/>
        <v>1</v>
      </c>
      <c r="U422">
        <f t="shared" si="27"/>
        <v>2024</v>
      </c>
      <c r="AA422" t="str">
        <f t="shared" ca="1" si="28"/>
        <v/>
      </c>
    </row>
    <row r="423" spans="1:27" x14ac:dyDescent="0.3">
      <c r="A423" t="s">
        <v>867</v>
      </c>
      <c r="B423" t="s">
        <v>868</v>
      </c>
      <c r="C423" t="s">
        <v>12</v>
      </c>
      <c r="D423" t="s">
        <v>62</v>
      </c>
      <c r="E423" s="1">
        <v>45247</v>
      </c>
      <c r="F423" t="s">
        <v>19</v>
      </c>
      <c r="G423">
        <v>7031</v>
      </c>
      <c r="H423">
        <v>1727</v>
      </c>
      <c r="I423">
        <v>3.48</v>
      </c>
      <c r="J423">
        <v>25</v>
      </c>
      <c r="P423" t="str">
        <f t="shared" ca="1" si="25"/>
        <v xml:space="preserve"> </v>
      </c>
      <c r="Q423" t="str" cm="1">
        <f t="array" ref="Q423">_xlfn.IFS(I423&gt;=3.5,"Excellent", I423&gt;3,"Good",I423&gt;2,"Average",I423&lt;2,"Poor")</f>
        <v>Good</v>
      </c>
      <c r="S423" t="str">
        <f t="shared" si="26"/>
        <v xml:space="preserve"> </v>
      </c>
      <c r="U423">
        <f t="shared" si="27"/>
        <v>2023</v>
      </c>
      <c r="AA423">
        <f t="shared" ca="1" si="28"/>
        <v>605</v>
      </c>
    </row>
    <row r="424" spans="1:27" x14ac:dyDescent="0.3">
      <c r="A424" t="s">
        <v>869</v>
      </c>
      <c r="B424" t="s">
        <v>870</v>
      </c>
      <c r="C424" t="s">
        <v>36</v>
      </c>
      <c r="D424" t="s">
        <v>13</v>
      </c>
      <c r="E424" s="1">
        <v>44758</v>
      </c>
      <c r="F424" t="s">
        <v>14</v>
      </c>
      <c r="G424">
        <v>12388</v>
      </c>
      <c r="H424">
        <v>9027</v>
      </c>
      <c r="I424">
        <v>2.42</v>
      </c>
      <c r="J424">
        <v>93</v>
      </c>
      <c r="P424">
        <f t="shared" ca="1" si="25"/>
        <v>1094</v>
      </c>
      <c r="Q424" t="str" cm="1">
        <f t="array" ref="Q424">_xlfn.IFS(I424&gt;=3.5,"Excellent", I424&gt;3,"Good",I424&gt;2,"Average",I424&lt;2,"Poor")</f>
        <v>Average</v>
      </c>
      <c r="S424" t="b">
        <f t="shared" si="26"/>
        <v>1</v>
      </c>
      <c r="U424">
        <f t="shared" si="27"/>
        <v>2022</v>
      </c>
      <c r="AA424" t="str">
        <f t="shared" ca="1" si="28"/>
        <v/>
      </c>
    </row>
    <row r="425" spans="1:27" x14ac:dyDescent="0.3">
      <c r="A425" t="s">
        <v>871</v>
      </c>
      <c r="B425" t="s">
        <v>872</v>
      </c>
      <c r="C425" t="s">
        <v>54</v>
      </c>
      <c r="D425" t="s">
        <v>13</v>
      </c>
      <c r="E425" s="1">
        <v>45303</v>
      </c>
      <c r="F425" t="s">
        <v>19</v>
      </c>
      <c r="G425">
        <v>12003</v>
      </c>
      <c r="H425">
        <v>6828</v>
      </c>
      <c r="I425">
        <v>3.79</v>
      </c>
      <c r="J425">
        <v>69</v>
      </c>
      <c r="P425" t="str">
        <f t="shared" ca="1" si="25"/>
        <v xml:space="preserve"> </v>
      </c>
      <c r="Q425" t="str" cm="1">
        <f t="array" ref="Q425">_xlfn.IFS(I425&gt;=3.5,"Excellent", I425&gt;3,"Good",I425&gt;2,"Average",I425&lt;2,"Poor")</f>
        <v>Excellent</v>
      </c>
      <c r="S425" t="b">
        <f t="shared" si="26"/>
        <v>1</v>
      </c>
      <c r="U425">
        <f t="shared" si="27"/>
        <v>2024</v>
      </c>
      <c r="AA425">
        <f t="shared" ca="1" si="28"/>
        <v>549</v>
      </c>
    </row>
    <row r="426" spans="1:27" x14ac:dyDescent="0.3">
      <c r="A426" t="s">
        <v>873</v>
      </c>
      <c r="B426" t="s">
        <v>874</v>
      </c>
      <c r="C426" t="s">
        <v>17</v>
      </c>
      <c r="D426" t="s">
        <v>31</v>
      </c>
      <c r="E426" s="1">
        <v>45119</v>
      </c>
      <c r="F426" t="s">
        <v>14</v>
      </c>
      <c r="G426">
        <v>11667</v>
      </c>
      <c r="H426">
        <v>4710</v>
      </c>
      <c r="I426">
        <v>2.02</v>
      </c>
      <c r="J426">
        <v>45</v>
      </c>
      <c r="P426">
        <f t="shared" ca="1" si="25"/>
        <v>733</v>
      </c>
      <c r="Q426" t="str" cm="1">
        <f t="array" ref="Q426">_xlfn.IFS(I426&gt;=3.5,"Excellent", I426&gt;3,"Good",I426&gt;2,"Average",I426&lt;2,"Poor")</f>
        <v>Average</v>
      </c>
      <c r="S426" t="str">
        <f t="shared" si="26"/>
        <v xml:space="preserve"> </v>
      </c>
      <c r="U426">
        <f t="shared" si="27"/>
        <v>2023</v>
      </c>
      <c r="AA426" t="str">
        <f t="shared" ca="1" si="28"/>
        <v/>
      </c>
    </row>
    <row r="427" spans="1:27" x14ac:dyDescent="0.3">
      <c r="A427" t="s">
        <v>875</v>
      </c>
      <c r="B427" t="s">
        <v>876</v>
      </c>
      <c r="C427" t="s">
        <v>25</v>
      </c>
      <c r="D427" t="s">
        <v>62</v>
      </c>
      <c r="E427" s="1">
        <v>44714</v>
      </c>
      <c r="F427" t="s">
        <v>14</v>
      </c>
      <c r="G427">
        <v>12437</v>
      </c>
      <c r="H427">
        <v>4916</v>
      </c>
      <c r="I427">
        <v>2.25</v>
      </c>
      <c r="J427">
        <v>3</v>
      </c>
      <c r="P427">
        <f t="shared" ca="1" si="25"/>
        <v>1138</v>
      </c>
      <c r="Q427" t="str" cm="1">
        <f t="array" ref="Q427">_xlfn.IFS(I427&gt;=3.5,"Excellent", I427&gt;3,"Good",I427&gt;2,"Average",I427&lt;2,"Poor")</f>
        <v>Average</v>
      </c>
      <c r="S427" t="str">
        <f t="shared" si="26"/>
        <v xml:space="preserve"> </v>
      </c>
      <c r="U427">
        <f t="shared" si="27"/>
        <v>2022</v>
      </c>
      <c r="AA427" t="str">
        <f t="shared" ca="1" si="28"/>
        <v/>
      </c>
    </row>
    <row r="428" spans="1:27" x14ac:dyDescent="0.3">
      <c r="A428" t="s">
        <v>877</v>
      </c>
      <c r="B428" t="s">
        <v>878</v>
      </c>
      <c r="C428" t="s">
        <v>28</v>
      </c>
      <c r="D428" t="s">
        <v>18</v>
      </c>
      <c r="E428" s="1">
        <v>45442</v>
      </c>
      <c r="F428" t="s">
        <v>14</v>
      </c>
      <c r="G428">
        <v>7135</v>
      </c>
      <c r="H428">
        <v>4567</v>
      </c>
      <c r="I428">
        <v>3.08</v>
      </c>
      <c r="J428">
        <v>66</v>
      </c>
      <c r="P428">
        <f t="shared" ca="1" si="25"/>
        <v>410</v>
      </c>
      <c r="Q428" t="str" cm="1">
        <f t="array" ref="Q428">_xlfn.IFS(I428&gt;=3.5,"Excellent", I428&gt;3,"Good",I428&gt;2,"Average",I428&lt;2,"Poor")</f>
        <v>Good</v>
      </c>
      <c r="S428" t="b">
        <f t="shared" si="26"/>
        <v>1</v>
      </c>
      <c r="U428">
        <f t="shared" si="27"/>
        <v>2024</v>
      </c>
      <c r="AA428" t="str">
        <f t="shared" ca="1" si="28"/>
        <v/>
      </c>
    </row>
    <row r="429" spans="1:27" x14ac:dyDescent="0.3">
      <c r="A429" t="s">
        <v>879</v>
      </c>
      <c r="B429" t="s">
        <v>880</v>
      </c>
      <c r="C429" t="s">
        <v>25</v>
      </c>
      <c r="D429" t="s">
        <v>13</v>
      </c>
      <c r="E429" s="1">
        <v>44969</v>
      </c>
      <c r="F429" t="s">
        <v>39</v>
      </c>
      <c r="G429">
        <v>13450</v>
      </c>
      <c r="H429">
        <v>2890</v>
      </c>
      <c r="I429">
        <v>2.15</v>
      </c>
      <c r="J429">
        <v>45</v>
      </c>
      <c r="P429" t="str">
        <f t="shared" ca="1" si="25"/>
        <v xml:space="preserve"> </v>
      </c>
      <c r="Q429" t="str" cm="1">
        <f t="array" ref="Q429">_xlfn.IFS(I429&gt;=3.5,"Excellent", I429&gt;3,"Good",I429&gt;2,"Average",I429&lt;2,"Poor")</f>
        <v>Average</v>
      </c>
      <c r="S429" t="str">
        <f t="shared" si="26"/>
        <v xml:space="preserve"> </v>
      </c>
      <c r="U429">
        <f t="shared" si="27"/>
        <v>2023</v>
      </c>
      <c r="AA429" t="str">
        <f t="shared" ca="1" si="28"/>
        <v/>
      </c>
    </row>
    <row r="430" spans="1:27" x14ac:dyDescent="0.3">
      <c r="A430" t="s">
        <v>881</v>
      </c>
      <c r="B430" t="s">
        <v>882</v>
      </c>
      <c r="C430" t="s">
        <v>25</v>
      </c>
      <c r="D430" t="s">
        <v>13</v>
      </c>
      <c r="E430" s="1">
        <v>44968</v>
      </c>
      <c r="F430" t="s">
        <v>19</v>
      </c>
      <c r="G430">
        <v>4844</v>
      </c>
      <c r="H430">
        <v>4629</v>
      </c>
      <c r="I430">
        <v>3.53</v>
      </c>
      <c r="J430">
        <v>42</v>
      </c>
      <c r="P430" t="str">
        <f t="shared" ca="1" si="25"/>
        <v xml:space="preserve"> </v>
      </c>
      <c r="Q430" t="str" cm="1">
        <f t="array" ref="Q430">_xlfn.IFS(I430&gt;=3.5,"Excellent", I430&gt;3,"Good",I430&gt;2,"Average",I430&lt;2,"Poor")</f>
        <v>Excellent</v>
      </c>
      <c r="S430" t="b">
        <f t="shared" si="26"/>
        <v>1</v>
      </c>
      <c r="U430">
        <f t="shared" si="27"/>
        <v>2023</v>
      </c>
      <c r="AA430">
        <f t="shared" ca="1" si="28"/>
        <v>884</v>
      </c>
    </row>
    <row r="431" spans="1:27" x14ac:dyDescent="0.3">
      <c r="A431" t="s">
        <v>883</v>
      </c>
      <c r="B431" t="s">
        <v>884</v>
      </c>
      <c r="C431" t="s">
        <v>28</v>
      </c>
      <c r="D431" t="s">
        <v>18</v>
      </c>
      <c r="E431" s="1">
        <v>45001</v>
      </c>
      <c r="F431" t="s">
        <v>14</v>
      </c>
      <c r="G431">
        <v>6230</v>
      </c>
      <c r="H431">
        <v>9993</v>
      </c>
      <c r="I431">
        <v>3.22</v>
      </c>
      <c r="J431">
        <v>54</v>
      </c>
      <c r="P431">
        <f t="shared" ca="1" si="25"/>
        <v>851</v>
      </c>
      <c r="Q431" t="str" cm="1">
        <f t="array" ref="Q431">_xlfn.IFS(I431&gt;=3.5,"Excellent", I431&gt;3,"Good",I431&gt;2,"Average",I431&lt;2,"Poor")</f>
        <v>Good</v>
      </c>
      <c r="S431" t="b">
        <f t="shared" si="26"/>
        <v>1</v>
      </c>
      <c r="U431">
        <f t="shared" si="27"/>
        <v>2023</v>
      </c>
      <c r="AA431" t="str">
        <f t="shared" ca="1" si="28"/>
        <v/>
      </c>
    </row>
    <row r="432" spans="1:27" x14ac:dyDescent="0.3">
      <c r="A432" t="s">
        <v>885</v>
      </c>
      <c r="B432" t="s">
        <v>886</v>
      </c>
      <c r="C432" t="s">
        <v>25</v>
      </c>
      <c r="D432" t="s">
        <v>18</v>
      </c>
      <c r="E432" s="1">
        <v>44577</v>
      </c>
      <c r="F432" t="s">
        <v>14</v>
      </c>
      <c r="G432">
        <v>8045</v>
      </c>
      <c r="H432">
        <v>9544</v>
      </c>
      <c r="I432">
        <v>3.7</v>
      </c>
      <c r="J432">
        <v>112</v>
      </c>
      <c r="P432">
        <f t="shared" ca="1" si="25"/>
        <v>1275</v>
      </c>
      <c r="Q432" t="str" cm="1">
        <f t="array" ref="Q432">_xlfn.IFS(I432&gt;=3.5,"Excellent", I432&gt;3,"Good",I432&gt;2,"Average",I432&lt;2,"Poor")</f>
        <v>Excellent</v>
      </c>
      <c r="S432" t="b">
        <f t="shared" si="26"/>
        <v>1</v>
      </c>
      <c r="U432">
        <f t="shared" si="27"/>
        <v>2022</v>
      </c>
      <c r="AA432" t="str">
        <f t="shared" ca="1" si="28"/>
        <v/>
      </c>
    </row>
    <row r="433" spans="1:27" x14ac:dyDescent="0.3">
      <c r="A433" t="s">
        <v>887</v>
      </c>
      <c r="B433" t="s">
        <v>888</v>
      </c>
      <c r="C433" t="s">
        <v>25</v>
      </c>
      <c r="D433" t="s">
        <v>31</v>
      </c>
      <c r="E433" s="1">
        <v>45060</v>
      </c>
      <c r="F433" t="s">
        <v>14</v>
      </c>
      <c r="G433">
        <v>14341</v>
      </c>
      <c r="H433">
        <v>3156</v>
      </c>
      <c r="I433">
        <v>3.45</v>
      </c>
      <c r="J433">
        <v>34</v>
      </c>
      <c r="P433">
        <f t="shared" ca="1" si="25"/>
        <v>792</v>
      </c>
      <c r="Q433" t="str" cm="1">
        <f t="array" ref="Q433">_xlfn.IFS(I433&gt;=3.5,"Excellent", I433&gt;3,"Good",I433&gt;2,"Average",I433&lt;2,"Poor")</f>
        <v>Good</v>
      </c>
      <c r="S433" t="str">
        <f t="shared" si="26"/>
        <v xml:space="preserve"> </v>
      </c>
      <c r="U433">
        <f t="shared" si="27"/>
        <v>2023</v>
      </c>
      <c r="AA433" t="str">
        <f t="shared" ca="1" si="28"/>
        <v/>
      </c>
    </row>
    <row r="434" spans="1:27" x14ac:dyDescent="0.3">
      <c r="A434" t="s">
        <v>889</v>
      </c>
      <c r="B434" t="s">
        <v>890</v>
      </c>
      <c r="C434" t="s">
        <v>12</v>
      </c>
      <c r="D434" t="s">
        <v>13</v>
      </c>
      <c r="E434" s="1">
        <v>45186</v>
      </c>
      <c r="F434" t="s">
        <v>39</v>
      </c>
      <c r="G434">
        <v>12361</v>
      </c>
      <c r="H434">
        <v>7447</v>
      </c>
      <c r="I434">
        <v>2.37</v>
      </c>
      <c r="J434">
        <v>62</v>
      </c>
      <c r="P434" t="str">
        <f t="shared" ca="1" si="25"/>
        <v xml:space="preserve"> </v>
      </c>
      <c r="Q434" t="str" cm="1">
        <f t="array" ref="Q434">_xlfn.IFS(I434&gt;=3.5,"Excellent", I434&gt;3,"Good",I434&gt;2,"Average",I434&lt;2,"Poor")</f>
        <v>Average</v>
      </c>
      <c r="S434" t="b">
        <f t="shared" si="26"/>
        <v>1</v>
      </c>
      <c r="U434">
        <f t="shared" si="27"/>
        <v>2023</v>
      </c>
      <c r="AA434" t="str">
        <f t="shared" ca="1" si="28"/>
        <v/>
      </c>
    </row>
    <row r="435" spans="1:27" x14ac:dyDescent="0.3">
      <c r="A435" t="s">
        <v>891</v>
      </c>
      <c r="B435" t="s">
        <v>892</v>
      </c>
      <c r="C435" t="s">
        <v>17</v>
      </c>
      <c r="D435" t="s">
        <v>18</v>
      </c>
      <c r="E435" s="1">
        <v>45100</v>
      </c>
      <c r="F435" t="s">
        <v>14</v>
      </c>
      <c r="G435">
        <v>5539</v>
      </c>
      <c r="H435">
        <v>4162</v>
      </c>
      <c r="I435">
        <v>2.06</v>
      </c>
      <c r="J435">
        <v>41</v>
      </c>
      <c r="P435">
        <f t="shared" ca="1" si="25"/>
        <v>752</v>
      </c>
      <c r="Q435" t="str" cm="1">
        <f t="array" ref="Q435">_xlfn.IFS(I435&gt;=3.5,"Excellent", I435&gt;3,"Good",I435&gt;2,"Average",I435&lt;2,"Poor")</f>
        <v>Average</v>
      </c>
      <c r="S435" t="b">
        <f t="shared" si="26"/>
        <v>1</v>
      </c>
      <c r="U435">
        <f t="shared" si="27"/>
        <v>2023</v>
      </c>
      <c r="AA435" t="str">
        <f t="shared" ca="1" si="28"/>
        <v/>
      </c>
    </row>
    <row r="436" spans="1:27" x14ac:dyDescent="0.3">
      <c r="A436" t="s">
        <v>893</v>
      </c>
      <c r="B436" t="s">
        <v>894</v>
      </c>
      <c r="C436" t="s">
        <v>22</v>
      </c>
      <c r="D436" t="s">
        <v>18</v>
      </c>
      <c r="E436" s="1">
        <v>45111</v>
      </c>
      <c r="F436" t="s">
        <v>19</v>
      </c>
      <c r="G436">
        <v>9848</v>
      </c>
      <c r="H436">
        <v>4265</v>
      </c>
      <c r="I436">
        <v>3.47</v>
      </c>
      <c r="J436">
        <v>24</v>
      </c>
      <c r="P436" t="str">
        <f t="shared" ca="1" si="25"/>
        <v xml:space="preserve"> </v>
      </c>
      <c r="Q436" t="str" cm="1">
        <f t="array" ref="Q436">_xlfn.IFS(I436&gt;=3.5,"Excellent", I436&gt;3,"Good",I436&gt;2,"Average",I436&lt;2,"Poor")</f>
        <v>Good</v>
      </c>
      <c r="S436" t="str">
        <f t="shared" si="26"/>
        <v xml:space="preserve"> </v>
      </c>
      <c r="U436">
        <f t="shared" si="27"/>
        <v>2023</v>
      </c>
      <c r="AA436">
        <f t="shared" ca="1" si="28"/>
        <v>741</v>
      </c>
    </row>
    <row r="437" spans="1:27" x14ac:dyDescent="0.3">
      <c r="A437" t="s">
        <v>895</v>
      </c>
      <c r="B437" t="s">
        <v>896</v>
      </c>
      <c r="C437" t="s">
        <v>25</v>
      </c>
      <c r="D437" t="s">
        <v>31</v>
      </c>
      <c r="E437" s="1">
        <v>44763</v>
      </c>
      <c r="F437" t="s">
        <v>14</v>
      </c>
      <c r="G437">
        <v>3572</v>
      </c>
      <c r="H437">
        <v>2564</v>
      </c>
      <c r="I437">
        <v>2.58</v>
      </c>
      <c r="J437">
        <v>15</v>
      </c>
      <c r="P437">
        <f t="shared" ca="1" si="25"/>
        <v>1089</v>
      </c>
      <c r="Q437" t="str" cm="1">
        <f t="array" ref="Q437">_xlfn.IFS(I437&gt;=3.5,"Excellent", I437&gt;3,"Good",I437&gt;2,"Average",I437&lt;2,"Poor")</f>
        <v>Average</v>
      </c>
      <c r="S437" t="b">
        <f t="shared" si="26"/>
        <v>1</v>
      </c>
      <c r="U437">
        <f t="shared" si="27"/>
        <v>2022</v>
      </c>
      <c r="AA437" t="str">
        <f t="shared" ca="1" si="28"/>
        <v/>
      </c>
    </row>
    <row r="438" spans="1:27" x14ac:dyDescent="0.3">
      <c r="A438" t="s">
        <v>897</v>
      </c>
      <c r="B438" t="s">
        <v>898</v>
      </c>
      <c r="C438" t="s">
        <v>54</v>
      </c>
      <c r="D438" t="s">
        <v>31</v>
      </c>
      <c r="E438" s="1">
        <v>45382</v>
      </c>
      <c r="F438" t="s">
        <v>14</v>
      </c>
      <c r="G438">
        <v>10473</v>
      </c>
      <c r="H438">
        <v>6758</v>
      </c>
      <c r="I438">
        <v>2.06</v>
      </c>
      <c r="J438">
        <v>89</v>
      </c>
      <c r="P438">
        <f t="shared" ca="1" si="25"/>
        <v>470</v>
      </c>
      <c r="Q438" t="str" cm="1">
        <f t="array" ref="Q438">_xlfn.IFS(I438&gt;=3.5,"Excellent", I438&gt;3,"Good",I438&gt;2,"Average",I438&lt;2,"Poor")</f>
        <v>Average</v>
      </c>
      <c r="S438" t="b">
        <f t="shared" si="26"/>
        <v>1</v>
      </c>
      <c r="U438">
        <f t="shared" si="27"/>
        <v>2024</v>
      </c>
      <c r="AA438" t="str">
        <f t="shared" ca="1" si="28"/>
        <v/>
      </c>
    </row>
    <row r="439" spans="1:27" x14ac:dyDescent="0.3">
      <c r="A439" t="s">
        <v>899</v>
      </c>
      <c r="B439" t="s">
        <v>900</v>
      </c>
      <c r="C439" t="s">
        <v>54</v>
      </c>
      <c r="D439" t="s">
        <v>13</v>
      </c>
      <c r="E439" s="1">
        <v>45384</v>
      </c>
      <c r="F439" t="s">
        <v>14</v>
      </c>
      <c r="G439">
        <v>14206</v>
      </c>
      <c r="H439">
        <v>7664</v>
      </c>
      <c r="I439">
        <v>2.93</v>
      </c>
      <c r="J439">
        <v>107</v>
      </c>
      <c r="P439">
        <f t="shared" ca="1" si="25"/>
        <v>468</v>
      </c>
      <c r="Q439" t="str" cm="1">
        <f t="array" ref="Q439">_xlfn.IFS(I439&gt;=3.5,"Excellent", I439&gt;3,"Good",I439&gt;2,"Average",I439&lt;2,"Poor")</f>
        <v>Average</v>
      </c>
      <c r="S439" t="b">
        <f t="shared" si="26"/>
        <v>1</v>
      </c>
      <c r="U439">
        <f t="shared" si="27"/>
        <v>2024</v>
      </c>
      <c r="AA439" t="str">
        <f t="shared" ca="1" si="28"/>
        <v/>
      </c>
    </row>
    <row r="440" spans="1:27" x14ac:dyDescent="0.3">
      <c r="A440" t="s">
        <v>901</v>
      </c>
      <c r="B440" t="s">
        <v>902</v>
      </c>
      <c r="C440" t="s">
        <v>28</v>
      </c>
      <c r="D440" t="s">
        <v>13</v>
      </c>
      <c r="E440" s="1">
        <v>45027</v>
      </c>
      <c r="F440" t="s">
        <v>14</v>
      </c>
      <c r="G440">
        <v>13152</v>
      </c>
      <c r="H440">
        <v>5009</v>
      </c>
      <c r="I440">
        <v>3.55</v>
      </c>
      <c r="J440">
        <v>32</v>
      </c>
      <c r="P440">
        <f t="shared" ca="1" si="25"/>
        <v>825</v>
      </c>
      <c r="Q440" t="str" cm="1">
        <f t="array" ref="Q440">_xlfn.IFS(I440&gt;=3.5,"Excellent", I440&gt;3,"Good",I440&gt;2,"Average",I440&lt;2,"Poor")</f>
        <v>Excellent</v>
      </c>
      <c r="S440" t="str">
        <f t="shared" si="26"/>
        <v xml:space="preserve"> </v>
      </c>
      <c r="U440">
        <f t="shared" si="27"/>
        <v>2023</v>
      </c>
      <c r="AA440" t="str">
        <f t="shared" ca="1" si="28"/>
        <v/>
      </c>
    </row>
    <row r="441" spans="1:27" x14ac:dyDescent="0.3">
      <c r="A441" t="s">
        <v>903</v>
      </c>
      <c r="B441" t="s">
        <v>904</v>
      </c>
      <c r="C441" t="s">
        <v>57</v>
      </c>
      <c r="D441" t="s">
        <v>18</v>
      </c>
      <c r="E441" s="1">
        <v>45136</v>
      </c>
      <c r="F441" t="s">
        <v>14</v>
      </c>
      <c r="G441">
        <v>4765</v>
      </c>
      <c r="H441">
        <v>8911</v>
      </c>
      <c r="I441">
        <v>3.2</v>
      </c>
      <c r="J441">
        <v>98</v>
      </c>
      <c r="P441">
        <f t="shared" ca="1" si="25"/>
        <v>716</v>
      </c>
      <c r="Q441" t="str" cm="1">
        <f t="array" ref="Q441">_xlfn.IFS(I441&gt;=3.5,"Excellent", I441&gt;3,"Good",I441&gt;2,"Average",I441&lt;2,"Poor")</f>
        <v>Good</v>
      </c>
      <c r="S441" t="b">
        <f t="shared" si="26"/>
        <v>1</v>
      </c>
      <c r="U441">
        <f t="shared" si="27"/>
        <v>2023</v>
      </c>
      <c r="AA441" t="str">
        <f t="shared" ca="1" si="28"/>
        <v/>
      </c>
    </row>
    <row r="442" spans="1:27" x14ac:dyDescent="0.3">
      <c r="A442" t="s">
        <v>905</v>
      </c>
      <c r="B442" t="s">
        <v>906</v>
      </c>
      <c r="C442" t="s">
        <v>12</v>
      </c>
      <c r="D442" t="s">
        <v>62</v>
      </c>
      <c r="E442" s="1">
        <v>44885</v>
      </c>
      <c r="F442" t="s">
        <v>14</v>
      </c>
      <c r="G442">
        <v>5955</v>
      </c>
      <c r="H442">
        <v>2658</v>
      </c>
      <c r="I442">
        <v>2.09</v>
      </c>
      <c r="J442">
        <v>28</v>
      </c>
      <c r="P442">
        <f t="shared" ca="1" si="25"/>
        <v>967</v>
      </c>
      <c r="Q442" t="str" cm="1">
        <f t="array" ref="Q442">_xlfn.IFS(I442&gt;=3.5,"Excellent", I442&gt;3,"Good",I442&gt;2,"Average",I442&lt;2,"Poor")</f>
        <v>Average</v>
      </c>
      <c r="S442" t="str">
        <f t="shared" si="26"/>
        <v xml:space="preserve"> </v>
      </c>
      <c r="U442">
        <f t="shared" si="27"/>
        <v>2022</v>
      </c>
      <c r="AA442" t="str">
        <f t="shared" ca="1" si="28"/>
        <v/>
      </c>
    </row>
    <row r="443" spans="1:27" x14ac:dyDescent="0.3">
      <c r="A443" t="s">
        <v>907</v>
      </c>
      <c r="B443" t="s">
        <v>908</v>
      </c>
      <c r="C443" t="s">
        <v>54</v>
      </c>
      <c r="D443" t="s">
        <v>31</v>
      </c>
      <c r="E443" s="1">
        <v>45415</v>
      </c>
      <c r="F443" t="s">
        <v>14</v>
      </c>
      <c r="G443">
        <v>7836</v>
      </c>
      <c r="H443">
        <v>4315</v>
      </c>
      <c r="I443">
        <v>3.51</v>
      </c>
      <c r="J443">
        <v>21</v>
      </c>
      <c r="P443">
        <f t="shared" ca="1" si="25"/>
        <v>437</v>
      </c>
      <c r="Q443" t="str" cm="1">
        <f t="array" ref="Q443">_xlfn.IFS(I443&gt;=3.5,"Excellent", I443&gt;3,"Good",I443&gt;2,"Average",I443&lt;2,"Poor")</f>
        <v>Excellent</v>
      </c>
      <c r="S443" t="b">
        <f t="shared" si="26"/>
        <v>1</v>
      </c>
      <c r="U443">
        <f t="shared" si="27"/>
        <v>2024</v>
      </c>
      <c r="AA443" t="str">
        <f t="shared" ca="1" si="28"/>
        <v/>
      </c>
    </row>
    <row r="444" spans="1:27" x14ac:dyDescent="0.3">
      <c r="A444" t="s">
        <v>909</v>
      </c>
      <c r="B444" t="s">
        <v>910</v>
      </c>
      <c r="C444" t="s">
        <v>54</v>
      </c>
      <c r="D444" t="s">
        <v>31</v>
      </c>
      <c r="E444" s="1">
        <v>45244</v>
      </c>
      <c r="F444" t="s">
        <v>39</v>
      </c>
      <c r="G444">
        <v>5721</v>
      </c>
      <c r="H444">
        <v>2408</v>
      </c>
      <c r="I444">
        <v>2.65</v>
      </c>
      <c r="J444">
        <v>95</v>
      </c>
      <c r="P444" t="str">
        <f t="shared" ca="1" si="25"/>
        <v xml:space="preserve"> </v>
      </c>
      <c r="Q444" t="str" cm="1">
        <f t="array" ref="Q444">_xlfn.IFS(I444&gt;=3.5,"Excellent", I444&gt;3,"Good",I444&gt;2,"Average",I444&lt;2,"Poor")</f>
        <v>Average</v>
      </c>
      <c r="S444" t="str">
        <f t="shared" si="26"/>
        <v xml:space="preserve"> </v>
      </c>
      <c r="U444">
        <f t="shared" si="27"/>
        <v>2023</v>
      </c>
      <c r="AA444" t="str">
        <f t="shared" ca="1" si="28"/>
        <v/>
      </c>
    </row>
    <row r="445" spans="1:27" x14ac:dyDescent="0.3">
      <c r="A445" t="s">
        <v>911</v>
      </c>
      <c r="B445" t="s">
        <v>912</v>
      </c>
      <c r="C445" t="s">
        <v>17</v>
      </c>
      <c r="D445" t="s">
        <v>31</v>
      </c>
      <c r="E445" s="1">
        <v>45020</v>
      </c>
      <c r="F445" t="s">
        <v>14</v>
      </c>
      <c r="G445">
        <v>11681</v>
      </c>
      <c r="H445">
        <v>8380</v>
      </c>
      <c r="I445">
        <v>2.21</v>
      </c>
      <c r="J445">
        <v>116</v>
      </c>
      <c r="P445">
        <f t="shared" ca="1" si="25"/>
        <v>832</v>
      </c>
      <c r="Q445" t="str" cm="1">
        <f t="array" ref="Q445">_xlfn.IFS(I445&gt;=3.5,"Excellent", I445&gt;3,"Good",I445&gt;2,"Average",I445&lt;2,"Poor")</f>
        <v>Average</v>
      </c>
      <c r="S445" t="b">
        <f t="shared" si="26"/>
        <v>1</v>
      </c>
      <c r="U445">
        <f t="shared" si="27"/>
        <v>2023</v>
      </c>
      <c r="AA445" t="str">
        <f t="shared" ca="1" si="28"/>
        <v/>
      </c>
    </row>
    <row r="446" spans="1:27" x14ac:dyDescent="0.3">
      <c r="A446" t="s">
        <v>913</v>
      </c>
      <c r="B446" t="s">
        <v>914</v>
      </c>
      <c r="C446" t="s">
        <v>57</v>
      </c>
      <c r="D446" t="s">
        <v>13</v>
      </c>
      <c r="E446" s="1">
        <v>44912</v>
      </c>
      <c r="F446" t="s">
        <v>14</v>
      </c>
      <c r="G446">
        <v>12943</v>
      </c>
      <c r="H446">
        <v>5191</v>
      </c>
      <c r="I446">
        <v>2.0099999999999998</v>
      </c>
      <c r="J446">
        <v>47</v>
      </c>
      <c r="P446">
        <f t="shared" ca="1" si="25"/>
        <v>940</v>
      </c>
      <c r="Q446" t="str" cm="1">
        <f t="array" ref="Q446">_xlfn.IFS(I446&gt;=3.5,"Excellent", I446&gt;3,"Good",I446&gt;2,"Average",I446&lt;2,"Poor")</f>
        <v>Average</v>
      </c>
      <c r="S446" t="str">
        <f t="shared" si="26"/>
        <v xml:space="preserve"> </v>
      </c>
      <c r="U446">
        <f t="shared" si="27"/>
        <v>2022</v>
      </c>
      <c r="AA446" t="str">
        <f t="shared" ca="1" si="28"/>
        <v/>
      </c>
    </row>
    <row r="447" spans="1:27" x14ac:dyDescent="0.3">
      <c r="A447" t="s">
        <v>915</v>
      </c>
      <c r="B447" t="s">
        <v>916</v>
      </c>
      <c r="C447" t="s">
        <v>57</v>
      </c>
      <c r="D447" t="s">
        <v>13</v>
      </c>
      <c r="E447" s="1">
        <v>45444</v>
      </c>
      <c r="F447" t="s">
        <v>39</v>
      </c>
      <c r="G447">
        <v>5062</v>
      </c>
      <c r="H447">
        <v>5198</v>
      </c>
      <c r="I447">
        <v>2.69</v>
      </c>
      <c r="J447">
        <v>20</v>
      </c>
      <c r="P447" t="str">
        <f t="shared" ca="1" si="25"/>
        <v xml:space="preserve"> </v>
      </c>
      <c r="Q447" t="str" cm="1">
        <f t="array" ref="Q447">_xlfn.IFS(I447&gt;=3.5,"Excellent", I447&gt;3,"Good",I447&gt;2,"Average",I447&lt;2,"Poor")</f>
        <v>Average</v>
      </c>
      <c r="S447" t="b">
        <f t="shared" si="26"/>
        <v>1</v>
      </c>
      <c r="U447">
        <f t="shared" si="27"/>
        <v>2024</v>
      </c>
      <c r="AA447" t="str">
        <f t="shared" ca="1" si="28"/>
        <v/>
      </c>
    </row>
    <row r="448" spans="1:27" x14ac:dyDescent="0.3">
      <c r="A448" t="s">
        <v>917</v>
      </c>
      <c r="B448" t="s">
        <v>918</v>
      </c>
      <c r="C448" t="s">
        <v>28</v>
      </c>
      <c r="D448" t="s">
        <v>13</v>
      </c>
      <c r="E448" s="1">
        <v>45055</v>
      </c>
      <c r="F448" t="s">
        <v>14</v>
      </c>
      <c r="G448">
        <v>12038</v>
      </c>
      <c r="H448">
        <v>5910</v>
      </c>
      <c r="I448">
        <v>3.02</v>
      </c>
      <c r="J448">
        <v>117</v>
      </c>
      <c r="P448">
        <f t="shared" ca="1" si="25"/>
        <v>797</v>
      </c>
      <c r="Q448" t="str" cm="1">
        <f t="array" ref="Q448">_xlfn.IFS(I448&gt;=3.5,"Excellent", I448&gt;3,"Good",I448&gt;2,"Average",I448&lt;2,"Poor")</f>
        <v>Good</v>
      </c>
      <c r="S448" t="str">
        <f t="shared" si="26"/>
        <v xml:space="preserve"> </v>
      </c>
      <c r="U448">
        <f t="shared" si="27"/>
        <v>2023</v>
      </c>
      <c r="AA448" t="str">
        <f t="shared" ca="1" si="28"/>
        <v/>
      </c>
    </row>
    <row r="449" spans="1:27" x14ac:dyDescent="0.3">
      <c r="A449" t="s">
        <v>919</v>
      </c>
      <c r="B449" t="s">
        <v>920</v>
      </c>
      <c r="C449" t="s">
        <v>22</v>
      </c>
      <c r="D449" t="s">
        <v>62</v>
      </c>
      <c r="E449" s="1">
        <v>44627</v>
      </c>
      <c r="F449" t="s">
        <v>14</v>
      </c>
      <c r="G449">
        <v>12484</v>
      </c>
      <c r="H449">
        <v>3462</v>
      </c>
      <c r="I449">
        <v>2.93</v>
      </c>
      <c r="J449">
        <v>41</v>
      </c>
      <c r="P449">
        <f t="shared" ca="1" si="25"/>
        <v>1225</v>
      </c>
      <c r="Q449" t="str" cm="1">
        <f t="array" ref="Q449">_xlfn.IFS(I449&gt;=3.5,"Excellent", I449&gt;3,"Good",I449&gt;2,"Average",I449&lt;2,"Poor")</f>
        <v>Average</v>
      </c>
      <c r="S449" t="str">
        <f t="shared" si="26"/>
        <v xml:space="preserve"> </v>
      </c>
      <c r="U449">
        <f t="shared" si="27"/>
        <v>2022</v>
      </c>
      <c r="AA449" t="str">
        <f t="shared" ca="1" si="28"/>
        <v/>
      </c>
    </row>
    <row r="450" spans="1:27" x14ac:dyDescent="0.3">
      <c r="A450" t="s">
        <v>921</v>
      </c>
      <c r="B450" t="s">
        <v>922</v>
      </c>
      <c r="C450" t="s">
        <v>17</v>
      </c>
      <c r="D450" t="s">
        <v>18</v>
      </c>
      <c r="E450" s="1">
        <v>44730</v>
      </c>
      <c r="F450" t="s">
        <v>14</v>
      </c>
      <c r="G450">
        <v>10278</v>
      </c>
      <c r="H450">
        <v>9891</v>
      </c>
      <c r="I450">
        <v>3.9</v>
      </c>
      <c r="J450">
        <v>105</v>
      </c>
      <c r="P450">
        <f t="shared" ca="1" si="25"/>
        <v>1122</v>
      </c>
      <c r="Q450" t="str" cm="1">
        <f t="array" ref="Q450">_xlfn.IFS(I450&gt;=3.5,"Excellent", I450&gt;3,"Good",I450&gt;2,"Average",I450&lt;2,"Poor")</f>
        <v>Excellent</v>
      </c>
      <c r="S450" t="b">
        <f t="shared" si="26"/>
        <v>1</v>
      </c>
      <c r="U450">
        <f t="shared" si="27"/>
        <v>2022</v>
      </c>
      <c r="AA450" t="str">
        <f t="shared" ca="1" si="28"/>
        <v/>
      </c>
    </row>
    <row r="451" spans="1:27" x14ac:dyDescent="0.3">
      <c r="A451" t="s">
        <v>923</v>
      </c>
      <c r="B451" t="s">
        <v>924</v>
      </c>
      <c r="C451" t="s">
        <v>36</v>
      </c>
      <c r="D451" t="s">
        <v>62</v>
      </c>
      <c r="E451" s="1">
        <v>45407</v>
      </c>
      <c r="F451" t="s">
        <v>19</v>
      </c>
      <c r="G451">
        <v>14666</v>
      </c>
      <c r="H451">
        <v>8402</v>
      </c>
      <c r="I451">
        <v>3.55</v>
      </c>
      <c r="J451">
        <v>22</v>
      </c>
      <c r="P451" t="str">
        <f t="shared" ref="P451:P514" ca="1" si="29">IF(F451="Enrolled",TODAY()-E451, " ")</f>
        <v xml:space="preserve"> </v>
      </c>
      <c r="Q451" t="str" cm="1">
        <f t="array" ref="Q451">_xlfn.IFS(I451&gt;=3.5,"Excellent", I451&gt;3,"Good",I451&gt;2,"Average",I451&lt;2,"Poor")</f>
        <v>Excellent</v>
      </c>
      <c r="S451" t="b">
        <f t="shared" ref="S451:S514" si="30">IF(H451&gt;0.5*G451,TRUE, " " )</f>
        <v>1</v>
      </c>
      <c r="U451">
        <f t="shared" ref="U451:U514" si="31">YEAR(E451)</f>
        <v>2024</v>
      </c>
      <c r="AA451">
        <f t="shared" ref="AA451:AA514" ca="1" si="32">IF(F451="Completed",TODAY()-E451,"")</f>
        <v>445</v>
      </c>
    </row>
    <row r="452" spans="1:27" x14ac:dyDescent="0.3">
      <c r="A452" t="s">
        <v>925</v>
      </c>
      <c r="B452" t="s">
        <v>926</v>
      </c>
      <c r="C452" t="s">
        <v>57</v>
      </c>
      <c r="D452" t="s">
        <v>62</v>
      </c>
      <c r="E452" s="1">
        <v>45027</v>
      </c>
      <c r="F452" t="s">
        <v>14</v>
      </c>
      <c r="G452">
        <v>5773</v>
      </c>
      <c r="H452">
        <v>2234</v>
      </c>
      <c r="I452">
        <v>3.22</v>
      </c>
      <c r="J452">
        <v>1</v>
      </c>
      <c r="P452">
        <f t="shared" ca="1" si="29"/>
        <v>825</v>
      </c>
      <c r="Q452" t="str" cm="1">
        <f t="array" ref="Q452">_xlfn.IFS(I452&gt;=3.5,"Excellent", I452&gt;3,"Good",I452&gt;2,"Average",I452&lt;2,"Poor")</f>
        <v>Good</v>
      </c>
      <c r="S452" t="str">
        <f t="shared" si="30"/>
        <v xml:space="preserve"> </v>
      </c>
      <c r="U452">
        <f t="shared" si="31"/>
        <v>2023</v>
      </c>
      <c r="AA452" t="str">
        <f t="shared" ca="1" si="32"/>
        <v/>
      </c>
    </row>
    <row r="453" spans="1:27" x14ac:dyDescent="0.3">
      <c r="A453" t="s">
        <v>927</v>
      </c>
      <c r="B453" t="s">
        <v>928</v>
      </c>
      <c r="C453" t="s">
        <v>17</v>
      </c>
      <c r="D453" t="s">
        <v>13</v>
      </c>
      <c r="E453" s="1">
        <v>45135</v>
      </c>
      <c r="F453" t="s">
        <v>19</v>
      </c>
      <c r="G453">
        <v>14561</v>
      </c>
      <c r="H453">
        <v>2548</v>
      </c>
      <c r="I453">
        <v>2.78</v>
      </c>
      <c r="J453">
        <v>73</v>
      </c>
      <c r="P453" t="str">
        <f t="shared" ca="1" si="29"/>
        <v xml:space="preserve"> </v>
      </c>
      <c r="Q453" t="str" cm="1">
        <f t="array" ref="Q453">_xlfn.IFS(I453&gt;=3.5,"Excellent", I453&gt;3,"Good",I453&gt;2,"Average",I453&lt;2,"Poor")</f>
        <v>Average</v>
      </c>
      <c r="S453" t="str">
        <f t="shared" si="30"/>
        <v xml:space="preserve"> </v>
      </c>
      <c r="U453">
        <f t="shared" si="31"/>
        <v>2023</v>
      </c>
      <c r="AA453">
        <f t="shared" ca="1" si="32"/>
        <v>717</v>
      </c>
    </row>
    <row r="454" spans="1:27" x14ac:dyDescent="0.3">
      <c r="A454" t="s">
        <v>929</v>
      </c>
      <c r="B454" t="s">
        <v>930</v>
      </c>
      <c r="C454" t="s">
        <v>17</v>
      </c>
      <c r="D454" t="s">
        <v>62</v>
      </c>
      <c r="E454" s="1">
        <v>44665</v>
      </c>
      <c r="F454" t="s">
        <v>14</v>
      </c>
      <c r="G454">
        <v>10266</v>
      </c>
      <c r="H454">
        <v>7787</v>
      </c>
      <c r="I454">
        <v>2.36</v>
      </c>
      <c r="J454">
        <v>97</v>
      </c>
      <c r="P454">
        <f t="shared" ca="1" si="29"/>
        <v>1187</v>
      </c>
      <c r="Q454" t="str" cm="1">
        <f t="array" ref="Q454">_xlfn.IFS(I454&gt;=3.5,"Excellent", I454&gt;3,"Good",I454&gt;2,"Average",I454&lt;2,"Poor")</f>
        <v>Average</v>
      </c>
      <c r="S454" t="b">
        <f t="shared" si="30"/>
        <v>1</v>
      </c>
      <c r="U454">
        <f t="shared" si="31"/>
        <v>2022</v>
      </c>
      <c r="AA454" t="str">
        <f t="shared" ca="1" si="32"/>
        <v/>
      </c>
    </row>
    <row r="455" spans="1:27" x14ac:dyDescent="0.3">
      <c r="A455" t="s">
        <v>931</v>
      </c>
      <c r="B455" t="s">
        <v>932</v>
      </c>
      <c r="C455" t="s">
        <v>57</v>
      </c>
      <c r="D455" t="s">
        <v>62</v>
      </c>
      <c r="E455" s="1">
        <v>45177</v>
      </c>
      <c r="F455" t="s">
        <v>14</v>
      </c>
      <c r="G455">
        <v>7631</v>
      </c>
      <c r="H455">
        <v>3737</v>
      </c>
      <c r="I455">
        <v>3.84</v>
      </c>
      <c r="J455">
        <v>84</v>
      </c>
      <c r="P455">
        <f t="shared" ca="1" si="29"/>
        <v>675</v>
      </c>
      <c r="Q455" t="str" cm="1">
        <f t="array" ref="Q455">_xlfn.IFS(I455&gt;=3.5,"Excellent", I455&gt;3,"Good",I455&gt;2,"Average",I455&lt;2,"Poor")</f>
        <v>Excellent</v>
      </c>
      <c r="S455" t="str">
        <f t="shared" si="30"/>
        <v xml:space="preserve"> </v>
      </c>
      <c r="U455">
        <f t="shared" si="31"/>
        <v>2023</v>
      </c>
      <c r="AA455" t="str">
        <f t="shared" ca="1" si="32"/>
        <v/>
      </c>
    </row>
    <row r="456" spans="1:27" x14ac:dyDescent="0.3">
      <c r="A456" t="s">
        <v>933</v>
      </c>
      <c r="B456" t="s">
        <v>934</v>
      </c>
      <c r="C456" t="s">
        <v>17</v>
      </c>
      <c r="D456" t="s">
        <v>13</v>
      </c>
      <c r="E456" s="1">
        <v>44606</v>
      </c>
      <c r="F456" t="s">
        <v>39</v>
      </c>
      <c r="G456">
        <v>8113</v>
      </c>
      <c r="H456">
        <v>5772</v>
      </c>
      <c r="I456">
        <v>2.13</v>
      </c>
      <c r="J456">
        <v>23</v>
      </c>
      <c r="P456" t="str">
        <f t="shared" ca="1" si="29"/>
        <v xml:space="preserve"> </v>
      </c>
      <c r="Q456" t="str" cm="1">
        <f t="array" ref="Q456">_xlfn.IFS(I456&gt;=3.5,"Excellent", I456&gt;3,"Good",I456&gt;2,"Average",I456&lt;2,"Poor")</f>
        <v>Average</v>
      </c>
      <c r="S456" t="b">
        <f t="shared" si="30"/>
        <v>1</v>
      </c>
      <c r="U456">
        <f t="shared" si="31"/>
        <v>2022</v>
      </c>
      <c r="AA456" t="str">
        <f t="shared" ca="1" si="32"/>
        <v/>
      </c>
    </row>
    <row r="457" spans="1:27" x14ac:dyDescent="0.3">
      <c r="A457" t="s">
        <v>935</v>
      </c>
      <c r="B457" t="s">
        <v>936</v>
      </c>
      <c r="C457" t="s">
        <v>54</v>
      </c>
      <c r="D457" t="s">
        <v>31</v>
      </c>
      <c r="E457" s="1">
        <v>44581</v>
      </c>
      <c r="F457" t="s">
        <v>39</v>
      </c>
      <c r="G457">
        <v>8188</v>
      </c>
      <c r="H457">
        <v>5814</v>
      </c>
      <c r="I457">
        <v>3.94</v>
      </c>
      <c r="J457">
        <v>48</v>
      </c>
      <c r="P457" t="str">
        <f t="shared" ca="1" si="29"/>
        <v xml:space="preserve"> </v>
      </c>
      <c r="Q457" t="str" cm="1">
        <f t="array" ref="Q457">_xlfn.IFS(I457&gt;=3.5,"Excellent", I457&gt;3,"Good",I457&gt;2,"Average",I457&lt;2,"Poor")</f>
        <v>Excellent</v>
      </c>
      <c r="S457" t="b">
        <f t="shared" si="30"/>
        <v>1</v>
      </c>
      <c r="U457">
        <f t="shared" si="31"/>
        <v>2022</v>
      </c>
      <c r="AA457" t="str">
        <f t="shared" ca="1" si="32"/>
        <v/>
      </c>
    </row>
    <row r="458" spans="1:27" x14ac:dyDescent="0.3">
      <c r="A458" t="s">
        <v>937</v>
      </c>
      <c r="B458" t="s">
        <v>938</v>
      </c>
      <c r="C458" t="s">
        <v>36</v>
      </c>
      <c r="D458" t="s">
        <v>13</v>
      </c>
      <c r="E458" s="1">
        <v>45397</v>
      </c>
      <c r="F458" t="s">
        <v>14</v>
      </c>
      <c r="G458">
        <v>11072</v>
      </c>
      <c r="H458">
        <v>3466</v>
      </c>
      <c r="I458">
        <v>2.4700000000000002</v>
      </c>
      <c r="J458">
        <v>2</v>
      </c>
      <c r="P458">
        <f t="shared" ca="1" si="29"/>
        <v>455</v>
      </c>
      <c r="Q458" t="str" cm="1">
        <f t="array" ref="Q458">_xlfn.IFS(I458&gt;=3.5,"Excellent", I458&gt;3,"Good",I458&gt;2,"Average",I458&lt;2,"Poor")</f>
        <v>Average</v>
      </c>
      <c r="S458" t="str">
        <f t="shared" si="30"/>
        <v xml:space="preserve"> </v>
      </c>
      <c r="U458">
        <f t="shared" si="31"/>
        <v>2024</v>
      </c>
      <c r="AA458" t="str">
        <f t="shared" ca="1" si="32"/>
        <v/>
      </c>
    </row>
    <row r="459" spans="1:27" x14ac:dyDescent="0.3">
      <c r="A459" t="s">
        <v>939</v>
      </c>
      <c r="B459" t="s">
        <v>940</v>
      </c>
      <c r="C459" t="s">
        <v>25</v>
      </c>
      <c r="D459" t="s">
        <v>31</v>
      </c>
      <c r="E459" s="1">
        <v>45338</v>
      </c>
      <c r="F459" t="s">
        <v>14</v>
      </c>
      <c r="G459">
        <v>10070</v>
      </c>
      <c r="H459">
        <v>6381</v>
      </c>
      <c r="I459">
        <v>2.36</v>
      </c>
      <c r="J459">
        <v>111</v>
      </c>
      <c r="P459">
        <f t="shared" ca="1" si="29"/>
        <v>514</v>
      </c>
      <c r="Q459" t="str" cm="1">
        <f t="array" ref="Q459">_xlfn.IFS(I459&gt;=3.5,"Excellent", I459&gt;3,"Good",I459&gt;2,"Average",I459&lt;2,"Poor")</f>
        <v>Average</v>
      </c>
      <c r="S459" t="b">
        <f t="shared" si="30"/>
        <v>1</v>
      </c>
      <c r="U459">
        <f t="shared" si="31"/>
        <v>2024</v>
      </c>
      <c r="AA459" t="str">
        <f t="shared" ca="1" si="32"/>
        <v/>
      </c>
    </row>
    <row r="460" spans="1:27" x14ac:dyDescent="0.3">
      <c r="A460" t="s">
        <v>941</v>
      </c>
      <c r="B460" t="s">
        <v>942</v>
      </c>
      <c r="C460" t="s">
        <v>25</v>
      </c>
      <c r="D460" t="s">
        <v>18</v>
      </c>
      <c r="E460" s="1">
        <v>44648</v>
      </c>
      <c r="F460" t="s">
        <v>19</v>
      </c>
      <c r="G460">
        <v>10311</v>
      </c>
      <c r="H460">
        <v>1376</v>
      </c>
      <c r="I460">
        <v>2.76</v>
      </c>
      <c r="J460">
        <v>104</v>
      </c>
      <c r="P460" t="str">
        <f t="shared" ca="1" si="29"/>
        <v xml:space="preserve"> </v>
      </c>
      <c r="Q460" t="str" cm="1">
        <f t="array" ref="Q460">_xlfn.IFS(I460&gt;=3.5,"Excellent", I460&gt;3,"Good",I460&gt;2,"Average",I460&lt;2,"Poor")</f>
        <v>Average</v>
      </c>
      <c r="S460" t="str">
        <f t="shared" si="30"/>
        <v xml:space="preserve"> </v>
      </c>
      <c r="U460">
        <f t="shared" si="31"/>
        <v>2022</v>
      </c>
      <c r="AA460">
        <f t="shared" ca="1" si="32"/>
        <v>1204</v>
      </c>
    </row>
    <row r="461" spans="1:27" x14ac:dyDescent="0.3">
      <c r="A461" t="s">
        <v>943</v>
      </c>
      <c r="B461" t="s">
        <v>944</v>
      </c>
      <c r="C461" t="s">
        <v>36</v>
      </c>
      <c r="D461" t="s">
        <v>31</v>
      </c>
      <c r="E461" s="1">
        <v>45308</v>
      </c>
      <c r="F461" t="s">
        <v>14</v>
      </c>
      <c r="G461">
        <v>7796</v>
      </c>
      <c r="H461">
        <v>7561</v>
      </c>
      <c r="I461">
        <v>2.42</v>
      </c>
      <c r="J461">
        <v>102</v>
      </c>
      <c r="P461">
        <f t="shared" ca="1" si="29"/>
        <v>544</v>
      </c>
      <c r="Q461" t="str" cm="1">
        <f t="array" ref="Q461">_xlfn.IFS(I461&gt;=3.5,"Excellent", I461&gt;3,"Good",I461&gt;2,"Average",I461&lt;2,"Poor")</f>
        <v>Average</v>
      </c>
      <c r="S461" t="b">
        <f t="shared" si="30"/>
        <v>1</v>
      </c>
      <c r="U461">
        <f t="shared" si="31"/>
        <v>2024</v>
      </c>
      <c r="AA461" t="str">
        <f t="shared" ca="1" si="32"/>
        <v/>
      </c>
    </row>
    <row r="462" spans="1:27" x14ac:dyDescent="0.3">
      <c r="A462" t="s">
        <v>945</v>
      </c>
      <c r="B462" t="s">
        <v>946</v>
      </c>
      <c r="C462" t="s">
        <v>17</v>
      </c>
      <c r="D462" t="s">
        <v>18</v>
      </c>
      <c r="E462" s="1">
        <v>45366</v>
      </c>
      <c r="F462" t="s">
        <v>14</v>
      </c>
      <c r="G462">
        <v>3923</v>
      </c>
      <c r="H462">
        <v>9125</v>
      </c>
      <c r="I462">
        <v>3.36</v>
      </c>
      <c r="J462">
        <v>63</v>
      </c>
      <c r="P462">
        <f t="shared" ca="1" si="29"/>
        <v>486</v>
      </c>
      <c r="Q462" t="str" cm="1">
        <f t="array" ref="Q462">_xlfn.IFS(I462&gt;=3.5,"Excellent", I462&gt;3,"Good",I462&gt;2,"Average",I462&lt;2,"Poor")</f>
        <v>Good</v>
      </c>
      <c r="S462" t="b">
        <f t="shared" si="30"/>
        <v>1</v>
      </c>
      <c r="U462">
        <f t="shared" si="31"/>
        <v>2024</v>
      </c>
      <c r="AA462" t="str">
        <f t="shared" ca="1" si="32"/>
        <v/>
      </c>
    </row>
    <row r="463" spans="1:27" x14ac:dyDescent="0.3">
      <c r="A463" t="s">
        <v>947</v>
      </c>
      <c r="B463" t="s">
        <v>948</v>
      </c>
      <c r="C463" t="s">
        <v>57</v>
      </c>
      <c r="D463" t="s">
        <v>18</v>
      </c>
      <c r="E463" s="1">
        <v>44968</v>
      </c>
      <c r="F463" t="s">
        <v>19</v>
      </c>
      <c r="G463">
        <v>11697</v>
      </c>
      <c r="H463">
        <v>6392</v>
      </c>
      <c r="I463">
        <v>2.61</v>
      </c>
      <c r="J463">
        <v>3</v>
      </c>
      <c r="P463" t="str">
        <f t="shared" ca="1" si="29"/>
        <v xml:space="preserve"> </v>
      </c>
      <c r="Q463" t="str" cm="1">
        <f t="array" ref="Q463">_xlfn.IFS(I463&gt;=3.5,"Excellent", I463&gt;3,"Good",I463&gt;2,"Average",I463&lt;2,"Poor")</f>
        <v>Average</v>
      </c>
      <c r="S463" t="b">
        <f t="shared" si="30"/>
        <v>1</v>
      </c>
      <c r="U463">
        <f t="shared" si="31"/>
        <v>2023</v>
      </c>
      <c r="AA463">
        <f t="shared" ca="1" si="32"/>
        <v>884</v>
      </c>
    </row>
    <row r="464" spans="1:27" x14ac:dyDescent="0.3">
      <c r="A464" t="s">
        <v>949</v>
      </c>
      <c r="B464" t="s">
        <v>950</v>
      </c>
      <c r="C464" t="s">
        <v>28</v>
      </c>
      <c r="D464" t="s">
        <v>18</v>
      </c>
      <c r="E464" s="1">
        <v>45440</v>
      </c>
      <c r="F464" t="s">
        <v>14</v>
      </c>
      <c r="G464">
        <v>2666</v>
      </c>
      <c r="H464">
        <v>2729</v>
      </c>
      <c r="I464">
        <v>2.94</v>
      </c>
      <c r="J464">
        <v>10</v>
      </c>
      <c r="P464">
        <f t="shared" ca="1" si="29"/>
        <v>412</v>
      </c>
      <c r="Q464" t="str" cm="1">
        <f t="array" ref="Q464">_xlfn.IFS(I464&gt;=3.5,"Excellent", I464&gt;3,"Good",I464&gt;2,"Average",I464&lt;2,"Poor")</f>
        <v>Average</v>
      </c>
      <c r="S464" t="b">
        <f t="shared" si="30"/>
        <v>1</v>
      </c>
      <c r="U464">
        <f t="shared" si="31"/>
        <v>2024</v>
      </c>
      <c r="AA464" t="str">
        <f t="shared" ca="1" si="32"/>
        <v/>
      </c>
    </row>
    <row r="465" spans="1:27" x14ac:dyDescent="0.3">
      <c r="A465" t="s">
        <v>951</v>
      </c>
      <c r="B465" t="s">
        <v>952</v>
      </c>
      <c r="C465" t="s">
        <v>12</v>
      </c>
      <c r="D465" t="s">
        <v>62</v>
      </c>
      <c r="E465" s="1">
        <v>44650</v>
      </c>
      <c r="F465" t="s">
        <v>14</v>
      </c>
      <c r="G465">
        <v>7947</v>
      </c>
      <c r="H465">
        <v>1</v>
      </c>
      <c r="I465">
        <v>3.25</v>
      </c>
      <c r="J465">
        <v>60</v>
      </c>
      <c r="P465">
        <f t="shared" ca="1" si="29"/>
        <v>1202</v>
      </c>
      <c r="Q465" t="str" cm="1">
        <f t="array" ref="Q465">_xlfn.IFS(I465&gt;=3.5,"Excellent", I465&gt;3,"Good",I465&gt;2,"Average",I465&lt;2,"Poor")</f>
        <v>Good</v>
      </c>
      <c r="S465" t="str">
        <f t="shared" si="30"/>
        <v xml:space="preserve"> </v>
      </c>
      <c r="U465">
        <f t="shared" si="31"/>
        <v>2022</v>
      </c>
      <c r="AA465" t="str">
        <f t="shared" ca="1" si="32"/>
        <v/>
      </c>
    </row>
    <row r="466" spans="1:27" x14ac:dyDescent="0.3">
      <c r="A466" t="s">
        <v>953</v>
      </c>
      <c r="B466" t="s">
        <v>954</v>
      </c>
      <c r="C466" t="s">
        <v>22</v>
      </c>
      <c r="D466" t="s">
        <v>31</v>
      </c>
      <c r="E466" s="1">
        <v>44983</v>
      </c>
      <c r="F466" t="s">
        <v>19</v>
      </c>
      <c r="G466">
        <v>10596</v>
      </c>
      <c r="H466">
        <v>9803</v>
      </c>
      <c r="I466">
        <v>2.16</v>
      </c>
      <c r="J466">
        <v>118</v>
      </c>
      <c r="P466" t="str">
        <f t="shared" ca="1" si="29"/>
        <v xml:space="preserve"> </v>
      </c>
      <c r="Q466" t="str" cm="1">
        <f t="array" ref="Q466">_xlfn.IFS(I466&gt;=3.5,"Excellent", I466&gt;3,"Good",I466&gt;2,"Average",I466&lt;2,"Poor")</f>
        <v>Average</v>
      </c>
      <c r="S466" t="b">
        <f t="shared" si="30"/>
        <v>1</v>
      </c>
      <c r="U466">
        <f t="shared" si="31"/>
        <v>2023</v>
      </c>
      <c r="AA466">
        <f t="shared" ca="1" si="32"/>
        <v>869</v>
      </c>
    </row>
    <row r="467" spans="1:27" x14ac:dyDescent="0.3">
      <c r="A467" t="s">
        <v>955</v>
      </c>
      <c r="B467" t="s">
        <v>956</v>
      </c>
      <c r="C467" t="s">
        <v>54</v>
      </c>
      <c r="D467" t="s">
        <v>31</v>
      </c>
      <c r="E467" s="1">
        <v>44807</v>
      </c>
      <c r="F467" t="s">
        <v>14</v>
      </c>
      <c r="G467">
        <v>8634</v>
      </c>
      <c r="H467">
        <v>3087</v>
      </c>
      <c r="I467">
        <v>3.44</v>
      </c>
      <c r="J467">
        <v>41</v>
      </c>
      <c r="P467">
        <f t="shared" ca="1" si="29"/>
        <v>1045</v>
      </c>
      <c r="Q467" t="str" cm="1">
        <f t="array" ref="Q467">_xlfn.IFS(I467&gt;=3.5,"Excellent", I467&gt;3,"Good",I467&gt;2,"Average",I467&lt;2,"Poor")</f>
        <v>Good</v>
      </c>
      <c r="S467" t="str">
        <f t="shared" si="30"/>
        <v xml:space="preserve"> </v>
      </c>
      <c r="U467">
        <f t="shared" si="31"/>
        <v>2022</v>
      </c>
      <c r="AA467" t="str">
        <f t="shared" ca="1" si="32"/>
        <v/>
      </c>
    </row>
    <row r="468" spans="1:27" x14ac:dyDescent="0.3">
      <c r="A468" t="s">
        <v>957</v>
      </c>
      <c r="B468" t="s">
        <v>958</v>
      </c>
      <c r="C468" t="s">
        <v>28</v>
      </c>
      <c r="D468" t="s">
        <v>31</v>
      </c>
      <c r="E468" s="1">
        <v>45060</v>
      </c>
      <c r="F468" t="s">
        <v>19</v>
      </c>
      <c r="G468">
        <v>10367</v>
      </c>
      <c r="H468">
        <v>4879</v>
      </c>
      <c r="I468">
        <v>3.24</v>
      </c>
      <c r="J468">
        <v>110</v>
      </c>
      <c r="P468" t="str">
        <f t="shared" ca="1" si="29"/>
        <v xml:space="preserve"> </v>
      </c>
      <c r="Q468" t="str" cm="1">
        <f t="array" ref="Q468">_xlfn.IFS(I468&gt;=3.5,"Excellent", I468&gt;3,"Good",I468&gt;2,"Average",I468&lt;2,"Poor")</f>
        <v>Good</v>
      </c>
      <c r="S468" t="str">
        <f t="shared" si="30"/>
        <v xml:space="preserve"> </v>
      </c>
      <c r="U468">
        <f t="shared" si="31"/>
        <v>2023</v>
      </c>
      <c r="AA468">
        <f t="shared" ca="1" si="32"/>
        <v>792</v>
      </c>
    </row>
    <row r="469" spans="1:27" x14ac:dyDescent="0.3">
      <c r="A469" t="s">
        <v>959</v>
      </c>
      <c r="B469" t="s">
        <v>960</v>
      </c>
      <c r="C469" t="s">
        <v>17</v>
      </c>
      <c r="D469" t="s">
        <v>13</v>
      </c>
      <c r="E469" s="1">
        <v>44765</v>
      </c>
      <c r="F469" t="s">
        <v>19</v>
      </c>
      <c r="G469">
        <v>10339</v>
      </c>
      <c r="H469">
        <v>2913</v>
      </c>
      <c r="I469">
        <v>2.92</v>
      </c>
      <c r="J469">
        <v>49</v>
      </c>
      <c r="P469" t="str">
        <f t="shared" ca="1" si="29"/>
        <v xml:space="preserve"> </v>
      </c>
      <c r="Q469" t="str" cm="1">
        <f t="array" ref="Q469">_xlfn.IFS(I469&gt;=3.5,"Excellent", I469&gt;3,"Good",I469&gt;2,"Average",I469&lt;2,"Poor")</f>
        <v>Average</v>
      </c>
      <c r="S469" t="str">
        <f t="shared" si="30"/>
        <v xml:space="preserve"> </v>
      </c>
      <c r="U469">
        <f t="shared" si="31"/>
        <v>2022</v>
      </c>
      <c r="AA469">
        <f t="shared" ca="1" si="32"/>
        <v>1087</v>
      </c>
    </row>
    <row r="470" spans="1:27" x14ac:dyDescent="0.3">
      <c r="A470" t="s">
        <v>961</v>
      </c>
      <c r="B470" t="s">
        <v>962</v>
      </c>
      <c r="C470" t="s">
        <v>57</v>
      </c>
      <c r="D470" t="s">
        <v>13</v>
      </c>
      <c r="E470" s="1">
        <v>45339</v>
      </c>
      <c r="F470" t="s">
        <v>19</v>
      </c>
      <c r="G470">
        <v>5503</v>
      </c>
      <c r="H470">
        <v>9605</v>
      </c>
      <c r="I470">
        <v>3.96</v>
      </c>
      <c r="J470">
        <v>35</v>
      </c>
      <c r="P470" t="str">
        <f t="shared" ca="1" si="29"/>
        <v xml:space="preserve"> </v>
      </c>
      <c r="Q470" t="str" cm="1">
        <f t="array" ref="Q470">_xlfn.IFS(I470&gt;=3.5,"Excellent", I470&gt;3,"Good",I470&gt;2,"Average",I470&lt;2,"Poor")</f>
        <v>Excellent</v>
      </c>
      <c r="S470" t="b">
        <f t="shared" si="30"/>
        <v>1</v>
      </c>
      <c r="U470">
        <f t="shared" si="31"/>
        <v>2024</v>
      </c>
      <c r="AA470">
        <f t="shared" ca="1" si="32"/>
        <v>513</v>
      </c>
    </row>
    <row r="471" spans="1:27" x14ac:dyDescent="0.3">
      <c r="A471" t="s">
        <v>963</v>
      </c>
      <c r="B471" t="s">
        <v>964</v>
      </c>
      <c r="C471" t="s">
        <v>25</v>
      </c>
      <c r="D471" t="s">
        <v>18</v>
      </c>
      <c r="E471" s="1">
        <v>44997</v>
      </c>
      <c r="F471" t="s">
        <v>19</v>
      </c>
      <c r="G471">
        <v>7289</v>
      </c>
      <c r="H471">
        <v>3200</v>
      </c>
      <c r="I471">
        <v>3.83</v>
      </c>
      <c r="J471">
        <v>73</v>
      </c>
      <c r="P471" t="str">
        <f t="shared" ca="1" si="29"/>
        <v xml:space="preserve"> </v>
      </c>
      <c r="Q471" t="str" cm="1">
        <f t="array" ref="Q471">_xlfn.IFS(I471&gt;=3.5,"Excellent", I471&gt;3,"Good",I471&gt;2,"Average",I471&lt;2,"Poor")</f>
        <v>Excellent</v>
      </c>
      <c r="S471" t="str">
        <f t="shared" si="30"/>
        <v xml:space="preserve"> </v>
      </c>
      <c r="U471">
        <f t="shared" si="31"/>
        <v>2023</v>
      </c>
      <c r="AA471">
        <f t="shared" ca="1" si="32"/>
        <v>855</v>
      </c>
    </row>
    <row r="472" spans="1:27" x14ac:dyDescent="0.3">
      <c r="A472" t="s">
        <v>965</v>
      </c>
      <c r="B472" t="s">
        <v>966</v>
      </c>
      <c r="C472" t="s">
        <v>25</v>
      </c>
      <c r="D472" t="s">
        <v>13</v>
      </c>
      <c r="E472" s="1">
        <v>44684</v>
      </c>
      <c r="F472" t="s">
        <v>14</v>
      </c>
      <c r="G472">
        <v>11474</v>
      </c>
      <c r="H472">
        <v>6902</v>
      </c>
      <c r="I472">
        <v>3.46</v>
      </c>
      <c r="J472">
        <v>91</v>
      </c>
      <c r="P472">
        <f t="shared" ca="1" si="29"/>
        <v>1168</v>
      </c>
      <c r="Q472" t="str" cm="1">
        <f t="array" ref="Q472">_xlfn.IFS(I472&gt;=3.5,"Excellent", I472&gt;3,"Good",I472&gt;2,"Average",I472&lt;2,"Poor")</f>
        <v>Good</v>
      </c>
      <c r="S472" t="b">
        <f t="shared" si="30"/>
        <v>1</v>
      </c>
      <c r="U472">
        <f t="shared" si="31"/>
        <v>2022</v>
      </c>
      <c r="AA472" t="str">
        <f t="shared" ca="1" si="32"/>
        <v/>
      </c>
    </row>
    <row r="473" spans="1:27" x14ac:dyDescent="0.3">
      <c r="A473" t="s">
        <v>967</v>
      </c>
      <c r="B473" t="s">
        <v>968</v>
      </c>
      <c r="C473" t="s">
        <v>28</v>
      </c>
      <c r="D473" t="s">
        <v>13</v>
      </c>
      <c r="E473" s="1">
        <v>45416</v>
      </c>
      <c r="F473" t="s">
        <v>39</v>
      </c>
      <c r="G473">
        <v>10970</v>
      </c>
      <c r="H473">
        <v>8625</v>
      </c>
      <c r="I473">
        <v>3.51</v>
      </c>
      <c r="J473">
        <v>9</v>
      </c>
      <c r="P473" t="str">
        <f t="shared" ca="1" si="29"/>
        <v xml:space="preserve"> </v>
      </c>
      <c r="Q473" t="str" cm="1">
        <f t="array" ref="Q473">_xlfn.IFS(I473&gt;=3.5,"Excellent", I473&gt;3,"Good",I473&gt;2,"Average",I473&lt;2,"Poor")</f>
        <v>Excellent</v>
      </c>
      <c r="S473" t="b">
        <f t="shared" si="30"/>
        <v>1</v>
      </c>
      <c r="U473">
        <f t="shared" si="31"/>
        <v>2024</v>
      </c>
      <c r="AA473" t="str">
        <f t="shared" ca="1" si="32"/>
        <v/>
      </c>
    </row>
    <row r="474" spans="1:27" x14ac:dyDescent="0.3">
      <c r="A474" t="s">
        <v>969</v>
      </c>
      <c r="B474" t="s">
        <v>970</v>
      </c>
      <c r="C474" t="s">
        <v>25</v>
      </c>
      <c r="D474" t="s">
        <v>13</v>
      </c>
      <c r="E474" s="1">
        <v>45260</v>
      </c>
      <c r="F474" t="s">
        <v>19</v>
      </c>
      <c r="G474">
        <v>10927</v>
      </c>
      <c r="H474">
        <v>1469</v>
      </c>
      <c r="I474">
        <v>3.19</v>
      </c>
      <c r="J474">
        <v>31</v>
      </c>
      <c r="P474" t="str">
        <f t="shared" ca="1" si="29"/>
        <v xml:space="preserve"> </v>
      </c>
      <c r="Q474" t="str" cm="1">
        <f t="array" ref="Q474">_xlfn.IFS(I474&gt;=3.5,"Excellent", I474&gt;3,"Good",I474&gt;2,"Average",I474&lt;2,"Poor")</f>
        <v>Good</v>
      </c>
      <c r="S474" t="str">
        <f t="shared" si="30"/>
        <v xml:space="preserve"> </v>
      </c>
      <c r="U474">
        <f t="shared" si="31"/>
        <v>2023</v>
      </c>
      <c r="AA474">
        <f t="shared" ca="1" si="32"/>
        <v>592</v>
      </c>
    </row>
    <row r="475" spans="1:27" x14ac:dyDescent="0.3">
      <c r="A475" t="s">
        <v>971</v>
      </c>
      <c r="B475" t="s">
        <v>972</v>
      </c>
      <c r="C475" t="s">
        <v>36</v>
      </c>
      <c r="D475" t="s">
        <v>62</v>
      </c>
      <c r="E475" s="1">
        <v>44765</v>
      </c>
      <c r="F475" t="s">
        <v>14</v>
      </c>
      <c r="G475">
        <v>8469</v>
      </c>
      <c r="H475">
        <v>371</v>
      </c>
      <c r="I475">
        <v>3.71</v>
      </c>
      <c r="J475">
        <v>9</v>
      </c>
      <c r="P475">
        <f t="shared" ca="1" si="29"/>
        <v>1087</v>
      </c>
      <c r="Q475" t="str" cm="1">
        <f t="array" ref="Q475">_xlfn.IFS(I475&gt;=3.5,"Excellent", I475&gt;3,"Good",I475&gt;2,"Average",I475&lt;2,"Poor")</f>
        <v>Excellent</v>
      </c>
      <c r="S475" t="str">
        <f t="shared" si="30"/>
        <v xml:space="preserve"> </v>
      </c>
      <c r="U475">
        <f t="shared" si="31"/>
        <v>2022</v>
      </c>
      <c r="AA475" t="str">
        <f t="shared" ca="1" si="32"/>
        <v/>
      </c>
    </row>
    <row r="476" spans="1:27" x14ac:dyDescent="0.3">
      <c r="A476" t="s">
        <v>973</v>
      </c>
      <c r="B476" t="s">
        <v>974</v>
      </c>
      <c r="C476" t="s">
        <v>57</v>
      </c>
      <c r="D476" t="s">
        <v>31</v>
      </c>
      <c r="E476" s="1">
        <v>44745</v>
      </c>
      <c r="F476" t="s">
        <v>14</v>
      </c>
      <c r="G476">
        <v>13334</v>
      </c>
      <c r="H476">
        <v>2799</v>
      </c>
      <c r="I476">
        <v>3.97</v>
      </c>
      <c r="J476">
        <v>57</v>
      </c>
      <c r="P476">
        <f t="shared" ca="1" si="29"/>
        <v>1107</v>
      </c>
      <c r="Q476" t="str" cm="1">
        <f t="array" ref="Q476">_xlfn.IFS(I476&gt;=3.5,"Excellent", I476&gt;3,"Good",I476&gt;2,"Average",I476&lt;2,"Poor")</f>
        <v>Excellent</v>
      </c>
      <c r="S476" t="str">
        <f t="shared" si="30"/>
        <v xml:space="preserve"> </v>
      </c>
      <c r="U476">
        <f t="shared" si="31"/>
        <v>2022</v>
      </c>
      <c r="AA476" t="str">
        <f t="shared" ca="1" si="32"/>
        <v/>
      </c>
    </row>
    <row r="477" spans="1:27" x14ac:dyDescent="0.3">
      <c r="A477" t="s">
        <v>975</v>
      </c>
      <c r="B477" t="s">
        <v>976</v>
      </c>
      <c r="C477" t="s">
        <v>25</v>
      </c>
      <c r="D477" t="s">
        <v>62</v>
      </c>
      <c r="E477" s="1">
        <v>44881</v>
      </c>
      <c r="F477" t="s">
        <v>14</v>
      </c>
      <c r="G477">
        <v>11400</v>
      </c>
      <c r="H477">
        <v>8573</v>
      </c>
      <c r="I477">
        <v>2.76</v>
      </c>
      <c r="J477">
        <v>0</v>
      </c>
      <c r="P477">
        <f t="shared" ca="1" si="29"/>
        <v>971</v>
      </c>
      <c r="Q477" t="str" cm="1">
        <f t="array" ref="Q477">_xlfn.IFS(I477&gt;=3.5,"Excellent", I477&gt;3,"Good",I477&gt;2,"Average",I477&lt;2,"Poor")</f>
        <v>Average</v>
      </c>
      <c r="S477" t="b">
        <f t="shared" si="30"/>
        <v>1</v>
      </c>
      <c r="U477">
        <f t="shared" si="31"/>
        <v>2022</v>
      </c>
      <c r="AA477" t="str">
        <f t="shared" ca="1" si="32"/>
        <v/>
      </c>
    </row>
    <row r="478" spans="1:27" x14ac:dyDescent="0.3">
      <c r="A478" t="s">
        <v>977</v>
      </c>
      <c r="B478" t="s">
        <v>978</v>
      </c>
      <c r="C478" t="s">
        <v>12</v>
      </c>
      <c r="D478" t="s">
        <v>18</v>
      </c>
      <c r="E478" s="1">
        <v>44876</v>
      </c>
      <c r="F478" t="s">
        <v>14</v>
      </c>
      <c r="G478">
        <v>11931</v>
      </c>
      <c r="H478">
        <v>6007</v>
      </c>
      <c r="I478">
        <v>3.96</v>
      </c>
      <c r="J478">
        <v>8</v>
      </c>
      <c r="P478">
        <f t="shared" ca="1" si="29"/>
        <v>976</v>
      </c>
      <c r="Q478" t="str" cm="1">
        <f t="array" ref="Q478">_xlfn.IFS(I478&gt;=3.5,"Excellent", I478&gt;3,"Good",I478&gt;2,"Average",I478&lt;2,"Poor")</f>
        <v>Excellent</v>
      </c>
      <c r="S478" t="b">
        <f t="shared" si="30"/>
        <v>1</v>
      </c>
      <c r="U478">
        <f t="shared" si="31"/>
        <v>2022</v>
      </c>
      <c r="AA478" t="str">
        <f t="shared" ca="1" si="32"/>
        <v/>
      </c>
    </row>
    <row r="479" spans="1:27" x14ac:dyDescent="0.3">
      <c r="A479" t="s">
        <v>979</v>
      </c>
      <c r="B479" t="s">
        <v>980</v>
      </c>
      <c r="C479" t="s">
        <v>22</v>
      </c>
      <c r="D479" t="s">
        <v>62</v>
      </c>
      <c r="E479" s="1">
        <v>44863</v>
      </c>
      <c r="F479" t="s">
        <v>14</v>
      </c>
      <c r="G479">
        <v>12019</v>
      </c>
      <c r="H479">
        <v>8711</v>
      </c>
      <c r="I479">
        <v>3.97</v>
      </c>
      <c r="J479">
        <v>12</v>
      </c>
      <c r="P479">
        <f t="shared" ca="1" si="29"/>
        <v>989</v>
      </c>
      <c r="Q479" t="str" cm="1">
        <f t="array" ref="Q479">_xlfn.IFS(I479&gt;=3.5,"Excellent", I479&gt;3,"Good",I479&gt;2,"Average",I479&lt;2,"Poor")</f>
        <v>Excellent</v>
      </c>
      <c r="S479" t="b">
        <f t="shared" si="30"/>
        <v>1</v>
      </c>
      <c r="U479">
        <f t="shared" si="31"/>
        <v>2022</v>
      </c>
      <c r="AA479" t="str">
        <f t="shared" ca="1" si="32"/>
        <v/>
      </c>
    </row>
    <row r="480" spans="1:27" x14ac:dyDescent="0.3">
      <c r="A480" t="s">
        <v>981</v>
      </c>
      <c r="B480" t="s">
        <v>982</v>
      </c>
      <c r="C480" t="s">
        <v>57</v>
      </c>
      <c r="D480" t="s">
        <v>31</v>
      </c>
      <c r="E480" s="1">
        <v>44756</v>
      </c>
      <c r="F480" t="s">
        <v>14</v>
      </c>
      <c r="G480">
        <v>6419</v>
      </c>
      <c r="H480">
        <v>1464</v>
      </c>
      <c r="I480">
        <v>2.97</v>
      </c>
      <c r="J480">
        <v>93</v>
      </c>
      <c r="P480">
        <f t="shared" ca="1" si="29"/>
        <v>1096</v>
      </c>
      <c r="Q480" t="str" cm="1">
        <f t="array" ref="Q480">_xlfn.IFS(I480&gt;=3.5,"Excellent", I480&gt;3,"Good",I480&gt;2,"Average",I480&lt;2,"Poor")</f>
        <v>Average</v>
      </c>
      <c r="S480" t="str">
        <f t="shared" si="30"/>
        <v xml:space="preserve"> </v>
      </c>
      <c r="U480">
        <f t="shared" si="31"/>
        <v>2022</v>
      </c>
      <c r="AA480" t="str">
        <f t="shared" ca="1" si="32"/>
        <v/>
      </c>
    </row>
    <row r="481" spans="1:27" x14ac:dyDescent="0.3">
      <c r="A481" t="s">
        <v>983</v>
      </c>
      <c r="B481" t="s">
        <v>984</v>
      </c>
      <c r="C481" t="s">
        <v>25</v>
      </c>
      <c r="D481" t="s">
        <v>31</v>
      </c>
      <c r="E481" s="1">
        <v>45070</v>
      </c>
      <c r="F481" t="s">
        <v>19</v>
      </c>
      <c r="G481">
        <v>3561</v>
      </c>
      <c r="H481">
        <v>6640</v>
      </c>
      <c r="I481">
        <v>2.02</v>
      </c>
      <c r="J481">
        <v>63</v>
      </c>
      <c r="P481" t="str">
        <f t="shared" ca="1" si="29"/>
        <v xml:space="preserve"> </v>
      </c>
      <c r="Q481" t="str" cm="1">
        <f t="array" ref="Q481">_xlfn.IFS(I481&gt;=3.5,"Excellent", I481&gt;3,"Good",I481&gt;2,"Average",I481&lt;2,"Poor")</f>
        <v>Average</v>
      </c>
      <c r="S481" t="b">
        <f t="shared" si="30"/>
        <v>1</v>
      </c>
      <c r="U481">
        <f t="shared" si="31"/>
        <v>2023</v>
      </c>
      <c r="AA481">
        <f t="shared" ca="1" si="32"/>
        <v>782</v>
      </c>
    </row>
    <row r="482" spans="1:27" x14ac:dyDescent="0.3">
      <c r="A482" t="s">
        <v>985</v>
      </c>
      <c r="B482" t="s">
        <v>986</v>
      </c>
      <c r="C482" t="s">
        <v>17</v>
      </c>
      <c r="D482" t="s">
        <v>31</v>
      </c>
      <c r="E482" s="1">
        <v>44799</v>
      </c>
      <c r="F482" t="s">
        <v>19</v>
      </c>
      <c r="G482">
        <v>3683</v>
      </c>
      <c r="H482">
        <v>1441</v>
      </c>
      <c r="I482">
        <v>2.31</v>
      </c>
      <c r="J482">
        <v>102</v>
      </c>
      <c r="P482" t="str">
        <f t="shared" ca="1" si="29"/>
        <v xml:space="preserve"> </v>
      </c>
      <c r="Q482" t="str" cm="1">
        <f t="array" ref="Q482">_xlfn.IFS(I482&gt;=3.5,"Excellent", I482&gt;3,"Good",I482&gt;2,"Average",I482&lt;2,"Poor")</f>
        <v>Average</v>
      </c>
      <c r="S482" t="str">
        <f t="shared" si="30"/>
        <v xml:space="preserve"> </v>
      </c>
      <c r="U482">
        <f t="shared" si="31"/>
        <v>2022</v>
      </c>
      <c r="AA482">
        <f t="shared" ca="1" si="32"/>
        <v>1053</v>
      </c>
    </row>
    <row r="483" spans="1:27" x14ac:dyDescent="0.3">
      <c r="A483" t="s">
        <v>987</v>
      </c>
      <c r="B483" t="s">
        <v>988</v>
      </c>
      <c r="C483" t="s">
        <v>22</v>
      </c>
      <c r="D483" t="s">
        <v>62</v>
      </c>
      <c r="E483" s="1">
        <v>45424</v>
      </c>
      <c r="F483" t="s">
        <v>14</v>
      </c>
      <c r="G483">
        <v>6365</v>
      </c>
      <c r="H483">
        <v>5276</v>
      </c>
      <c r="I483">
        <v>3.2</v>
      </c>
      <c r="J483">
        <v>20</v>
      </c>
      <c r="P483">
        <f t="shared" ca="1" si="29"/>
        <v>428</v>
      </c>
      <c r="Q483" t="str" cm="1">
        <f t="array" ref="Q483">_xlfn.IFS(I483&gt;=3.5,"Excellent", I483&gt;3,"Good",I483&gt;2,"Average",I483&lt;2,"Poor")</f>
        <v>Good</v>
      </c>
      <c r="S483" t="b">
        <f t="shared" si="30"/>
        <v>1</v>
      </c>
      <c r="U483">
        <f t="shared" si="31"/>
        <v>2024</v>
      </c>
      <c r="AA483" t="str">
        <f t="shared" ca="1" si="32"/>
        <v/>
      </c>
    </row>
    <row r="484" spans="1:27" x14ac:dyDescent="0.3">
      <c r="A484" t="s">
        <v>989</v>
      </c>
      <c r="B484" t="s">
        <v>990</v>
      </c>
      <c r="C484" t="s">
        <v>12</v>
      </c>
      <c r="D484" t="s">
        <v>31</v>
      </c>
      <c r="E484" s="1">
        <v>44859</v>
      </c>
      <c r="F484" t="s">
        <v>19</v>
      </c>
      <c r="G484">
        <v>9763</v>
      </c>
      <c r="H484">
        <v>308</v>
      </c>
      <c r="I484">
        <v>3.25</v>
      </c>
      <c r="J484">
        <v>69</v>
      </c>
      <c r="P484" t="str">
        <f t="shared" ca="1" si="29"/>
        <v xml:space="preserve"> </v>
      </c>
      <c r="Q484" t="str" cm="1">
        <f t="array" ref="Q484">_xlfn.IFS(I484&gt;=3.5,"Excellent", I484&gt;3,"Good",I484&gt;2,"Average",I484&lt;2,"Poor")</f>
        <v>Good</v>
      </c>
      <c r="S484" t="str">
        <f t="shared" si="30"/>
        <v xml:space="preserve"> </v>
      </c>
      <c r="U484">
        <f t="shared" si="31"/>
        <v>2022</v>
      </c>
      <c r="AA484">
        <f t="shared" ca="1" si="32"/>
        <v>993</v>
      </c>
    </row>
    <row r="485" spans="1:27" x14ac:dyDescent="0.3">
      <c r="A485" t="s">
        <v>991</v>
      </c>
      <c r="B485" t="s">
        <v>992</v>
      </c>
      <c r="C485" t="s">
        <v>22</v>
      </c>
      <c r="D485" t="s">
        <v>13</v>
      </c>
      <c r="E485" s="1">
        <v>44765</v>
      </c>
      <c r="F485" t="s">
        <v>14</v>
      </c>
      <c r="G485">
        <v>8244</v>
      </c>
      <c r="H485">
        <v>6754</v>
      </c>
      <c r="I485">
        <v>3.13</v>
      </c>
      <c r="J485">
        <v>20</v>
      </c>
      <c r="P485">
        <f t="shared" ca="1" si="29"/>
        <v>1087</v>
      </c>
      <c r="Q485" t="str" cm="1">
        <f t="array" ref="Q485">_xlfn.IFS(I485&gt;=3.5,"Excellent", I485&gt;3,"Good",I485&gt;2,"Average",I485&lt;2,"Poor")</f>
        <v>Good</v>
      </c>
      <c r="S485" t="b">
        <f t="shared" si="30"/>
        <v>1</v>
      </c>
      <c r="U485">
        <f t="shared" si="31"/>
        <v>2022</v>
      </c>
      <c r="AA485" t="str">
        <f t="shared" ca="1" si="32"/>
        <v/>
      </c>
    </row>
    <row r="486" spans="1:27" x14ac:dyDescent="0.3">
      <c r="A486" t="s">
        <v>993</v>
      </c>
      <c r="B486" t="s">
        <v>994</v>
      </c>
      <c r="C486" t="s">
        <v>25</v>
      </c>
      <c r="D486" t="s">
        <v>18</v>
      </c>
      <c r="E486" s="1">
        <v>44582</v>
      </c>
      <c r="F486" t="s">
        <v>19</v>
      </c>
      <c r="G486">
        <v>14276</v>
      </c>
      <c r="H486">
        <v>4243</v>
      </c>
      <c r="I486">
        <v>3.91</v>
      </c>
      <c r="J486">
        <v>1</v>
      </c>
      <c r="P486" t="str">
        <f t="shared" ca="1" si="29"/>
        <v xml:space="preserve"> </v>
      </c>
      <c r="Q486" t="str" cm="1">
        <f t="array" ref="Q486">_xlfn.IFS(I486&gt;=3.5,"Excellent", I486&gt;3,"Good",I486&gt;2,"Average",I486&lt;2,"Poor")</f>
        <v>Excellent</v>
      </c>
      <c r="S486" t="str">
        <f t="shared" si="30"/>
        <v xml:space="preserve"> </v>
      </c>
      <c r="U486">
        <f t="shared" si="31"/>
        <v>2022</v>
      </c>
      <c r="AA486">
        <f t="shared" ca="1" si="32"/>
        <v>1270</v>
      </c>
    </row>
    <row r="487" spans="1:27" x14ac:dyDescent="0.3">
      <c r="A487" t="s">
        <v>995</v>
      </c>
      <c r="B487" t="s">
        <v>996</v>
      </c>
      <c r="C487" t="s">
        <v>28</v>
      </c>
      <c r="D487" t="s">
        <v>62</v>
      </c>
      <c r="E487" s="1">
        <v>44736</v>
      </c>
      <c r="F487" t="s">
        <v>19</v>
      </c>
      <c r="G487">
        <v>5843</v>
      </c>
      <c r="H487">
        <v>6177</v>
      </c>
      <c r="I487">
        <v>2.09</v>
      </c>
      <c r="J487">
        <v>28</v>
      </c>
      <c r="P487" t="str">
        <f t="shared" ca="1" si="29"/>
        <v xml:space="preserve"> </v>
      </c>
      <c r="Q487" t="str" cm="1">
        <f t="array" ref="Q487">_xlfn.IFS(I487&gt;=3.5,"Excellent", I487&gt;3,"Good",I487&gt;2,"Average",I487&lt;2,"Poor")</f>
        <v>Average</v>
      </c>
      <c r="S487" t="b">
        <f t="shared" si="30"/>
        <v>1</v>
      </c>
      <c r="U487">
        <f t="shared" si="31"/>
        <v>2022</v>
      </c>
      <c r="AA487">
        <f t="shared" ca="1" si="32"/>
        <v>1116</v>
      </c>
    </row>
    <row r="488" spans="1:27" x14ac:dyDescent="0.3">
      <c r="A488" t="s">
        <v>997</v>
      </c>
      <c r="B488" t="s">
        <v>998</v>
      </c>
      <c r="C488" t="s">
        <v>12</v>
      </c>
      <c r="D488" t="s">
        <v>13</v>
      </c>
      <c r="E488" s="1">
        <v>45140</v>
      </c>
      <c r="F488" t="s">
        <v>14</v>
      </c>
      <c r="G488">
        <v>10937</v>
      </c>
      <c r="H488">
        <v>1114</v>
      </c>
      <c r="I488">
        <v>2.69</v>
      </c>
      <c r="J488">
        <v>109</v>
      </c>
      <c r="P488">
        <f t="shared" ca="1" si="29"/>
        <v>712</v>
      </c>
      <c r="Q488" t="str" cm="1">
        <f t="array" ref="Q488">_xlfn.IFS(I488&gt;=3.5,"Excellent", I488&gt;3,"Good",I488&gt;2,"Average",I488&lt;2,"Poor")</f>
        <v>Average</v>
      </c>
      <c r="S488" t="str">
        <f t="shared" si="30"/>
        <v xml:space="preserve"> </v>
      </c>
      <c r="U488">
        <f t="shared" si="31"/>
        <v>2023</v>
      </c>
      <c r="AA488" t="str">
        <f t="shared" ca="1" si="32"/>
        <v/>
      </c>
    </row>
    <row r="489" spans="1:27" x14ac:dyDescent="0.3">
      <c r="A489" t="s">
        <v>999</v>
      </c>
      <c r="B489" t="s">
        <v>1000</v>
      </c>
      <c r="C489" t="s">
        <v>12</v>
      </c>
      <c r="D489" t="s">
        <v>62</v>
      </c>
      <c r="E489" s="1">
        <v>45146</v>
      </c>
      <c r="F489" t="s">
        <v>14</v>
      </c>
      <c r="G489">
        <v>4056</v>
      </c>
      <c r="H489">
        <v>332</v>
      </c>
      <c r="I489">
        <v>3.81</v>
      </c>
      <c r="J489">
        <v>97</v>
      </c>
      <c r="P489">
        <f t="shared" ca="1" si="29"/>
        <v>706</v>
      </c>
      <c r="Q489" t="str" cm="1">
        <f t="array" ref="Q489">_xlfn.IFS(I489&gt;=3.5,"Excellent", I489&gt;3,"Good",I489&gt;2,"Average",I489&lt;2,"Poor")</f>
        <v>Excellent</v>
      </c>
      <c r="S489" t="str">
        <f t="shared" si="30"/>
        <v xml:space="preserve"> </v>
      </c>
      <c r="U489">
        <f t="shared" si="31"/>
        <v>2023</v>
      </c>
      <c r="AA489" t="str">
        <f t="shared" ca="1" si="32"/>
        <v/>
      </c>
    </row>
    <row r="490" spans="1:27" x14ac:dyDescent="0.3">
      <c r="A490" t="s">
        <v>1001</v>
      </c>
      <c r="B490" t="s">
        <v>1002</v>
      </c>
      <c r="C490" t="s">
        <v>25</v>
      </c>
      <c r="D490" t="s">
        <v>18</v>
      </c>
      <c r="E490" s="1">
        <v>44592</v>
      </c>
      <c r="F490" t="s">
        <v>14</v>
      </c>
      <c r="G490">
        <v>10757</v>
      </c>
      <c r="H490">
        <v>1430</v>
      </c>
      <c r="I490">
        <v>3.29</v>
      </c>
      <c r="J490">
        <v>93</v>
      </c>
      <c r="P490">
        <f t="shared" ca="1" si="29"/>
        <v>1260</v>
      </c>
      <c r="Q490" t="str" cm="1">
        <f t="array" ref="Q490">_xlfn.IFS(I490&gt;=3.5,"Excellent", I490&gt;3,"Good",I490&gt;2,"Average",I490&lt;2,"Poor")</f>
        <v>Good</v>
      </c>
      <c r="S490" t="str">
        <f t="shared" si="30"/>
        <v xml:space="preserve"> </v>
      </c>
      <c r="U490">
        <f t="shared" si="31"/>
        <v>2022</v>
      </c>
      <c r="AA490" t="str">
        <f t="shared" ca="1" si="32"/>
        <v/>
      </c>
    </row>
    <row r="491" spans="1:27" x14ac:dyDescent="0.3">
      <c r="A491" t="s">
        <v>1003</v>
      </c>
      <c r="B491" t="s">
        <v>1004</v>
      </c>
      <c r="C491" t="s">
        <v>36</v>
      </c>
      <c r="D491" t="s">
        <v>18</v>
      </c>
      <c r="E491" s="1">
        <v>45220</v>
      </c>
      <c r="F491" t="s">
        <v>14</v>
      </c>
      <c r="G491">
        <v>5023</v>
      </c>
      <c r="H491">
        <v>6205</v>
      </c>
      <c r="I491">
        <v>3.59</v>
      </c>
      <c r="J491">
        <v>11</v>
      </c>
      <c r="P491">
        <f t="shared" ca="1" si="29"/>
        <v>632</v>
      </c>
      <c r="Q491" t="str" cm="1">
        <f t="array" ref="Q491">_xlfn.IFS(I491&gt;=3.5,"Excellent", I491&gt;3,"Good",I491&gt;2,"Average",I491&lt;2,"Poor")</f>
        <v>Excellent</v>
      </c>
      <c r="S491" t="b">
        <f t="shared" si="30"/>
        <v>1</v>
      </c>
      <c r="U491">
        <f t="shared" si="31"/>
        <v>2023</v>
      </c>
      <c r="AA491" t="str">
        <f t="shared" ca="1" si="32"/>
        <v/>
      </c>
    </row>
    <row r="492" spans="1:27" x14ac:dyDescent="0.3">
      <c r="A492" t="s">
        <v>1005</v>
      </c>
      <c r="B492" t="s">
        <v>1006</v>
      </c>
      <c r="C492" t="s">
        <v>36</v>
      </c>
      <c r="D492" t="s">
        <v>31</v>
      </c>
      <c r="E492" s="1">
        <v>45333</v>
      </c>
      <c r="F492" t="s">
        <v>19</v>
      </c>
      <c r="G492">
        <v>6821</v>
      </c>
      <c r="H492">
        <v>5563</v>
      </c>
      <c r="I492">
        <v>2.02</v>
      </c>
      <c r="J492">
        <v>70</v>
      </c>
      <c r="P492" t="str">
        <f t="shared" ca="1" si="29"/>
        <v xml:space="preserve"> </v>
      </c>
      <c r="Q492" t="str" cm="1">
        <f t="array" ref="Q492">_xlfn.IFS(I492&gt;=3.5,"Excellent", I492&gt;3,"Good",I492&gt;2,"Average",I492&lt;2,"Poor")</f>
        <v>Average</v>
      </c>
      <c r="S492" t="b">
        <f t="shared" si="30"/>
        <v>1</v>
      </c>
      <c r="U492">
        <f t="shared" si="31"/>
        <v>2024</v>
      </c>
      <c r="AA492">
        <f t="shared" ca="1" si="32"/>
        <v>519</v>
      </c>
    </row>
    <row r="493" spans="1:27" x14ac:dyDescent="0.3">
      <c r="A493" t="s">
        <v>1007</v>
      </c>
      <c r="B493" t="s">
        <v>1008</v>
      </c>
      <c r="C493" t="s">
        <v>54</v>
      </c>
      <c r="D493" t="s">
        <v>62</v>
      </c>
      <c r="E493" s="1">
        <v>45425</v>
      </c>
      <c r="F493" t="s">
        <v>14</v>
      </c>
      <c r="G493">
        <v>3545</v>
      </c>
      <c r="H493">
        <v>7302</v>
      </c>
      <c r="I493">
        <v>2.87</v>
      </c>
      <c r="J493">
        <v>12</v>
      </c>
      <c r="P493">
        <f t="shared" ca="1" si="29"/>
        <v>427</v>
      </c>
      <c r="Q493" t="str" cm="1">
        <f t="array" ref="Q493">_xlfn.IFS(I493&gt;=3.5,"Excellent", I493&gt;3,"Good",I493&gt;2,"Average",I493&lt;2,"Poor")</f>
        <v>Average</v>
      </c>
      <c r="S493" t="b">
        <f t="shared" si="30"/>
        <v>1</v>
      </c>
      <c r="U493">
        <f t="shared" si="31"/>
        <v>2024</v>
      </c>
      <c r="AA493" t="str">
        <f t="shared" ca="1" si="32"/>
        <v/>
      </c>
    </row>
    <row r="494" spans="1:27" x14ac:dyDescent="0.3">
      <c r="A494" t="s">
        <v>1009</v>
      </c>
      <c r="B494" t="s">
        <v>1010</v>
      </c>
      <c r="C494" t="s">
        <v>17</v>
      </c>
      <c r="D494" t="s">
        <v>31</v>
      </c>
      <c r="E494" s="1">
        <v>44884</v>
      </c>
      <c r="F494" t="s">
        <v>14</v>
      </c>
      <c r="G494">
        <v>14219</v>
      </c>
      <c r="H494">
        <v>7883</v>
      </c>
      <c r="I494">
        <v>2.7</v>
      </c>
      <c r="J494">
        <v>98</v>
      </c>
      <c r="P494">
        <f t="shared" ca="1" si="29"/>
        <v>968</v>
      </c>
      <c r="Q494" t="str" cm="1">
        <f t="array" ref="Q494">_xlfn.IFS(I494&gt;=3.5,"Excellent", I494&gt;3,"Good",I494&gt;2,"Average",I494&lt;2,"Poor")</f>
        <v>Average</v>
      </c>
      <c r="S494" t="b">
        <f t="shared" si="30"/>
        <v>1</v>
      </c>
      <c r="U494">
        <f t="shared" si="31"/>
        <v>2022</v>
      </c>
      <c r="AA494" t="str">
        <f t="shared" ca="1" si="32"/>
        <v/>
      </c>
    </row>
    <row r="495" spans="1:27" x14ac:dyDescent="0.3">
      <c r="A495" t="s">
        <v>1011</v>
      </c>
      <c r="B495" t="s">
        <v>1012</v>
      </c>
      <c r="C495" t="s">
        <v>28</v>
      </c>
      <c r="D495" t="s">
        <v>62</v>
      </c>
      <c r="E495" s="1">
        <v>44863</v>
      </c>
      <c r="F495" t="s">
        <v>39</v>
      </c>
      <c r="G495">
        <v>3235</v>
      </c>
      <c r="H495">
        <v>1111</v>
      </c>
      <c r="I495">
        <v>2.4300000000000002</v>
      </c>
      <c r="J495">
        <v>119</v>
      </c>
      <c r="P495" t="str">
        <f t="shared" ca="1" si="29"/>
        <v xml:space="preserve"> </v>
      </c>
      <c r="Q495" t="str" cm="1">
        <f t="array" ref="Q495">_xlfn.IFS(I495&gt;=3.5,"Excellent", I495&gt;3,"Good",I495&gt;2,"Average",I495&lt;2,"Poor")</f>
        <v>Average</v>
      </c>
      <c r="S495" t="str">
        <f t="shared" si="30"/>
        <v xml:space="preserve"> </v>
      </c>
      <c r="U495">
        <f t="shared" si="31"/>
        <v>2022</v>
      </c>
      <c r="AA495" t="str">
        <f t="shared" ca="1" si="32"/>
        <v/>
      </c>
    </row>
    <row r="496" spans="1:27" x14ac:dyDescent="0.3">
      <c r="A496" t="s">
        <v>1013</v>
      </c>
      <c r="B496" t="s">
        <v>1014</v>
      </c>
      <c r="C496" t="s">
        <v>36</v>
      </c>
      <c r="D496" t="s">
        <v>31</v>
      </c>
      <c r="E496" s="1">
        <v>44817</v>
      </c>
      <c r="F496" t="s">
        <v>14</v>
      </c>
      <c r="G496">
        <v>12764</v>
      </c>
      <c r="H496">
        <v>1814</v>
      </c>
      <c r="I496">
        <v>2.37</v>
      </c>
      <c r="J496">
        <v>108</v>
      </c>
      <c r="P496">
        <f t="shared" ca="1" si="29"/>
        <v>1035</v>
      </c>
      <c r="Q496" t="str" cm="1">
        <f t="array" ref="Q496">_xlfn.IFS(I496&gt;=3.5,"Excellent", I496&gt;3,"Good",I496&gt;2,"Average",I496&lt;2,"Poor")</f>
        <v>Average</v>
      </c>
      <c r="S496" t="str">
        <f t="shared" si="30"/>
        <v xml:space="preserve"> </v>
      </c>
      <c r="U496">
        <f t="shared" si="31"/>
        <v>2022</v>
      </c>
      <c r="AA496" t="str">
        <f t="shared" ca="1" si="32"/>
        <v/>
      </c>
    </row>
    <row r="497" spans="1:27" x14ac:dyDescent="0.3">
      <c r="A497" t="s">
        <v>1015</v>
      </c>
      <c r="B497" t="s">
        <v>1016</v>
      </c>
      <c r="C497" t="s">
        <v>28</v>
      </c>
      <c r="D497" t="s">
        <v>13</v>
      </c>
      <c r="E497" s="1">
        <v>45256</v>
      </c>
      <c r="F497" t="s">
        <v>19</v>
      </c>
      <c r="G497">
        <v>7033</v>
      </c>
      <c r="H497">
        <v>3416</v>
      </c>
      <c r="I497">
        <v>3.51</v>
      </c>
      <c r="J497">
        <v>7</v>
      </c>
      <c r="P497" t="str">
        <f t="shared" ca="1" si="29"/>
        <v xml:space="preserve"> </v>
      </c>
      <c r="Q497" t="str" cm="1">
        <f t="array" ref="Q497">_xlfn.IFS(I497&gt;=3.5,"Excellent", I497&gt;3,"Good",I497&gt;2,"Average",I497&lt;2,"Poor")</f>
        <v>Excellent</v>
      </c>
      <c r="S497" t="str">
        <f t="shared" si="30"/>
        <v xml:space="preserve"> </v>
      </c>
      <c r="U497">
        <f t="shared" si="31"/>
        <v>2023</v>
      </c>
      <c r="AA497">
        <f t="shared" ca="1" si="32"/>
        <v>596</v>
      </c>
    </row>
    <row r="498" spans="1:27" x14ac:dyDescent="0.3">
      <c r="A498" t="s">
        <v>1017</v>
      </c>
      <c r="B498" t="s">
        <v>1018</v>
      </c>
      <c r="C498" t="s">
        <v>25</v>
      </c>
      <c r="D498" t="s">
        <v>31</v>
      </c>
      <c r="E498" s="1">
        <v>44649</v>
      </c>
      <c r="F498" t="s">
        <v>39</v>
      </c>
      <c r="G498">
        <v>13290</v>
      </c>
      <c r="H498">
        <v>1862</v>
      </c>
      <c r="I498">
        <v>2.39</v>
      </c>
      <c r="J498">
        <v>75</v>
      </c>
      <c r="P498" t="str">
        <f t="shared" ca="1" si="29"/>
        <v xml:space="preserve"> </v>
      </c>
      <c r="Q498" t="str" cm="1">
        <f t="array" ref="Q498">_xlfn.IFS(I498&gt;=3.5,"Excellent", I498&gt;3,"Good",I498&gt;2,"Average",I498&lt;2,"Poor")</f>
        <v>Average</v>
      </c>
      <c r="S498" t="str">
        <f t="shared" si="30"/>
        <v xml:space="preserve"> </v>
      </c>
      <c r="U498">
        <f t="shared" si="31"/>
        <v>2022</v>
      </c>
      <c r="AA498" t="str">
        <f t="shared" ca="1" si="32"/>
        <v/>
      </c>
    </row>
    <row r="499" spans="1:27" x14ac:dyDescent="0.3">
      <c r="A499" t="s">
        <v>1019</v>
      </c>
      <c r="B499" t="s">
        <v>1020</v>
      </c>
      <c r="C499" t="s">
        <v>12</v>
      </c>
      <c r="D499" t="s">
        <v>13</v>
      </c>
      <c r="E499" s="1">
        <v>44757</v>
      </c>
      <c r="F499" t="s">
        <v>14</v>
      </c>
      <c r="G499">
        <v>12663</v>
      </c>
      <c r="H499">
        <v>4913</v>
      </c>
      <c r="I499">
        <v>3.59</v>
      </c>
      <c r="J499">
        <v>110</v>
      </c>
      <c r="P499">
        <f t="shared" ca="1" si="29"/>
        <v>1095</v>
      </c>
      <c r="Q499" t="str" cm="1">
        <f t="array" ref="Q499">_xlfn.IFS(I499&gt;=3.5,"Excellent", I499&gt;3,"Good",I499&gt;2,"Average",I499&lt;2,"Poor")</f>
        <v>Excellent</v>
      </c>
      <c r="S499" t="str">
        <f t="shared" si="30"/>
        <v xml:space="preserve"> </v>
      </c>
      <c r="U499">
        <f t="shared" si="31"/>
        <v>2022</v>
      </c>
      <c r="AA499" t="str">
        <f t="shared" ca="1" si="32"/>
        <v/>
      </c>
    </row>
    <row r="500" spans="1:27" x14ac:dyDescent="0.3">
      <c r="A500" t="s">
        <v>1021</v>
      </c>
      <c r="B500" t="s">
        <v>1022</v>
      </c>
      <c r="C500" t="s">
        <v>57</v>
      </c>
      <c r="D500" t="s">
        <v>62</v>
      </c>
      <c r="E500" s="1">
        <v>45149</v>
      </c>
      <c r="F500" t="s">
        <v>19</v>
      </c>
      <c r="G500">
        <v>3630</v>
      </c>
      <c r="H500">
        <v>8783</v>
      </c>
      <c r="I500">
        <v>2.73</v>
      </c>
      <c r="J500">
        <v>67</v>
      </c>
      <c r="P500" t="str">
        <f t="shared" ca="1" si="29"/>
        <v xml:space="preserve"> </v>
      </c>
      <c r="Q500" t="str" cm="1">
        <f t="array" ref="Q500">_xlfn.IFS(I500&gt;=3.5,"Excellent", I500&gt;3,"Good",I500&gt;2,"Average",I500&lt;2,"Poor")</f>
        <v>Average</v>
      </c>
      <c r="S500" t="b">
        <f t="shared" si="30"/>
        <v>1</v>
      </c>
      <c r="U500">
        <f t="shared" si="31"/>
        <v>2023</v>
      </c>
      <c r="AA500">
        <f t="shared" ca="1" si="32"/>
        <v>703</v>
      </c>
    </row>
    <row r="501" spans="1:27" x14ac:dyDescent="0.3">
      <c r="A501" t="s">
        <v>1023</v>
      </c>
      <c r="B501" t="s">
        <v>1024</v>
      </c>
      <c r="C501" t="s">
        <v>57</v>
      </c>
      <c r="D501" t="s">
        <v>62</v>
      </c>
      <c r="E501" s="1">
        <v>44991</v>
      </c>
      <c r="F501" t="s">
        <v>14</v>
      </c>
      <c r="G501">
        <v>14263</v>
      </c>
      <c r="H501">
        <v>2162</v>
      </c>
      <c r="I501">
        <v>3.8</v>
      </c>
      <c r="J501">
        <v>53</v>
      </c>
      <c r="P501">
        <f t="shared" ca="1" si="29"/>
        <v>861</v>
      </c>
      <c r="Q501" t="str" cm="1">
        <f t="array" ref="Q501">_xlfn.IFS(I501&gt;=3.5,"Excellent", I501&gt;3,"Good",I501&gt;2,"Average",I501&lt;2,"Poor")</f>
        <v>Excellent</v>
      </c>
      <c r="S501" t="str">
        <f t="shared" si="30"/>
        <v xml:space="preserve"> </v>
      </c>
      <c r="U501">
        <f t="shared" si="31"/>
        <v>2023</v>
      </c>
      <c r="AA501" t="str">
        <f t="shared" ca="1" si="32"/>
        <v/>
      </c>
    </row>
    <row r="502" spans="1:27" x14ac:dyDescent="0.3">
      <c r="A502" t="s">
        <v>1025</v>
      </c>
      <c r="B502" t="s">
        <v>1026</v>
      </c>
      <c r="C502" t="s">
        <v>22</v>
      </c>
      <c r="D502" t="s">
        <v>31</v>
      </c>
      <c r="E502" s="1">
        <v>45097</v>
      </c>
      <c r="F502" t="s">
        <v>19</v>
      </c>
      <c r="G502">
        <v>12155</v>
      </c>
      <c r="H502">
        <v>8128</v>
      </c>
      <c r="I502">
        <v>3.28</v>
      </c>
      <c r="J502">
        <v>21</v>
      </c>
      <c r="P502" t="str">
        <f t="shared" ca="1" si="29"/>
        <v xml:space="preserve"> </v>
      </c>
      <c r="Q502" t="str" cm="1">
        <f t="array" ref="Q502">_xlfn.IFS(I502&gt;=3.5,"Excellent", I502&gt;3,"Good",I502&gt;2,"Average",I502&lt;2,"Poor")</f>
        <v>Good</v>
      </c>
      <c r="S502" t="b">
        <f t="shared" si="30"/>
        <v>1</v>
      </c>
      <c r="U502">
        <f t="shared" si="31"/>
        <v>2023</v>
      </c>
      <c r="AA502">
        <f t="shared" ca="1" si="32"/>
        <v>755</v>
      </c>
    </row>
    <row r="503" spans="1:27" x14ac:dyDescent="0.3">
      <c r="A503" t="s">
        <v>1027</v>
      </c>
      <c r="B503" t="s">
        <v>1028</v>
      </c>
      <c r="C503" t="s">
        <v>28</v>
      </c>
      <c r="D503" t="s">
        <v>18</v>
      </c>
      <c r="E503" s="1">
        <v>45328</v>
      </c>
      <c r="F503" t="s">
        <v>19</v>
      </c>
      <c r="G503">
        <v>4867</v>
      </c>
      <c r="H503">
        <v>7702</v>
      </c>
      <c r="I503">
        <v>3.52</v>
      </c>
      <c r="J503">
        <v>1</v>
      </c>
      <c r="P503" t="str">
        <f t="shared" ca="1" si="29"/>
        <v xml:space="preserve"> </v>
      </c>
      <c r="Q503" t="str" cm="1">
        <f t="array" ref="Q503">_xlfn.IFS(I503&gt;=3.5,"Excellent", I503&gt;3,"Good",I503&gt;2,"Average",I503&lt;2,"Poor")</f>
        <v>Excellent</v>
      </c>
      <c r="S503" t="b">
        <f t="shared" si="30"/>
        <v>1</v>
      </c>
      <c r="U503">
        <f t="shared" si="31"/>
        <v>2024</v>
      </c>
      <c r="AA503">
        <f t="shared" ca="1" si="32"/>
        <v>524</v>
      </c>
    </row>
    <row r="504" spans="1:27" x14ac:dyDescent="0.3">
      <c r="A504" t="s">
        <v>1029</v>
      </c>
      <c r="B504" t="s">
        <v>1030</v>
      </c>
      <c r="C504" t="s">
        <v>36</v>
      </c>
      <c r="D504" t="s">
        <v>18</v>
      </c>
      <c r="E504" s="1">
        <v>44578</v>
      </c>
      <c r="F504" t="s">
        <v>19</v>
      </c>
      <c r="G504">
        <v>13284</v>
      </c>
      <c r="H504">
        <v>5926</v>
      </c>
      <c r="I504">
        <v>2.25</v>
      </c>
      <c r="J504">
        <v>48</v>
      </c>
      <c r="P504" t="str">
        <f t="shared" ca="1" si="29"/>
        <v xml:space="preserve"> </v>
      </c>
      <c r="Q504" t="str" cm="1">
        <f t="array" ref="Q504">_xlfn.IFS(I504&gt;=3.5,"Excellent", I504&gt;3,"Good",I504&gt;2,"Average",I504&lt;2,"Poor")</f>
        <v>Average</v>
      </c>
      <c r="S504" t="str">
        <f t="shared" si="30"/>
        <v xml:space="preserve"> </v>
      </c>
      <c r="U504">
        <f t="shared" si="31"/>
        <v>2022</v>
      </c>
      <c r="AA504">
        <f t="shared" ca="1" si="32"/>
        <v>1274</v>
      </c>
    </row>
    <row r="505" spans="1:27" x14ac:dyDescent="0.3">
      <c r="A505" t="s">
        <v>1031</v>
      </c>
      <c r="B505" t="s">
        <v>1032</v>
      </c>
      <c r="C505" t="s">
        <v>17</v>
      </c>
      <c r="D505" t="s">
        <v>62</v>
      </c>
      <c r="E505" s="1">
        <v>44691</v>
      </c>
      <c r="F505" t="s">
        <v>14</v>
      </c>
      <c r="G505">
        <v>10971</v>
      </c>
      <c r="H505">
        <v>3693</v>
      </c>
      <c r="I505">
        <v>3.43</v>
      </c>
      <c r="J505">
        <v>67</v>
      </c>
      <c r="P505">
        <f t="shared" ca="1" si="29"/>
        <v>1161</v>
      </c>
      <c r="Q505" t="str" cm="1">
        <f t="array" ref="Q505">_xlfn.IFS(I505&gt;=3.5,"Excellent", I505&gt;3,"Good",I505&gt;2,"Average",I505&lt;2,"Poor")</f>
        <v>Good</v>
      </c>
      <c r="S505" t="str">
        <f t="shared" si="30"/>
        <v xml:space="preserve"> </v>
      </c>
      <c r="U505">
        <f t="shared" si="31"/>
        <v>2022</v>
      </c>
      <c r="AA505" t="str">
        <f t="shared" ca="1" si="32"/>
        <v/>
      </c>
    </row>
    <row r="506" spans="1:27" x14ac:dyDescent="0.3">
      <c r="A506" t="s">
        <v>1033</v>
      </c>
      <c r="B506" t="s">
        <v>1034</v>
      </c>
      <c r="C506" t="s">
        <v>36</v>
      </c>
      <c r="D506" t="s">
        <v>31</v>
      </c>
      <c r="E506" s="1">
        <v>45091</v>
      </c>
      <c r="F506" t="s">
        <v>14</v>
      </c>
      <c r="G506">
        <v>10845</v>
      </c>
      <c r="H506">
        <v>3885</v>
      </c>
      <c r="I506">
        <v>3.24</v>
      </c>
      <c r="J506">
        <v>73</v>
      </c>
      <c r="P506">
        <f t="shared" ca="1" si="29"/>
        <v>761</v>
      </c>
      <c r="Q506" t="str" cm="1">
        <f t="array" ref="Q506">_xlfn.IFS(I506&gt;=3.5,"Excellent", I506&gt;3,"Good",I506&gt;2,"Average",I506&lt;2,"Poor")</f>
        <v>Good</v>
      </c>
      <c r="S506" t="str">
        <f t="shared" si="30"/>
        <v xml:space="preserve"> </v>
      </c>
      <c r="U506">
        <f t="shared" si="31"/>
        <v>2023</v>
      </c>
      <c r="AA506" t="str">
        <f t="shared" ca="1" si="32"/>
        <v/>
      </c>
    </row>
    <row r="507" spans="1:27" x14ac:dyDescent="0.3">
      <c r="A507" t="s">
        <v>1035</v>
      </c>
      <c r="B507" t="s">
        <v>1036</v>
      </c>
      <c r="C507" t="s">
        <v>28</v>
      </c>
      <c r="D507" t="s">
        <v>31</v>
      </c>
      <c r="E507" s="1">
        <v>44699</v>
      </c>
      <c r="F507" t="s">
        <v>39</v>
      </c>
      <c r="G507">
        <v>3925</v>
      </c>
      <c r="H507">
        <v>9799</v>
      </c>
      <c r="I507">
        <v>2.62</v>
      </c>
      <c r="J507">
        <v>73</v>
      </c>
      <c r="P507" t="str">
        <f t="shared" ca="1" si="29"/>
        <v xml:space="preserve"> </v>
      </c>
      <c r="Q507" t="str" cm="1">
        <f t="array" ref="Q507">_xlfn.IFS(I507&gt;=3.5,"Excellent", I507&gt;3,"Good",I507&gt;2,"Average",I507&lt;2,"Poor")</f>
        <v>Average</v>
      </c>
      <c r="S507" t="b">
        <f t="shared" si="30"/>
        <v>1</v>
      </c>
      <c r="U507">
        <f t="shared" si="31"/>
        <v>2022</v>
      </c>
      <c r="AA507" t="str">
        <f t="shared" ca="1" si="32"/>
        <v/>
      </c>
    </row>
    <row r="508" spans="1:27" x14ac:dyDescent="0.3">
      <c r="A508" t="s">
        <v>1037</v>
      </c>
      <c r="B508" t="s">
        <v>1038</v>
      </c>
      <c r="C508" t="s">
        <v>22</v>
      </c>
      <c r="D508" t="s">
        <v>18</v>
      </c>
      <c r="E508" s="1">
        <v>45274</v>
      </c>
      <c r="F508" t="s">
        <v>19</v>
      </c>
      <c r="G508">
        <v>9717</v>
      </c>
      <c r="H508">
        <v>1531</v>
      </c>
      <c r="I508">
        <v>3.9</v>
      </c>
      <c r="J508">
        <v>15</v>
      </c>
      <c r="P508" t="str">
        <f t="shared" ca="1" si="29"/>
        <v xml:space="preserve"> </v>
      </c>
      <c r="Q508" t="str" cm="1">
        <f t="array" ref="Q508">_xlfn.IFS(I508&gt;=3.5,"Excellent", I508&gt;3,"Good",I508&gt;2,"Average",I508&lt;2,"Poor")</f>
        <v>Excellent</v>
      </c>
      <c r="S508" t="str">
        <f t="shared" si="30"/>
        <v xml:space="preserve"> </v>
      </c>
      <c r="U508">
        <f t="shared" si="31"/>
        <v>2023</v>
      </c>
      <c r="AA508">
        <f t="shared" ca="1" si="32"/>
        <v>578</v>
      </c>
    </row>
    <row r="509" spans="1:27" x14ac:dyDescent="0.3">
      <c r="A509" t="s">
        <v>1039</v>
      </c>
      <c r="B509" t="s">
        <v>1040</v>
      </c>
      <c r="C509" t="s">
        <v>17</v>
      </c>
      <c r="D509" t="s">
        <v>18</v>
      </c>
      <c r="E509" s="1">
        <v>45211</v>
      </c>
      <c r="F509" t="s">
        <v>19</v>
      </c>
      <c r="G509">
        <v>9611</v>
      </c>
      <c r="H509">
        <v>6838</v>
      </c>
      <c r="I509">
        <v>3.3</v>
      </c>
      <c r="J509">
        <v>94</v>
      </c>
      <c r="P509" t="str">
        <f t="shared" ca="1" si="29"/>
        <v xml:space="preserve"> </v>
      </c>
      <c r="Q509" t="str" cm="1">
        <f t="array" ref="Q509">_xlfn.IFS(I509&gt;=3.5,"Excellent", I509&gt;3,"Good",I509&gt;2,"Average",I509&lt;2,"Poor")</f>
        <v>Good</v>
      </c>
      <c r="S509" t="b">
        <f t="shared" si="30"/>
        <v>1</v>
      </c>
      <c r="U509">
        <f t="shared" si="31"/>
        <v>2023</v>
      </c>
      <c r="AA509">
        <f t="shared" ca="1" si="32"/>
        <v>641</v>
      </c>
    </row>
    <row r="510" spans="1:27" x14ac:dyDescent="0.3">
      <c r="A510" t="s">
        <v>1041</v>
      </c>
      <c r="B510" t="s">
        <v>1042</v>
      </c>
      <c r="C510" t="s">
        <v>54</v>
      </c>
      <c r="D510" t="s">
        <v>18</v>
      </c>
      <c r="E510" s="1">
        <v>45289</v>
      </c>
      <c r="F510" t="s">
        <v>19</v>
      </c>
      <c r="G510">
        <v>7850</v>
      </c>
      <c r="H510">
        <v>5788</v>
      </c>
      <c r="I510">
        <v>2.58</v>
      </c>
      <c r="J510">
        <v>14</v>
      </c>
      <c r="P510" t="str">
        <f t="shared" ca="1" si="29"/>
        <v xml:space="preserve"> </v>
      </c>
      <c r="Q510" t="str" cm="1">
        <f t="array" ref="Q510">_xlfn.IFS(I510&gt;=3.5,"Excellent", I510&gt;3,"Good",I510&gt;2,"Average",I510&lt;2,"Poor")</f>
        <v>Average</v>
      </c>
      <c r="S510" t="b">
        <f t="shared" si="30"/>
        <v>1</v>
      </c>
      <c r="U510">
        <f t="shared" si="31"/>
        <v>2023</v>
      </c>
      <c r="AA510">
        <f t="shared" ca="1" si="32"/>
        <v>563</v>
      </c>
    </row>
    <row r="511" spans="1:27" x14ac:dyDescent="0.3">
      <c r="A511" t="s">
        <v>1043</v>
      </c>
      <c r="B511" t="s">
        <v>1044</v>
      </c>
      <c r="C511" t="s">
        <v>12</v>
      </c>
      <c r="D511" t="s">
        <v>13</v>
      </c>
      <c r="E511" s="1">
        <v>44981</v>
      </c>
      <c r="F511" t="s">
        <v>14</v>
      </c>
      <c r="G511">
        <v>13973</v>
      </c>
      <c r="H511">
        <v>1742</v>
      </c>
      <c r="I511">
        <v>2.1</v>
      </c>
      <c r="J511">
        <v>10</v>
      </c>
      <c r="P511">
        <f t="shared" ca="1" si="29"/>
        <v>871</v>
      </c>
      <c r="Q511" t="str" cm="1">
        <f t="array" ref="Q511">_xlfn.IFS(I511&gt;=3.5,"Excellent", I511&gt;3,"Good",I511&gt;2,"Average",I511&lt;2,"Poor")</f>
        <v>Average</v>
      </c>
      <c r="S511" t="str">
        <f t="shared" si="30"/>
        <v xml:space="preserve"> </v>
      </c>
      <c r="U511">
        <f t="shared" si="31"/>
        <v>2023</v>
      </c>
      <c r="AA511" t="str">
        <f t="shared" ca="1" si="32"/>
        <v/>
      </c>
    </row>
    <row r="512" spans="1:27" x14ac:dyDescent="0.3">
      <c r="A512" t="s">
        <v>1045</v>
      </c>
      <c r="B512" t="s">
        <v>1046</v>
      </c>
      <c r="C512" t="s">
        <v>54</v>
      </c>
      <c r="D512" t="s">
        <v>31</v>
      </c>
      <c r="E512" s="1">
        <v>45318</v>
      </c>
      <c r="F512" t="s">
        <v>14</v>
      </c>
      <c r="G512">
        <v>9294</v>
      </c>
      <c r="H512">
        <v>6415</v>
      </c>
      <c r="I512">
        <v>3.38</v>
      </c>
      <c r="J512">
        <v>57</v>
      </c>
      <c r="P512">
        <f t="shared" ca="1" si="29"/>
        <v>534</v>
      </c>
      <c r="Q512" t="str" cm="1">
        <f t="array" ref="Q512">_xlfn.IFS(I512&gt;=3.5,"Excellent", I512&gt;3,"Good",I512&gt;2,"Average",I512&lt;2,"Poor")</f>
        <v>Good</v>
      </c>
      <c r="S512" t="b">
        <f t="shared" si="30"/>
        <v>1</v>
      </c>
      <c r="U512">
        <f t="shared" si="31"/>
        <v>2024</v>
      </c>
      <c r="AA512" t="str">
        <f t="shared" ca="1" si="32"/>
        <v/>
      </c>
    </row>
    <row r="513" spans="1:27" x14ac:dyDescent="0.3">
      <c r="A513" t="s">
        <v>1047</v>
      </c>
      <c r="B513" t="s">
        <v>1048</v>
      </c>
      <c r="C513" t="s">
        <v>28</v>
      </c>
      <c r="D513" t="s">
        <v>13</v>
      </c>
      <c r="E513" s="1">
        <v>44771</v>
      </c>
      <c r="F513" t="s">
        <v>19</v>
      </c>
      <c r="G513">
        <v>9133</v>
      </c>
      <c r="H513">
        <v>2906</v>
      </c>
      <c r="I513">
        <v>2.85</v>
      </c>
      <c r="J513">
        <v>42</v>
      </c>
      <c r="P513" t="str">
        <f t="shared" ca="1" si="29"/>
        <v xml:space="preserve"> </v>
      </c>
      <c r="Q513" t="str" cm="1">
        <f t="array" ref="Q513">_xlfn.IFS(I513&gt;=3.5,"Excellent", I513&gt;3,"Good",I513&gt;2,"Average",I513&lt;2,"Poor")</f>
        <v>Average</v>
      </c>
      <c r="S513" t="str">
        <f t="shared" si="30"/>
        <v xml:space="preserve"> </v>
      </c>
      <c r="U513">
        <f t="shared" si="31"/>
        <v>2022</v>
      </c>
      <c r="AA513">
        <f t="shared" ca="1" si="32"/>
        <v>1081</v>
      </c>
    </row>
    <row r="514" spans="1:27" x14ac:dyDescent="0.3">
      <c r="A514" t="s">
        <v>1049</v>
      </c>
      <c r="B514" t="s">
        <v>1050</v>
      </c>
      <c r="C514" t="s">
        <v>28</v>
      </c>
      <c r="D514" t="s">
        <v>13</v>
      </c>
      <c r="E514" s="1">
        <v>45400</v>
      </c>
      <c r="F514" t="s">
        <v>39</v>
      </c>
      <c r="G514">
        <v>9782</v>
      </c>
      <c r="H514">
        <v>2085</v>
      </c>
      <c r="I514">
        <v>2.36</v>
      </c>
      <c r="J514">
        <v>66</v>
      </c>
      <c r="P514" t="str">
        <f t="shared" ca="1" si="29"/>
        <v xml:space="preserve"> </v>
      </c>
      <c r="Q514" t="str" cm="1">
        <f t="array" ref="Q514">_xlfn.IFS(I514&gt;=3.5,"Excellent", I514&gt;3,"Good",I514&gt;2,"Average",I514&lt;2,"Poor")</f>
        <v>Average</v>
      </c>
      <c r="S514" t="str">
        <f t="shared" si="30"/>
        <v xml:space="preserve"> </v>
      </c>
      <c r="U514">
        <f t="shared" si="31"/>
        <v>2024</v>
      </c>
      <c r="AA514" t="str">
        <f t="shared" ca="1" si="32"/>
        <v/>
      </c>
    </row>
    <row r="515" spans="1:27" x14ac:dyDescent="0.3">
      <c r="A515" t="s">
        <v>1051</v>
      </c>
      <c r="B515" t="s">
        <v>1052</v>
      </c>
      <c r="C515" t="s">
        <v>12</v>
      </c>
      <c r="D515" t="s">
        <v>13</v>
      </c>
      <c r="E515" s="1">
        <v>45456</v>
      </c>
      <c r="F515" t="s">
        <v>19</v>
      </c>
      <c r="G515">
        <v>5574</v>
      </c>
      <c r="H515">
        <v>6633</v>
      </c>
      <c r="I515">
        <v>2.82</v>
      </c>
      <c r="J515">
        <v>1</v>
      </c>
      <c r="P515" t="str">
        <f t="shared" ref="P515:P578" ca="1" si="33">IF(F515="Enrolled",TODAY()-E515, " ")</f>
        <v xml:space="preserve"> </v>
      </c>
      <c r="Q515" t="str" cm="1">
        <f t="array" ref="Q515">_xlfn.IFS(I515&gt;=3.5,"Excellent", I515&gt;3,"Good",I515&gt;2,"Average",I515&lt;2,"Poor")</f>
        <v>Average</v>
      </c>
      <c r="S515" t="b">
        <f t="shared" ref="S515:S578" si="34">IF(H515&gt;0.5*G515,TRUE, " " )</f>
        <v>1</v>
      </c>
      <c r="U515">
        <f t="shared" ref="U515:U578" si="35">YEAR(E515)</f>
        <v>2024</v>
      </c>
      <c r="AA515">
        <f t="shared" ref="AA515:AA578" ca="1" si="36">IF(F515="Completed",TODAY()-E515,"")</f>
        <v>396</v>
      </c>
    </row>
    <row r="516" spans="1:27" x14ac:dyDescent="0.3">
      <c r="A516" t="s">
        <v>1053</v>
      </c>
      <c r="B516" t="s">
        <v>1054</v>
      </c>
      <c r="C516" t="s">
        <v>17</v>
      </c>
      <c r="D516" t="s">
        <v>62</v>
      </c>
      <c r="E516" s="1">
        <v>44578</v>
      </c>
      <c r="F516" t="s">
        <v>14</v>
      </c>
      <c r="G516">
        <v>6629</v>
      </c>
      <c r="H516">
        <v>3439</v>
      </c>
      <c r="I516">
        <v>3.83</v>
      </c>
      <c r="J516">
        <v>31</v>
      </c>
      <c r="P516">
        <f t="shared" ca="1" si="33"/>
        <v>1274</v>
      </c>
      <c r="Q516" t="str" cm="1">
        <f t="array" ref="Q516">_xlfn.IFS(I516&gt;=3.5,"Excellent", I516&gt;3,"Good",I516&gt;2,"Average",I516&lt;2,"Poor")</f>
        <v>Excellent</v>
      </c>
      <c r="S516" t="b">
        <f t="shared" si="34"/>
        <v>1</v>
      </c>
      <c r="U516">
        <f t="shared" si="35"/>
        <v>2022</v>
      </c>
      <c r="AA516" t="str">
        <f t="shared" ca="1" si="36"/>
        <v/>
      </c>
    </row>
    <row r="517" spans="1:27" x14ac:dyDescent="0.3">
      <c r="A517" t="s">
        <v>1055</v>
      </c>
      <c r="B517" t="s">
        <v>1056</v>
      </c>
      <c r="C517" t="s">
        <v>28</v>
      </c>
      <c r="D517" t="s">
        <v>18</v>
      </c>
      <c r="E517" s="1">
        <v>44889</v>
      </c>
      <c r="F517" t="s">
        <v>14</v>
      </c>
      <c r="G517">
        <v>10972</v>
      </c>
      <c r="H517">
        <v>8709</v>
      </c>
      <c r="I517">
        <v>2.56</v>
      </c>
      <c r="J517">
        <v>15</v>
      </c>
      <c r="P517">
        <f t="shared" ca="1" si="33"/>
        <v>963</v>
      </c>
      <c r="Q517" t="str" cm="1">
        <f t="array" ref="Q517">_xlfn.IFS(I517&gt;=3.5,"Excellent", I517&gt;3,"Good",I517&gt;2,"Average",I517&lt;2,"Poor")</f>
        <v>Average</v>
      </c>
      <c r="S517" t="b">
        <f t="shared" si="34"/>
        <v>1</v>
      </c>
      <c r="U517">
        <f t="shared" si="35"/>
        <v>2022</v>
      </c>
      <c r="AA517" t="str">
        <f t="shared" ca="1" si="36"/>
        <v/>
      </c>
    </row>
    <row r="518" spans="1:27" x14ac:dyDescent="0.3">
      <c r="A518" t="s">
        <v>1057</v>
      </c>
      <c r="B518" t="s">
        <v>1058</v>
      </c>
      <c r="C518" t="s">
        <v>22</v>
      </c>
      <c r="D518" t="s">
        <v>18</v>
      </c>
      <c r="E518" s="1">
        <v>44592</v>
      </c>
      <c r="F518" t="s">
        <v>19</v>
      </c>
      <c r="G518">
        <v>14926</v>
      </c>
      <c r="H518">
        <v>7700</v>
      </c>
      <c r="I518">
        <v>4</v>
      </c>
      <c r="J518">
        <v>97</v>
      </c>
      <c r="P518" t="str">
        <f t="shared" ca="1" si="33"/>
        <v xml:space="preserve"> </v>
      </c>
      <c r="Q518" t="str" cm="1">
        <f t="array" ref="Q518">_xlfn.IFS(I518&gt;=3.5,"Excellent", I518&gt;3,"Good",I518&gt;2,"Average",I518&lt;2,"Poor")</f>
        <v>Excellent</v>
      </c>
      <c r="S518" t="b">
        <f t="shared" si="34"/>
        <v>1</v>
      </c>
      <c r="U518">
        <f t="shared" si="35"/>
        <v>2022</v>
      </c>
      <c r="AA518">
        <f t="shared" ca="1" si="36"/>
        <v>1260</v>
      </c>
    </row>
    <row r="519" spans="1:27" x14ac:dyDescent="0.3">
      <c r="A519" t="s">
        <v>1059</v>
      </c>
      <c r="B519" t="s">
        <v>1060</v>
      </c>
      <c r="C519" t="s">
        <v>36</v>
      </c>
      <c r="D519" t="s">
        <v>31</v>
      </c>
      <c r="E519" s="1">
        <v>45376</v>
      </c>
      <c r="F519" t="s">
        <v>14</v>
      </c>
      <c r="G519">
        <v>4128</v>
      </c>
      <c r="H519">
        <v>3535</v>
      </c>
      <c r="I519">
        <v>3.48</v>
      </c>
      <c r="J519">
        <v>32</v>
      </c>
      <c r="P519">
        <f t="shared" ca="1" si="33"/>
        <v>476</v>
      </c>
      <c r="Q519" t="str" cm="1">
        <f t="array" ref="Q519">_xlfn.IFS(I519&gt;=3.5,"Excellent", I519&gt;3,"Good",I519&gt;2,"Average",I519&lt;2,"Poor")</f>
        <v>Good</v>
      </c>
      <c r="S519" t="b">
        <f t="shared" si="34"/>
        <v>1</v>
      </c>
      <c r="U519">
        <f t="shared" si="35"/>
        <v>2024</v>
      </c>
      <c r="AA519" t="str">
        <f t="shared" ca="1" si="36"/>
        <v/>
      </c>
    </row>
    <row r="520" spans="1:27" x14ac:dyDescent="0.3">
      <c r="A520" t="s">
        <v>1061</v>
      </c>
      <c r="B520" t="s">
        <v>1062</v>
      </c>
      <c r="C520" t="s">
        <v>54</v>
      </c>
      <c r="D520" t="s">
        <v>62</v>
      </c>
      <c r="E520" s="1">
        <v>45374</v>
      </c>
      <c r="F520" t="s">
        <v>14</v>
      </c>
      <c r="G520">
        <v>3774</v>
      </c>
      <c r="H520">
        <v>3406</v>
      </c>
      <c r="I520">
        <v>3.35</v>
      </c>
      <c r="J520">
        <v>63</v>
      </c>
      <c r="P520">
        <f t="shared" ca="1" si="33"/>
        <v>478</v>
      </c>
      <c r="Q520" t="str" cm="1">
        <f t="array" ref="Q520">_xlfn.IFS(I520&gt;=3.5,"Excellent", I520&gt;3,"Good",I520&gt;2,"Average",I520&lt;2,"Poor")</f>
        <v>Good</v>
      </c>
      <c r="S520" t="b">
        <f t="shared" si="34"/>
        <v>1</v>
      </c>
      <c r="U520">
        <f t="shared" si="35"/>
        <v>2024</v>
      </c>
      <c r="AA520" t="str">
        <f t="shared" ca="1" si="36"/>
        <v/>
      </c>
    </row>
    <row r="521" spans="1:27" x14ac:dyDescent="0.3">
      <c r="A521" t="s">
        <v>1063</v>
      </c>
      <c r="B521" t="s">
        <v>1064</v>
      </c>
      <c r="C521" t="s">
        <v>54</v>
      </c>
      <c r="D521" t="s">
        <v>62</v>
      </c>
      <c r="E521" s="1">
        <v>44858</v>
      </c>
      <c r="F521" t="s">
        <v>14</v>
      </c>
      <c r="G521">
        <v>9643</v>
      </c>
      <c r="H521">
        <v>431</v>
      </c>
      <c r="I521">
        <v>3.6</v>
      </c>
      <c r="J521">
        <v>26</v>
      </c>
      <c r="P521">
        <f t="shared" ca="1" si="33"/>
        <v>994</v>
      </c>
      <c r="Q521" t="str" cm="1">
        <f t="array" ref="Q521">_xlfn.IFS(I521&gt;=3.5,"Excellent", I521&gt;3,"Good",I521&gt;2,"Average",I521&lt;2,"Poor")</f>
        <v>Excellent</v>
      </c>
      <c r="S521" t="str">
        <f t="shared" si="34"/>
        <v xml:space="preserve"> </v>
      </c>
      <c r="U521">
        <f t="shared" si="35"/>
        <v>2022</v>
      </c>
      <c r="AA521" t="str">
        <f t="shared" ca="1" si="36"/>
        <v/>
      </c>
    </row>
    <row r="522" spans="1:27" x14ac:dyDescent="0.3">
      <c r="A522" t="s">
        <v>1065</v>
      </c>
      <c r="B522" t="s">
        <v>1066</v>
      </c>
      <c r="C522" t="s">
        <v>25</v>
      </c>
      <c r="D522" t="s">
        <v>62</v>
      </c>
      <c r="E522" s="1">
        <v>44732</v>
      </c>
      <c r="F522" t="s">
        <v>19</v>
      </c>
      <c r="G522">
        <v>9016</v>
      </c>
      <c r="H522">
        <v>3228</v>
      </c>
      <c r="I522">
        <v>3.24</v>
      </c>
      <c r="J522">
        <v>62</v>
      </c>
      <c r="P522" t="str">
        <f t="shared" ca="1" si="33"/>
        <v xml:space="preserve"> </v>
      </c>
      <c r="Q522" t="str" cm="1">
        <f t="array" ref="Q522">_xlfn.IFS(I522&gt;=3.5,"Excellent", I522&gt;3,"Good",I522&gt;2,"Average",I522&lt;2,"Poor")</f>
        <v>Good</v>
      </c>
      <c r="S522" t="str">
        <f t="shared" si="34"/>
        <v xml:space="preserve"> </v>
      </c>
      <c r="U522">
        <f t="shared" si="35"/>
        <v>2022</v>
      </c>
      <c r="AA522">
        <f t="shared" ca="1" si="36"/>
        <v>1120</v>
      </c>
    </row>
    <row r="523" spans="1:27" x14ac:dyDescent="0.3">
      <c r="A523" t="s">
        <v>1067</v>
      </c>
      <c r="B523" t="s">
        <v>1068</v>
      </c>
      <c r="C523" t="s">
        <v>57</v>
      </c>
      <c r="D523" t="s">
        <v>18</v>
      </c>
      <c r="E523" s="1">
        <v>45458</v>
      </c>
      <c r="F523" t="s">
        <v>14</v>
      </c>
      <c r="G523">
        <v>6221</v>
      </c>
      <c r="H523">
        <v>5210</v>
      </c>
      <c r="I523">
        <v>3.38</v>
      </c>
      <c r="J523">
        <v>103</v>
      </c>
      <c r="P523">
        <f t="shared" ca="1" si="33"/>
        <v>394</v>
      </c>
      <c r="Q523" t="str" cm="1">
        <f t="array" ref="Q523">_xlfn.IFS(I523&gt;=3.5,"Excellent", I523&gt;3,"Good",I523&gt;2,"Average",I523&lt;2,"Poor")</f>
        <v>Good</v>
      </c>
      <c r="S523" t="b">
        <f t="shared" si="34"/>
        <v>1</v>
      </c>
      <c r="U523">
        <f t="shared" si="35"/>
        <v>2024</v>
      </c>
      <c r="AA523" t="str">
        <f t="shared" ca="1" si="36"/>
        <v/>
      </c>
    </row>
    <row r="524" spans="1:27" x14ac:dyDescent="0.3">
      <c r="A524" t="s">
        <v>1069</v>
      </c>
      <c r="B524" t="s">
        <v>1070</v>
      </c>
      <c r="C524" t="s">
        <v>25</v>
      </c>
      <c r="D524" t="s">
        <v>62</v>
      </c>
      <c r="E524" s="1">
        <v>44661</v>
      </c>
      <c r="F524" t="s">
        <v>14</v>
      </c>
      <c r="G524">
        <v>3532</v>
      </c>
      <c r="H524">
        <v>5236</v>
      </c>
      <c r="I524">
        <v>3.48</v>
      </c>
      <c r="J524">
        <v>115</v>
      </c>
      <c r="P524">
        <f t="shared" ca="1" si="33"/>
        <v>1191</v>
      </c>
      <c r="Q524" t="str" cm="1">
        <f t="array" ref="Q524">_xlfn.IFS(I524&gt;=3.5,"Excellent", I524&gt;3,"Good",I524&gt;2,"Average",I524&lt;2,"Poor")</f>
        <v>Good</v>
      </c>
      <c r="S524" t="b">
        <f t="shared" si="34"/>
        <v>1</v>
      </c>
      <c r="U524">
        <f t="shared" si="35"/>
        <v>2022</v>
      </c>
      <c r="AA524" t="str">
        <f t="shared" ca="1" si="36"/>
        <v/>
      </c>
    </row>
    <row r="525" spans="1:27" x14ac:dyDescent="0.3">
      <c r="A525" t="s">
        <v>1071</v>
      </c>
      <c r="B525" t="s">
        <v>1072</v>
      </c>
      <c r="C525" t="s">
        <v>36</v>
      </c>
      <c r="D525" t="s">
        <v>31</v>
      </c>
      <c r="E525" s="1">
        <v>45448</v>
      </c>
      <c r="F525" t="s">
        <v>14</v>
      </c>
      <c r="G525">
        <v>9455</v>
      </c>
      <c r="H525">
        <v>1102</v>
      </c>
      <c r="I525">
        <v>2.98</v>
      </c>
      <c r="J525">
        <v>15</v>
      </c>
      <c r="P525">
        <f t="shared" ca="1" si="33"/>
        <v>404</v>
      </c>
      <c r="Q525" t="str" cm="1">
        <f t="array" ref="Q525">_xlfn.IFS(I525&gt;=3.5,"Excellent", I525&gt;3,"Good",I525&gt;2,"Average",I525&lt;2,"Poor")</f>
        <v>Average</v>
      </c>
      <c r="S525" t="str">
        <f t="shared" si="34"/>
        <v xml:space="preserve"> </v>
      </c>
      <c r="U525">
        <f t="shared" si="35"/>
        <v>2024</v>
      </c>
      <c r="AA525" t="str">
        <f t="shared" ca="1" si="36"/>
        <v/>
      </c>
    </row>
    <row r="526" spans="1:27" x14ac:dyDescent="0.3">
      <c r="A526" t="s">
        <v>1073</v>
      </c>
      <c r="B526" t="s">
        <v>1074</v>
      </c>
      <c r="C526" t="s">
        <v>12</v>
      </c>
      <c r="D526" t="s">
        <v>31</v>
      </c>
      <c r="E526" s="1">
        <v>45452</v>
      </c>
      <c r="F526" t="s">
        <v>19</v>
      </c>
      <c r="G526">
        <v>4219</v>
      </c>
      <c r="H526">
        <v>6695</v>
      </c>
      <c r="I526">
        <v>2.4300000000000002</v>
      </c>
      <c r="J526">
        <v>79</v>
      </c>
      <c r="P526" t="str">
        <f t="shared" ca="1" si="33"/>
        <v xml:space="preserve"> </v>
      </c>
      <c r="Q526" t="str" cm="1">
        <f t="array" ref="Q526">_xlfn.IFS(I526&gt;=3.5,"Excellent", I526&gt;3,"Good",I526&gt;2,"Average",I526&lt;2,"Poor")</f>
        <v>Average</v>
      </c>
      <c r="S526" t="b">
        <f t="shared" si="34"/>
        <v>1</v>
      </c>
      <c r="U526">
        <f t="shared" si="35"/>
        <v>2024</v>
      </c>
      <c r="AA526">
        <f t="shared" ca="1" si="36"/>
        <v>400</v>
      </c>
    </row>
    <row r="527" spans="1:27" x14ac:dyDescent="0.3">
      <c r="A527" t="s">
        <v>1075</v>
      </c>
      <c r="B527" t="s">
        <v>1076</v>
      </c>
      <c r="C527" t="s">
        <v>36</v>
      </c>
      <c r="D527" t="s">
        <v>18</v>
      </c>
      <c r="E527" s="1">
        <v>44713</v>
      </c>
      <c r="F527" t="s">
        <v>14</v>
      </c>
      <c r="G527">
        <v>2395</v>
      </c>
      <c r="H527">
        <v>5019</v>
      </c>
      <c r="I527">
        <v>2.34</v>
      </c>
      <c r="J527">
        <v>53</v>
      </c>
      <c r="P527">
        <f t="shared" ca="1" si="33"/>
        <v>1139</v>
      </c>
      <c r="Q527" t="str" cm="1">
        <f t="array" ref="Q527">_xlfn.IFS(I527&gt;=3.5,"Excellent", I527&gt;3,"Good",I527&gt;2,"Average",I527&lt;2,"Poor")</f>
        <v>Average</v>
      </c>
      <c r="S527" t="b">
        <f t="shared" si="34"/>
        <v>1</v>
      </c>
      <c r="U527">
        <f t="shared" si="35"/>
        <v>2022</v>
      </c>
      <c r="AA527" t="str">
        <f t="shared" ca="1" si="36"/>
        <v/>
      </c>
    </row>
    <row r="528" spans="1:27" x14ac:dyDescent="0.3">
      <c r="A528" t="s">
        <v>1077</v>
      </c>
      <c r="B528" t="s">
        <v>1078</v>
      </c>
      <c r="C528" t="s">
        <v>28</v>
      </c>
      <c r="D528" t="s">
        <v>31</v>
      </c>
      <c r="E528" s="1">
        <v>45249</v>
      </c>
      <c r="F528" t="s">
        <v>39</v>
      </c>
      <c r="G528">
        <v>9775</v>
      </c>
      <c r="H528">
        <v>3000</v>
      </c>
      <c r="I528">
        <v>3.2</v>
      </c>
      <c r="J528">
        <v>32</v>
      </c>
      <c r="P528" t="str">
        <f t="shared" ca="1" si="33"/>
        <v xml:space="preserve"> </v>
      </c>
      <c r="Q528" t="str" cm="1">
        <f t="array" ref="Q528">_xlfn.IFS(I528&gt;=3.5,"Excellent", I528&gt;3,"Good",I528&gt;2,"Average",I528&lt;2,"Poor")</f>
        <v>Good</v>
      </c>
      <c r="S528" t="str">
        <f t="shared" si="34"/>
        <v xml:space="preserve"> </v>
      </c>
      <c r="U528">
        <f t="shared" si="35"/>
        <v>2023</v>
      </c>
      <c r="AA528" t="str">
        <f t="shared" ca="1" si="36"/>
        <v/>
      </c>
    </row>
    <row r="529" spans="1:27" x14ac:dyDescent="0.3">
      <c r="A529" t="s">
        <v>1079</v>
      </c>
      <c r="B529" t="s">
        <v>1080</v>
      </c>
      <c r="C529" t="s">
        <v>17</v>
      </c>
      <c r="D529" t="s">
        <v>62</v>
      </c>
      <c r="E529" s="1">
        <v>44582</v>
      </c>
      <c r="F529" t="s">
        <v>14</v>
      </c>
      <c r="G529">
        <v>4629</v>
      </c>
      <c r="H529">
        <v>3746</v>
      </c>
      <c r="I529">
        <v>3.38</v>
      </c>
      <c r="J529">
        <v>34</v>
      </c>
      <c r="P529">
        <f t="shared" ca="1" si="33"/>
        <v>1270</v>
      </c>
      <c r="Q529" t="str" cm="1">
        <f t="array" ref="Q529">_xlfn.IFS(I529&gt;=3.5,"Excellent", I529&gt;3,"Good",I529&gt;2,"Average",I529&lt;2,"Poor")</f>
        <v>Good</v>
      </c>
      <c r="S529" t="b">
        <f t="shared" si="34"/>
        <v>1</v>
      </c>
      <c r="U529">
        <f t="shared" si="35"/>
        <v>2022</v>
      </c>
      <c r="AA529" t="str">
        <f t="shared" ca="1" si="36"/>
        <v/>
      </c>
    </row>
    <row r="530" spans="1:27" x14ac:dyDescent="0.3">
      <c r="A530" t="s">
        <v>1081</v>
      </c>
      <c r="B530" t="s">
        <v>1082</v>
      </c>
      <c r="C530" t="s">
        <v>22</v>
      </c>
      <c r="D530" t="s">
        <v>31</v>
      </c>
      <c r="E530" s="1">
        <v>44570</v>
      </c>
      <c r="F530" t="s">
        <v>14</v>
      </c>
      <c r="G530">
        <v>7248</v>
      </c>
      <c r="H530">
        <v>9409</v>
      </c>
      <c r="I530">
        <v>2.7</v>
      </c>
      <c r="J530">
        <v>49</v>
      </c>
      <c r="P530">
        <f t="shared" ca="1" si="33"/>
        <v>1282</v>
      </c>
      <c r="Q530" t="str" cm="1">
        <f t="array" ref="Q530">_xlfn.IFS(I530&gt;=3.5,"Excellent", I530&gt;3,"Good",I530&gt;2,"Average",I530&lt;2,"Poor")</f>
        <v>Average</v>
      </c>
      <c r="S530" t="b">
        <f t="shared" si="34"/>
        <v>1</v>
      </c>
      <c r="U530">
        <f t="shared" si="35"/>
        <v>2022</v>
      </c>
      <c r="AA530" t="str">
        <f t="shared" ca="1" si="36"/>
        <v/>
      </c>
    </row>
    <row r="531" spans="1:27" x14ac:dyDescent="0.3">
      <c r="A531" t="s">
        <v>1083</v>
      </c>
      <c r="B531" t="s">
        <v>1084</v>
      </c>
      <c r="C531" t="s">
        <v>12</v>
      </c>
      <c r="D531" t="s">
        <v>62</v>
      </c>
      <c r="E531" s="1">
        <v>45194</v>
      </c>
      <c r="F531" t="s">
        <v>19</v>
      </c>
      <c r="G531">
        <v>4602</v>
      </c>
      <c r="H531">
        <v>4429</v>
      </c>
      <c r="I531">
        <v>3.6</v>
      </c>
      <c r="J531">
        <v>67</v>
      </c>
      <c r="P531" t="str">
        <f t="shared" ca="1" si="33"/>
        <v xml:space="preserve"> </v>
      </c>
      <c r="Q531" t="str" cm="1">
        <f t="array" ref="Q531">_xlfn.IFS(I531&gt;=3.5,"Excellent", I531&gt;3,"Good",I531&gt;2,"Average",I531&lt;2,"Poor")</f>
        <v>Excellent</v>
      </c>
      <c r="S531" t="b">
        <f t="shared" si="34"/>
        <v>1</v>
      </c>
      <c r="U531">
        <f t="shared" si="35"/>
        <v>2023</v>
      </c>
      <c r="AA531">
        <f t="shared" ca="1" si="36"/>
        <v>658</v>
      </c>
    </row>
    <row r="532" spans="1:27" x14ac:dyDescent="0.3">
      <c r="A532" t="s">
        <v>1085</v>
      </c>
      <c r="B532" t="s">
        <v>1086</v>
      </c>
      <c r="C532" t="s">
        <v>54</v>
      </c>
      <c r="D532" t="s">
        <v>31</v>
      </c>
      <c r="E532" s="1">
        <v>45354</v>
      </c>
      <c r="F532" t="s">
        <v>14</v>
      </c>
      <c r="G532">
        <v>10379</v>
      </c>
      <c r="H532">
        <v>4077</v>
      </c>
      <c r="I532">
        <v>3.5</v>
      </c>
      <c r="J532">
        <v>76</v>
      </c>
      <c r="P532">
        <f t="shared" ca="1" si="33"/>
        <v>498</v>
      </c>
      <c r="Q532" t="str" cm="1">
        <f t="array" ref="Q532">_xlfn.IFS(I532&gt;=3.5,"Excellent", I532&gt;3,"Good",I532&gt;2,"Average",I532&lt;2,"Poor")</f>
        <v>Excellent</v>
      </c>
      <c r="S532" t="str">
        <f t="shared" si="34"/>
        <v xml:space="preserve"> </v>
      </c>
      <c r="U532">
        <f t="shared" si="35"/>
        <v>2024</v>
      </c>
      <c r="AA532" t="str">
        <f t="shared" ca="1" si="36"/>
        <v/>
      </c>
    </row>
    <row r="533" spans="1:27" x14ac:dyDescent="0.3">
      <c r="A533" t="s">
        <v>1087</v>
      </c>
      <c r="B533" t="s">
        <v>1088</v>
      </c>
      <c r="C533" t="s">
        <v>36</v>
      </c>
      <c r="D533" t="s">
        <v>13</v>
      </c>
      <c r="E533" s="1">
        <v>44824</v>
      </c>
      <c r="F533" t="s">
        <v>19</v>
      </c>
      <c r="G533">
        <v>11404</v>
      </c>
      <c r="H533">
        <v>8999</v>
      </c>
      <c r="I533">
        <v>2.9</v>
      </c>
      <c r="J533">
        <v>81</v>
      </c>
      <c r="P533" t="str">
        <f t="shared" ca="1" si="33"/>
        <v xml:space="preserve"> </v>
      </c>
      <c r="Q533" t="str" cm="1">
        <f t="array" ref="Q533">_xlfn.IFS(I533&gt;=3.5,"Excellent", I533&gt;3,"Good",I533&gt;2,"Average",I533&lt;2,"Poor")</f>
        <v>Average</v>
      </c>
      <c r="S533" t="b">
        <f t="shared" si="34"/>
        <v>1</v>
      </c>
      <c r="U533">
        <f t="shared" si="35"/>
        <v>2022</v>
      </c>
      <c r="AA533">
        <f t="shared" ca="1" si="36"/>
        <v>1028</v>
      </c>
    </row>
    <row r="534" spans="1:27" x14ac:dyDescent="0.3">
      <c r="A534" t="s">
        <v>1089</v>
      </c>
      <c r="B534" t="s">
        <v>1090</v>
      </c>
      <c r="C534" t="s">
        <v>22</v>
      </c>
      <c r="D534" t="s">
        <v>62</v>
      </c>
      <c r="E534" s="1">
        <v>44821</v>
      </c>
      <c r="F534" t="s">
        <v>14</v>
      </c>
      <c r="G534">
        <v>2748</v>
      </c>
      <c r="H534">
        <v>9068</v>
      </c>
      <c r="I534">
        <v>3.73</v>
      </c>
      <c r="J534">
        <v>89</v>
      </c>
      <c r="P534">
        <f t="shared" ca="1" si="33"/>
        <v>1031</v>
      </c>
      <c r="Q534" t="str" cm="1">
        <f t="array" ref="Q534">_xlfn.IFS(I534&gt;=3.5,"Excellent", I534&gt;3,"Good",I534&gt;2,"Average",I534&lt;2,"Poor")</f>
        <v>Excellent</v>
      </c>
      <c r="S534" t="b">
        <f t="shared" si="34"/>
        <v>1</v>
      </c>
      <c r="U534">
        <f t="shared" si="35"/>
        <v>2022</v>
      </c>
      <c r="AA534" t="str">
        <f t="shared" ca="1" si="36"/>
        <v/>
      </c>
    </row>
    <row r="535" spans="1:27" x14ac:dyDescent="0.3">
      <c r="A535" t="s">
        <v>1091</v>
      </c>
      <c r="B535" t="s">
        <v>1092</v>
      </c>
      <c r="C535" t="s">
        <v>36</v>
      </c>
      <c r="D535" t="s">
        <v>31</v>
      </c>
      <c r="E535" s="1">
        <v>45158</v>
      </c>
      <c r="F535" t="s">
        <v>14</v>
      </c>
      <c r="G535">
        <v>14781</v>
      </c>
      <c r="H535">
        <v>7325</v>
      </c>
      <c r="I535">
        <v>3.22</v>
      </c>
      <c r="J535">
        <v>79</v>
      </c>
      <c r="P535">
        <f t="shared" ca="1" si="33"/>
        <v>694</v>
      </c>
      <c r="Q535" t="str" cm="1">
        <f t="array" ref="Q535">_xlfn.IFS(I535&gt;=3.5,"Excellent", I535&gt;3,"Good",I535&gt;2,"Average",I535&lt;2,"Poor")</f>
        <v>Good</v>
      </c>
      <c r="S535" t="str">
        <f t="shared" si="34"/>
        <v xml:space="preserve"> </v>
      </c>
      <c r="U535">
        <f t="shared" si="35"/>
        <v>2023</v>
      </c>
      <c r="AA535" t="str">
        <f t="shared" ca="1" si="36"/>
        <v/>
      </c>
    </row>
    <row r="536" spans="1:27" x14ac:dyDescent="0.3">
      <c r="A536" t="s">
        <v>1093</v>
      </c>
      <c r="B536" t="s">
        <v>1094</v>
      </c>
      <c r="C536" t="s">
        <v>54</v>
      </c>
      <c r="D536" t="s">
        <v>62</v>
      </c>
      <c r="E536" s="1">
        <v>45215</v>
      </c>
      <c r="F536" t="s">
        <v>14</v>
      </c>
      <c r="G536">
        <v>8468</v>
      </c>
      <c r="H536">
        <v>802</v>
      </c>
      <c r="I536">
        <v>2.74</v>
      </c>
      <c r="J536">
        <v>117</v>
      </c>
      <c r="P536">
        <f t="shared" ca="1" si="33"/>
        <v>637</v>
      </c>
      <c r="Q536" t="str" cm="1">
        <f t="array" ref="Q536">_xlfn.IFS(I536&gt;=3.5,"Excellent", I536&gt;3,"Good",I536&gt;2,"Average",I536&lt;2,"Poor")</f>
        <v>Average</v>
      </c>
      <c r="S536" t="str">
        <f t="shared" si="34"/>
        <v xml:space="preserve"> </v>
      </c>
      <c r="U536">
        <f t="shared" si="35"/>
        <v>2023</v>
      </c>
      <c r="AA536" t="str">
        <f t="shared" ca="1" si="36"/>
        <v/>
      </c>
    </row>
    <row r="537" spans="1:27" x14ac:dyDescent="0.3">
      <c r="A537" t="s">
        <v>1095</v>
      </c>
      <c r="B537" t="s">
        <v>1096</v>
      </c>
      <c r="C537" t="s">
        <v>22</v>
      </c>
      <c r="D537" t="s">
        <v>62</v>
      </c>
      <c r="E537" s="1">
        <v>44864</v>
      </c>
      <c r="F537" t="s">
        <v>39</v>
      </c>
      <c r="G537">
        <v>3482</v>
      </c>
      <c r="H537">
        <v>2557</v>
      </c>
      <c r="I537">
        <v>3.67</v>
      </c>
      <c r="J537">
        <v>62</v>
      </c>
      <c r="P537" t="str">
        <f t="shared" ca="1" si="33"/>
        <v xml:space="preserve"> </v>
      </c>
      <c r="Q537" t="str" cm="1">
        <f t="array" ref="Q537">_xlfn.IFS(I537&gt;=3.5,"Excellent", I537&gt;3,"Good",I537&gt;2,"Average",I537&lt;2,"Poor")</f>
        <v>Excellent</v>
      </c>
      <c r="S537" t="b">
        <f t="shared" si="34"/>
        <v>1</v>
      </c>
      <c r="U537">
        <f t="shared" si="35"/>
        <v>2022</v>
      </c>
      <c r="AA537" t="str">
        <f t="shared" ca="1" si="36"/>
        <v/>
      </c>
    </row>
    <row r="538" spans="1:27" x14ac:dyDescent="0.3">
      <c r="A538" t="s">
        <v>1097</v>
      </c>
      <c r="B538" t="s">
        <v>1098</v>
      </c>
      <c r="C538" t="s">
        <v>12</v>
      </c>
      <c r="D538" t="s">
        <v>18</v>
      </c>
      <c r="E538" s="1">
        <v>44816</v>
      </c>
      <c r="F538" t="s">
        <v>19</v>
      </c>
      <c r="G538">
        <v>10273</v>
      </c>
      <c r="H538">
        <v>782</v>
      </c>
      <c r="I538">
        <v>2.9</v>
      </c>
      <c r="J538">
        <v>59</v>
      </c>
      <c r="P538" t="str">
        <f t="shared" ca="1" si="33"/>
        <v xml:space="preserve"> </v>
      </c>
      <c r="Q538" t="str" cm="1">
        <f t="array" ref="Q538">_xlfn.IFS(I538&gt;=3.5,"Excellent", I538&gt;3,"Good",I538&gt;2,"Average",I538&lt;2,"Poor")</f>
        <v>Average</v>
      </c>
      <c r="S538" t="str">
        <f t="shared" si="34"/>
        <v xml:space="preserve"> </v>
      </c>
      <c r="U538">
        <f t="shared" si="35"/>
        <v>2022</v>
      </c>
      <c r="AA538">
        <f t="shared" ca="1" si="36"/>
        <v>1036</v>
      </c>
    </row>
    <row r="539" spans="1:27" x14ac:dyDescent="0.3">
      <c r="A539" t="s">
        <v>1099</v>
      </c>
      <c r="B539" t="s">
        <v>1100</v>
      </c>
      <c r="C539" t="s">
        <v>54</v>
      </c>
      <c r="D539" t="s">
        <v>13</v>
      </c>
      <c r="E539" s="1">
        <v>44878</v>
      </c>
      <c r="F539" t="s">
        <v>14</v>
      </c>
      <c r="G539">
        <v>3359</v>
      </c>
      <c r="H539">
        <v>7027</v>
      </c>
      <c r="I539">
        <v>2.0499999999999998</v>
      </c>
      <c r="J539">
        <v>73</v>
      </c>
      <c r="P539">
        <f t="shared" ca="1" si="33"/>
        <v>974</v>
      </c>
      <c r="Q539" t="str" cm="1">
        <f t="array" ref="Q539">_xlfn.IFS(I539&gt;=3.5,"Excellent", I539&gt;3,"Good",I539&gt;2,"Average",I539&lt;2,"Poor")</f>
        <v>Average</v>
      </c>
      <c r="S539" t="b">
        <f t="shared" si="34"/>
        <v>1</v>
      </c>
      <c r="U539">
        <f t="shared" si="35"/>
        <v>2022</v>
      </c>
      <c r="AA539" t="str">
        <f t="shared" ca="1" si="36"/>
        <v/>
      </c>
    </row>
    <row r="540" spans="1:27" x14ac:dyDescent="0.3">
      <c r="A540" t="s">
        <v>1101</v>
      </c>
      <c r="B540" t="s">
        <v>1102</v>
      </c>
      <c r="C540" t="s">
        <v>22</v>
      </c>
      <c r="D540" t="s">
        <v>31</v>
      </c>
      <c r="E540" s="1">
        <v>45372</v>
      </c>
      <c r="F540" t="s">
        <v>14</v>
      </c>
      <c r="G540">
        <v>12403</v>
      </c>
      <c r="H540">
        <v>6720</v>
      </c>
      <c r="I540">
        <v>2.15</v>
      </c>
      <c r="J540">
        <v>48</v>
      </c>
      <c r="P540">
        <f t="shared" ca="1" si="33"/>
        <v>480</v>
      </c>
      <c r="Q540" t="str" cm="1">
        <f t="array" ref="Q540">_xlfn.IFS(I540&gt;=3.5,"Excellent", I540&gt;3,"Good",I540&gt;2,"Average",I540&lt;2,"Poor")</f>
        <v>Average</v>
      </c>
      <c r="S540" t="b">
        <f t="shared" si="34"/>
        <v>1</v>
      </c>
      <c r="U540">
        <f t="shared" si="35"/>
        <v>2024</v>
      </c>
      <c r="AA540" t="str">
        <f t="shared" ca="1" si="36"/>
        <v/>
      </c>
    </row>
    <row r="541" spans="1:27" x14ac:dyDescent="0.3">
      <c r="A541" t="s">
        <v>1103</v>
      </c>
      <c r="B541" t="s">
        <v>1104</v>
      </c>
      <c r="C541" t="s">
        <v>54</v>
      </c>
      <c r="D541" t="s">
        <v>18</v>
      </c>
      <c r="E541" s="1">
        <v>45156</v>
      </c>
      <c r="F541" t="s">
        <v>39</v>
      </c>
      <c r="G541">
        <v>14781</v>
      </c>
      <c r="H541">
        <v>8496</v>
      </c>
      <c r="I541">
        <v>2.42</v>
      </c>
      <c r="J541">
        <v>16</v>
      </c>
      <c r="P541" t="str">
        <f t="shared" ca="1" si="33"/>
        <v xml:space="preserve"> </v>
      </c>
      <c r="Q541" t="str" cm="1">
        <f t="array" ref="Q541">_xlfn.IFS(I541&gt;=3.5,"Excellent", I541&gt;3,"Good",I541&gt;2,"Average",I541&lt;2,"Poor")</f>
        <v>Average</v>
      </c>
      <c r="S541" t="b">
        <f t="shared" si="34"/>
        <v>1</v>
      </c>
      <c r="U541">
        <f t="shared" si="35"/>
        <v>2023</v>
      </c>
      <c r="AA541" t="str">
        <f t="shared" ca="1" si="36"/>
        <v/>
      </c>
    </row>
    <row r="542" spans="1:27" x14ac:dyDescent="0.3">
      <c r="A542" t="s">
        <v>1105</v>
      </c>
      <c r="B542" t="s">
        <v>1106</v>
      </c>
      <c r="C542" t="s">
        <v>25</v>
      </c>
      <c r="D542" t="s">
        <v>18</v>
      </c>
      <c r="E542" s="1">
        <v>44576</v>
      </c>
      <c r="F542" t="s">
        <v>39</v>
      </c>
      <c r="G542">
        <v>11844</v>
      </c>
      <c r="H542">
        <v>3086</v>
      </c>
      <c r="I542">
        <v>2.65</v>
      </c>
      <c r="J542">
        <v>115</v>
      </c>
      <c r="P542" t="str">
        <f t="shared" ca="1" si="33"/>
        <v xml:space="preserve"> </v>
      </c>
      <c r="Q542" t="str" cm="1">
        <f t="array" ref="Q542">_xlfn.IFS(I542&gt;=3.5,"Excellent", I542&gt;3,"Good",I542&gt;2,"Average",I542&lt;2,"Poor")</f>
        <v>Average</v>
      </c>
      <c r="S542" t="str">
        <f t="shared" si="34"/>
        <v xml:space="preserve"> </v>
      </c>
      <c r="U542">
        <f t="shared" si="35"/>
        <v>2022</v>
      </c>
      <c r="AA542" t="str">
        <f t="shared" ca="1" si="36"/>
        <v/>
      </c>
    </row>
    <row r="543" spans="1:27" x14ac:dyDescent="0.3">
      <c r="A543" t="s">
        <v>1107</v>
      </c>
      <c r="B543" t="s">
        <v>1108</v>
      </c>
      <c r="C543" t="s">
        <v>25</v>
      </c>
      <c r="D543" t="s">
        <v>62</v>
      </c>
      <c r="E543" s="1">
        <v>44753</v>
      </c>
      <c r="F543" t="s">
        <v>14</v>
      </c>
      <c r="G543">
        <v>13562</v>
      </c>
      <c r="H543">
        <v>378</v>
      </c>
      <c r="I543">
        <v>2.88</v>
      </c>
      <c r="J543">
        <v>83</v>
      </c>
      <c r="P543">
        <f t="shared" ca="1" si="33"/>
        <v>1099</v>
      </c>
      <c r="Q543" t="str" cm="1">
        <f t="array" ref="Q543">_xlfn.IFS(I543&gt;=3.5,"Excellent", I543&gt;3,"Good",I543&gt;2,"Average",I543&lt;2,"Poor")</f>
        <v>Average</v>
      </c>
      <c r="S543" t="str">
        <f t="shared" si="34"/>
        <v xml:space="preserve"> </v>
      </c>
      <c r="U543">
        <f t="shared" si="35"/>
        <v>2022</v>
      </c>
      <c r="AA543" t="str">
        <f t="shared" ca="1" si="36"/>
        <v/>
      </c>
    </row>
    <row r="544" spans="1:27" x14ac:dyDescent="0.3">
      <c r="A544" t="s">
        <v>1109</v>
      </c>
      <c r="B544" t="s">
        <v>1110</v>
      </c>
      <c r="C544" t="s">
        <v>28</v>
      </c>
      <c r="D544" t="s">
        <v>18</v>
      </c>
      <c r="E544" s="1">
        <v>44585</v>
      </c>
      <c r="F544" t="s">
        <v>14</v>
      </c>
      <c r="G544">
        <v>6188</v>
      </c>
      <c r="H544">
        <v>3078</v>
      </c>
      <c r="I544">
        <v>3.67</v>
      </c>
      <c r="J544">
        <v>45</v>
      </c>
      <c r="P544">
        <f t="shared" ca="1" si="33"/>
        <v>1267</v>
      </c>
      <c r="Q544" t="str" cm="1">
        <f t="array" ref="Q544">_xlfn.IFS(I544&gt;=3.5,"Excellent", I544&gt;3,"Good",I544&gt;2,"Average",I544&lt;2,"Poor")</f>
        <v>Excellent</v>
      </c>
      <c r="S544" t="str">
        <f t="shared" si="34"/>
        <v xml:space="preserve"> </v>
      </c>
      <c r="U544">
        <f t="shared" si="35"/>
        <v>2022</v>
      </c>
      <c r="AA544" t="str">
        <f t="shared" ca="1" si="36"/>
        <v/>
      </c>
    </row>
    <row r="545" spans="1:27" x14ac:dyDescent="0.3">
      <c r="A545" t="s">
        <v>1111</v>
      </c>
      <c r="B545" t="s">
        <v>1112</v>
      </c>
      <c r="C545" t="s">
        <v>54</v>
      </c>
      <c r="D545" t="s">
        <v>62</v>
      </c>
      <c r="E545" s="1">
        <v>45276</v>
      </c>
      <c r="F545" t="s">
        <v>14</v>
      </c>
      <c r="G545">
        <v>9594</v>
      </c>
      <c r="H545">
        <v>2423</v>
      </c>
      <c r="I545">
        <v>2.1</v>
      </c>
      <c r="J545">
        <v>96</v>
      </c>
      <c r="P545">
        <f t="shared" ca="1" si="33"/>
        <v>576</v>
      </c>
      <c r="Q545" t="str" cm="1">
        <f t="array" ref="Q545">_xlfn.IFS(I545&gt;=3.5,"Excellent", I545&gt;3,"Good",I545&gt;2,"Average",I545&lt;2,"Poor")</f>
        <v>Average</v>
      </c>
      <c r="S545" t="str">
        <f t="shared" si="34"/>
        <v xml:space="preserve"> </v>
      </c>
      <c r="U545">
        <f t="shared" si="35"/>
        <v>2023</v>
      </c>
      <c r="AA545" t="str">
        <f t="shared" ca="1" si="36"/>
        <v/>
      </c>
    </row>
    <row r="546" spans="1:27" x14ac:dyDescent="0.3">
      <c r="A546" t="s">
        <v>1113</v>
      </c>
      <c r="B546" t="s">
        <v>1114</v>
      </c>
      <c r="C546" t="s">
        <v>54</v>
      </c>
      <c r="D546" t="s">
        <v>13</v>
      </c>
      <c r="E546" s="1">
        <v>45082</v>
      </c>
      <c r="F546" t="s">
        <v>39</v>
      </c>
      <c r="G546">
        <v>11109</v>
      </c>
      <c r="H546">
        <v>8899</v>
      </c>
      <c r="I546">
        <v>3.47</v>
      </c>
      <c r="J546">
        <v>109</v>
      </c>
      <c r="P546" t="str">
        <f t="shared" ca="1" si="33"/>
        <v xml:space="preserve"> </v>
      </c>
      <c r="Q546" t="str" cm="1">
        <f t="array" ref="Q546">_xlfn.IFS(I546&gt;=3.5,"Excellent", I546&gt;3,"Good",I546&gt;2,"Average",I546&lt;2,"Poor")</f>
        <v>Good</v>
      </c>
      <c r="S546" t="b">
        <f t="shared" si="34"/>
        <v>1</v>
      </c>
      <c r="U546">
        <f t="shared" si="35"/>
        <v>2023</v>
      </c>
      <c r="AA546" t="str">
        <f t="shared" ca="1" si="36"/>
        <v/>
      </c>
    </row>
    <row r="547" spans="1:27" x14ac:dyDescent="0.3">
      <c r="A547" t="s">
        <v>1115</v>
      </c>
      <c r="B547" t="s">
        <v>1116</v>
      </c>
      <c r="C547" t="s">
        <v>28</v>
      </c>
      <c r="D547" t="s">
        <v>18</v>
      </c>
      <c r="E547" s="1">
        <v>45077</v>
      </c>
      <c r="F547" t="s">
        <v>14</v>
      </c>
      <c r="G547">
        <v>13950</v>
      </c>
      <c r="H547">
        <v>6684</v>
      </c>
      <c r="I547">
        <v>2.37</v>
      </c>
      <c r="J547">
        <v>103</v>
      </c>
      <c r="P547">
        <f t="shared" ca="1" si="33"/>
        <v>775</v>
      </c>
      <c r="Q547" t="str" cm="1">
        <f t="array" ref="Q547">_xlfn.IFS(I547&gt;=3.5,"Excellent", I547&gt;3,"Good",I547&gt;2,"Average",I547&lt;2,"Poor")</f>
        <v>Average</v>
      </c>
      <c r="S547" t="str">
        <f t="shared" si="34"/>
        <v xml:space="preserve"> </v>
      </c>
      <c r="U547">
        <f t="shared" si="35"/>
        <v>2023</v>
      </c>
      <c r="AA547" t="str">
        <f t="shared" ca="1" si="36"/>
        <v/>
      </c>
    </row>
    <row r="548" spans="1:27" x14ac:dyDescent="0.3">
      <c r="A548" t="s">
        <v>1117</v>
      </c>
      <c r="B548" t="s">
        <v>1118</v>
      </c>
      <c r="C548" t="s">
        <v>25</v>
      </c>
      <c r="D548" t="s">
        <v>18</v>
      </c>
      <c r="E548" s="1">
        <v>44989</v>
      </c>
      <c r="F548" t="s">
        <v>14</v>
      </c>
      <c r="G548">
        <v>13070</v>
      </c>
      <c r="H548">
        <v>5252</v>
      </c>
      <c r="I548">
        <v>2.19</v>
      </c>
      <c r="J548">
        <v>94</v>
      </c>
      <c r="P548">
        <f t="shared" ca="1" si="33"/>
        <v>863</v>
      </c>
      <c r="Q548" t="str" cm="1">
        <f t="array" ref="Q548">_xlfn.IFS(I548&gt;=3.5,"Excellent", I548&gt;3,"Good",I548&gt;2,"Average",I548&lt;2,"Poor")</f>
        <v>Average</v>
      </c>
      <c r="S548" t="str">
        <f t="shared" si="34"/>
        <v xml:space="preserve"> </v>
      </c>
      <c r="U548">
        <f t="shared" si="35"/>
        <v>2023</v>
      </c>
      <c r="AA548" t="str">
        <f t="shared" ca="1" si="36"/>
        <v/>
      </c>
    </row>
    <row r="549" spans="1:27" x14ac:dyDescent="0.3">
      <c r="A549" t="s">
        <v>1119</v>
      </c>
      <c r="B549" t="s">
        <v>1120</v>
      </c>
      <c r="C549" t="s">
        <v>57</v>
      </c>
      <c r="D549" t="s">
        <v>31</v>
      </c>
      <c r="E549" s="1">
        <v>44673</v>
      </c>
      <c r="F549" t="s">
        <v>39</v>
      </c>
      <c r="G549">
        <v>6161</v>
      </c>
      <c r="H549">
        <v>9625</v>
      </c>
      <c r="I549">
        <v>2.84</v>
      </c>
      <c r="J549">
        <v>50</v>
      </c>
      <c r="P549" t="str">
        <f t="shared" ca="1" si="33"/>
        <v xml:space="preserve"> </v>
      </c>
      <c r="Q549" t="str" cm="1">
        <f t="array" ref="Q549">_xlfn.IFS(I549&gt;=3.5,"Excellent", I549&gt;3,"Good",I549&gt;2,"Average",I549&lt;2,"Poor")</f>
        <v>Average</v>
      </c>
      <c r="S549" t="b">
        <f t="shared" si="34"/>
        <v>1</v>
      </c>
      <c r="U549">
        <f t="shared" si="35"/>
        <v>2022</v>
      </c>
      <c r="AA549" t="str">
        <f t="shared" ca="1" si="36"/>
        <v/>
      </c>
    </row>
    <row r="550" spans="1:27" x14ac:dyDescent="0.3">
      <c r="A550" t="s">
        <v>1121</v>
      </c>
      <c r="B550" t="s">
        <v>1122</v>
      </c>
      <c r="C550" t="s">
        <v>28</v>
      </c>
      <c r="D550" t="s">
        <v>13</v>
      </c>
      <c r="E550" s="1">
        <v>45052</v>
      </c>
      <c r="F550" t="s">
        <v>19</v>
      </c>
      <c r="G550">
        <v>14816</v>
      </c>
      <c r="H550">
        <v>1546</v>
      </c>
      <c r="I550">
        <v>3.69</v>
      </c>
      <c r="J550">
        <v>31</v>
      </c>
      <c r="P550" t="str">
        <f t="shared" ca="1" si="33"/>
        <v xml:space="preserve"> </v>
      </c>
      <c r="Q550" t="str" cm="1">
        <f t="array" ref="Q550">_xlfn.IFS(I550&gt;=3.5,"Excellent", I550&gt;3,"Good",I550&gt;2,"Average",I550&lt;2,"Poor")</f>
        <v>Excellent</v>
      </c>
      <c r="S550" t="str">
        <f t="shared" si="34"/>
        <v xml:space="preserve"> </v>
      </c>
      <c r="U550">
        <f t="shared" si="35"/>
        <v>2023</v>
      </c>
      <c r="AA550">
        <f t="shared" ca="1" si="36"/>
        <v>800</v>
      </c>
    </row>
    <row r="551" spans="1:27" x14ac:dyDescent="0.3">
      <c r="A551" t="s">
        <v>1123</v>
      </c>
      <c r="B551" t="s">
        <v>1124</v>
      </c>
      <c r="C551" t="s">
        <v>17</v>
      </c>
      <c r="D551" t="s">
        <v>18</v>
      </c>
      <c r="E551" s="1">
        <v>45350</v>
      </c>
      <c r="F551" t="s">
        <v>19</v>
      </c>
      <c r="G551">
        <v>4781</v>
      </c>
      <c r="H551">
        <v>667</v>
      </c>
      <c r="I551">
        <v>3.11</v>
      </c>
      <c r="J551">
        <v>32</v>
      </c>
      <c r="P551" t="str">
        <f t="shared" ca="1" si="33"/>
        <v xml:space="preserve"> </v>
      </c>
      <c r="Q551" t="str" cm="1">
        <f t="array" ref="Q551">_xlfn.IFS(I551&gt;=3.5,"Excellent", I551&gt;3,"Good",I551&gt;2,"Average",I551&lt;2,"Poor")</f>
        <v>Good</v>
      </c>
      <c r="S551" t="str">
        <f t="shared" si="34"/>
        <v xml:space="preserve"> </v>
      </c>
      <c r="U551">
        <f t="shared" si="35"/>
        <v>2024</v>
      </c>
      <c r="AA551">
        <f t="shared" ca="1" si="36"/>
        <v>502</v>
      </c>
    </row>
    <row r="552" spans="1:27" x14ac:dyDescent="0.3">
      <c r="A552" t="s">
        <v>1125</v>
      </c>
      <c r="B552" t="s">
        <v>1126</v>
      </c>
      <c r="C552" t="s">
        <v>12</v>
      </c>
      <c r="D552" t="s">
        <v>13</v>
      </c>
      <c r="E552" s="1">
        <v>45428</v>
      </c>
      <c r="F552" t="s">
        <v>39</v>
      </c>
      <c r="G552">
        <v>9289</v>
      </c>
      <c r="H552">
        <v>4906</v>
      </c>
      <c r="I552">
        <v>2.2599999999999998</v>
      </c>
      <c r="J552">
        <v>105</v>
      </c>
      <c r="P552" t="str">
        <f t="shared" ca="1" si="33"/>
        <v xml:space="preserve"> </v>
      </c>
      <c r="Q552" t="str" cm="1">
        <f t="array" ref="Q552">_xlfn.IFS(I552&gt;=3.5,"Excellent", I552&gt;3,"Good",I552&gt;2,"Average",I552&lt;2,"Poor")</f>
        <v>Average</v>
      </c>
      <c r="S552" t="b">
        <f t="shared" si="34"/>
        <v>1</v>
      </c>
      <c r="U552">
        <f t="shared" si="35"/>
        <v>2024</v>
      </c>
      <c r="AA552" t="str">
        <f t="shared" ca="1" si="36"/>
        <v/>
      </c>
    </row>
    <row r="553" spans="1:27" x14ac:dyDescent="0.3">
      <c r="A553" t="s">
        <v>1127</v>
      </c>
      <c r="B553" t="s">
        <v>1128</v>
      </c>
      <c r="C553" t="s">
        <v>17</v>
      </c>
      <c r="D553" t="s">
        <v>31</v>
      </c>
      <c r="E553" s="1">
        <v>45370</v>
      </c>
      <c r="F553" t="s">
        <v>14</v>
      </c>
      <c r="G553">
        <v>4151</v>
      </c>
      <c r="H553">
        <v>7945</v>
      </c>
      <c r="I553">
        <v>3.12</v>
      </c>
      <c r="J553">
        <v>45</v>
      </c>
      <c r="P553">
        <f t="shared" ca="1" si="33"/>
        <v>482</v>
      </c>
      <c r="Q553" t="str" cm="1">
        <f t="array" ref="Q553">_xlfn.IFS(I553&gt;=3.5,"Excellent", I553&gt;3,"Good",I553&gt;2,"Average",I553&lt;2,"Poor")</f>
        <v>Good</v>
      </c>
      <c r="S553" t="b">
        <f t="shared" si="34"/>
        <v>1</v>
      </c>
      <c r="U553">
        <f t="shared" si="35"/>
        <v>2024</v>
      </c>
      <c r="AA553" t="str">
        <f t="shared" ca="1" si="36"/>
        <v/>
      </c>
    </row>
    <row r="554" spans="1:27" x14ac:dyDescent="0.3">
      <c r="A554" t="s">
        <v>1129</v>
      </c>
      <c r="B554" t="s">
        <v>1130</v>
      </c>
      <c r="C554" t="s">
        <v>25</v>
      </c>
      <c r="D554" t="s">
        <v>18</v>
      </c>
      <c r="E554" s="1">
        <v>44966</v>
      </c>
      <c r="F554" t="s">
        <v>19</v>
      </c>
      <c r="G554">
        <v>13343</v>
      </c>
      <c r="H554">
        <v>4903</v>
      </c>
      <c r="I554">
        <v>2.77</v>
      </c>
      <c r="J554">
        <v>39</v>
      </c>
      <c r="P554" t="str">
        <f t="shared" ca="1" si="33"/>
        <v xml:space="preserve"> </v>
      </c>
      <c r="Q554" t="str" cm="1">
        <f t="array" ref="Q554">_xlfn.IFS(I554&gt;=3.5,"Excellent", I554&gt;3,"Good",I554&gt;2,"Average",I554&lt;2,"Poor")</f>
        <v>Average</v>
      </c>
      <c r="S554" t="str">
        <f t="shared" si="34"/>
        <v xml:space="preserve"> </v>
      </c>
      <c r="U554">
        <f t="shared" si="35"/>
        <v>2023</v>
      </c>
      <c r="AA554">
        <f t="shared" ca="1" si="36"/>
        <v>886</v>
      </c>
    </row>
    <row r="555" spans="1:27" x14ac:dyDescent="0.3">
      <c r="A555" t="s">
        <v>1131</v>
      </c>
      <c r="B555" t="s">
        <v>1132</v>
      </c>
      <c r="C555" t="s">
        <v>25</v>
      </c>
      <c r="D555" t="s">
        <v>31</v>
      </c>
      <c r="E555" s="1">
        <v>45115</v>
      </c>
      <c r="F555" t="s">
        <v>14</v>
      </c>
      <c r="G555">
        <v>2460</v>
      </c>
      <c r="H555">
        <v>4560</v>
      </c>
      <c r="I555">
        <v>3.8</v>
      </c>
      <c r="J555">
        <v>62</v>
      </c>
      <c r="P555">
        <f t="shared" ca="1" si="33"/>
        <v>737</v>
      </c>
      <c r="Q555" t="str" cm="1">
        <f t="array" ref="Q555">_xlfn.IFS(I555&gt;=3.5,"Excellent", I555&gt;3,"Good",I555&gt;2,"Average",I555&lt;2,"Poor")</f>
        <v>Excellent</v>
      </c>
      <c r="S555" t="b">
        <f t="shared" si="34"/>
        <v>1</v>
      </c>
      <c r="U555">
        <f t="shared" si="35"/>
        <v>2023</v>
      </c>
      <c r="AA555" t="str">
        <f t="shared" ca="1" si="36"/>
        <v/>
      </c>
    </row>
    <row r="556" spans="1:27" x14ac:dyDescent="0.3">
      <c r="A556" t="s">
        <v>1133</v>
      </c>
      <c r="B556" t="s">
        <v>1134</v>
      </c>
      <c r="C556" t="s">
        <v>28</v>
      </c>
      <c r="D556" t="s">
        <v>13</v>
      </c>
      <c r="E556" s="1">
        <v>45204</v>
      </c>
      <c r="F556" t="s">
        <v>19</v>
      </c>
      <c r="G556">
        <v>10553</v>
      </c>
      <c r="H556">
        <v>3008</v>
      </c>
      <c r="I556">
        <v>2.37</v>
      </c>
      <c r="J556">
        <v>3</v>
      </c>
      <c r="P556" t="str">
        <f t="shared" ca="1" si="33"/>
        <v xml:space="preserve"> </v>
      </c>
      <c r="Q556" t="str" cm="1">
        <f t="array" ref="Q556">_xlfn.IFS(I556&gt;=3.5,"Excellent", I556&gt;3,"Good",I556&gt;2,"Average",I556&lt;2,"Poor")</f>
        <v>Average</v>
      </c>
      <c r="S556" t="str">
        <f t="shared" si="34"/>
        <v xml:space="preserve"> </v>
      </c>
      <c r="U556">
        <f t="shared" si="35"/>
        <v>2023</v>
      </c>
      <c r="AA556">
        <f t="shared" ca="1" si="36"/>
        <v>648</v>
      </c>
    </row>
    <row r="557" spans="1:27" x14ac:dyDescent="0.3">
      <c r="A557" t="s">
        <v>1135</v>
      </c>
      <c r="B557" t="s">
        <v>1136</v>
      </c>
      <c r="C557" t="s">
        <v>28</v>
      </c>
      <c r="D557" t="s">
        <v>31</v>
      </c>
      <c r="E557" s="1">
        <v>45060</v>
      </c>
      <c r="F557" t="s">
        <v>19</v>
      </c>
      <c r="G557">
        <v>5975</v>
      </c>
      <c r="H557">
        <v>3830</v>
      </c>
      <c r="I557">
        <v>2.06</v>
      </c>
      <c r="J557">
        <v>96</v>
      </c>
      <c r="P557" t="str">
        <f t="shared" ca="1" si="33"/>
        <v xml:space="preserve"> </v>
      </c>
      <c r="Q557" t="str" cm="1">
        <f t="array" ref="Q557">_xlfn.IFS(I557&gt;=3.5,"Excellent", I557&gt;3,"Good",I557&gt;2,"Average",I557&lt;2,"Poor")</f>
        <v>Average</v>
      </c>
      <c r="S557" t="b">
        <f t="shared" si="34"/>
        <v>1</v>
      </c>
      <c r="U557">
        <f t="shared" si="35"/>
        <v>2023</v>
      </c>
      <c r="AA557">
        <f t="shared" ca="1" si="36"/>
        <v>792</v>
      </c>
    </row>
    <row r="558" spans="1:27" x14ac:dyDescent="0.3">
      <c r="A558" t="s">
        <v>1137</v>
      </c>
      <c r="B558" t="s">
        <v>1138</v>
      </c>
      <c r="C558" t="s">
        <v>28</v>
      </c>
      <c r="D558" t="s">
        <v>13</v>
      </c>
      <c r="E558" s="1">
        <v>45422</v>
      </c>
      <c r="F558" t="s">
        <v>14</v>
      </c>
      <c r="G558">
        <v>9200</v>
      </c>
      <c r="H558">
        <v>1956</v>
      </c>
      <c r="I558">
        <v>2.95</v>
      </c>
      <c r="J558">
        <v>97</v>
      </c>
      <c r="P558">
        <f t="shared" ca="1" si="33"/>
        <v>430</v>
      </c>
      <c r="Q558" t="str" cm="1">
        <f t="array" ref="Q558">_xlfn.IFS(I558&gt;=3.5,"Excellent", I558&gt;3,"Good",I558&gt;2,"Average",I558&lt;2,"Poor")</f>
        <v>Average</v>
      </c>
      <c r="S558" t="str">
        <f t="shared" si="34"/>
        <v xml:space="preserve"> </v>
      </c>
      <c r="U558">
        <f t="shared" si="35"/>
        <v>2024</v>
      </c>
      <c r="AA558" t="str">
        <f t="shared" ca="1" si="36"/>
        <v/>
      </c>
    </row>
    <row r="559" spans="1:27" x14ac:dyDescent="0.3">
      <c r="A559" t="s">
        <v>1139</v>
      </c>
      <c r="B559" t="s">
        <v>1140</v>
      </c>
      <c r="C559" t="s">
        <v>12</v>
      </c>
      <c r="D559" t="s">
        <v>13</v>
      </c>
      <c r="E559" s="1">
        <v>45065</v>
      </c>
      <c r="F559" t="s">
        <v>19</v>
      </c>
      <c r="G559">
        <v>7875</v>
      </c>
      <c r="H559">
        <v>6378</v>
      </c>
      <c r="I559">
        <v>2.09</v>
      </c>
      <c r="J559">
        <v>90</v>
      </c>
      <c r="P559" t="str">
        <f t="shared" ca="1" si="33"/>
        <v xml:space="preserve"> </v>
      </c>
      <c r="Q559" t="str" cm="1">
        <f t="array" ref="Q559">_xlfn.IFS(I559&gt;=3.5,"Excellent", I559&gt;3,"Good",I559&gt;2,"Average",I559&lt;2,"Poor")</f>
        <v>Average</v>
      </c>
      <c r="S559" t="b">
        <f t="shared" si="34"/>
        <v>1</v>
      </c>
      <c r="U559">
        <f t="shared" si="35"/>
        <v>2023</v>
      </c>
      <c r="AA559">
        <f t="shared" ca="1" si="36"/>
        <v>787</v>
      </c>
    </row>
    <row r="560" spans="1:27" x14ac:dyDescent="0.3">
      <c r="A560" t="s">
        <v>1141</v>
      </c>
      <c r="B560" t="s">
        <v>1142</v>
      </c>
      <c r="C560" t="s">
        <v>54</v>
      </c>
      <c r="D560" t="s">
        <v>62</v>
      </c>
      <c r="E560" s="1">
        <v>44725</v>
      </c>
      <c r="F560" t="s">
        <v>14</v>
      </c>
      <c r="G560">
        <v>9704</v>
      </c>
      <c r="H560">
        <v>8153</v>
      </c>
      <c r="I560">
        <v>2.33</v>
      </c>
      <c r="J560">
        <v>101</v>
      </c>
      <c r="P560">
        <f t="shared" ca="1" si="33"/>
        <v>1127</v>
      </c>
      <c r="Q560" t="str" cm="1">
        <f t="array" ref="Q560">_xlfn.IFS(I560&gt;=3.5,"Excellent", I560&gt;3,"Good",I560&gt;2,"Average",I560&lt;2,"Poor")</f>
        <v>Average</v>
      </c>
      <c r="S560" t="b">
        <f t="shared" si="34"/>
        <v>1</v>
      </c>
      <c r="U560">
        <f t="shared" si="35"/>
        <v>2022</v>
      </c>
      <c r="AA560" t="str">
        <f t="shared" ca="1" si="36"/>
        <v/>
      </c>
    </row>
    <row r="561" spans="1:27" x14ac:dyDescent="0.3">
      <c r="A561" t="s">
        <v>1143</v>
      </c>
      <c r="B561" t="s">
        <v>1144</v>
      </c>
      <c r="C561" t="s">
        <v>57</v>
      </c>
      <c r="D561" t="s">
        <v>31</v>
      </c>
      <c r="E561" s="1">
        <v>44858</v>
      </c>
      <c r="F561" t="s">
        <v>14</v>
      </c>
      <c r="G561">
        <v>13578</v>
      </c>
      <c r="H561">
        <v>8755</v>
      </c>
      <c r="I561">
        <v>3.16</v>
      </c>
      <c r="J561">
        <v>33</v>
      </c>
      <c r="P561">
        <f t="shared" ca="1" si="33"/>
        <v>994</v>
      </c>
      <c r="Q561" t="str" cm="1">
        <f t="array" ref="Q561">_xlfn.IFS(I561&gt;=3.5,"Excellent", I561&gt;3,"Good",I561&gt;2,"Average",I561&lt;2,"Poor")</f>
        <v>Good</v>
      </c>
      <c r="S561" t="b">
        <f t="shared" si="34"/>
        <v>1</v>
      </c>
      <c r="U561">
        <f t="shared" si="35"/>
        <v>2022</v>
      </c>
      <c r="AA561" t="str">
        <f t="shared" ca="1" si="36"/>
        <v/>
      </c>
    </row>
    <row r="562" spans="1:27" x14ac:dyDescent="0.3">
      <c r="A562" t="s">
        <v>1145</v>
      </c>
      <c r="B562" t="s">
        <v>1146</v>
      </c>
      <c r="C562" t="s">
        <v>54</v>
      </c>
      <c r="D562" t="s">
        <v>13</v>
      </c>
      <c r="E562" s="1">
        <v>44752</v>
      </c>
      <c r="F562" t="s">
        <v>39</v>
      </c>
      <c r="G562">
        <v>3192</v>
      </c>
      <c r="H562">
        <v>633</v>
      </c>
      <c r="I562">
        <v>2.71</v>
      </c>
      <c r="J562">
        <v>86</v>
      </c>
      <c r="P562" t="str">
        <f t="shared" ca="1" si="33"/>
        <v xml:space="preserve"> </v>
      </c>
      <c r="Q562" t="str" cm="1">
        <f t="array" ref="Q562">_xlfn.IFS(I562&gt;=3.5,"Excellent", I562&gt;3,"Good",I562&gt;2,"Average",I562&lt;2,"Poor")</f>
        <v>Average</v>
      </c>
      <c r="S562" t="str">
        <f t="shared" si="34"/>
        <v xml:space="preserve"> </v>
      </c>
      <c r="U562">
        <f t="shared" si="35"/>
        <v>2022</v>
      </c>
      <c r="AA562" t="str">
        <f t="shared" ca="1" si="36"/>
        <v/>
      </c>
    </row>
    <row r="563" spans="1:27" x14ac:dyDescent="0.3">
      <c r="A563" t="s">
        <v>1147</v>
      </c>
      <c r="B563" t="s">
        <v>1148</v>
      </c>
      <c r="C563" t="s">
        <v>17</v>
      </c>
      <c r="D563" t="s">
        <v>18</v>
      </c>
      <c r="E563" s="1">
        <v>45160</v>
      </c>
      <c r="F563" t="s">
        <v>14</v>
      </c>
      <c r="G563">
        <v>7449</v>
      </c>
      <c r="H563">
        <v>1118</v>
      </c>
      <c r="I563">
        <v>2.88</v>
      </c>
      <c r="J563">
        <v>77</v>
      </c>
      <c r="P563">
        <f t="shared" ca="1" si="33"/>
        <v>692</v>
      </c>
      <c r="Q563" t="str" cm="1">
        <f t="array" ref="Q563">_xlfn.IFS(I563&gt;=3.5,"Excellent", I563&gt;3,"Good",I563&gt;2,"Average",I563&lt;2,"Poor")</f>
        <v>Average</v>
      </c>
      <c r="S563" t="str">
        <f t="shared" si="34"/>
        <v xml:space="preserve"> </v>
      </c>
      <c r="U563">
        <f t="shared" si="35"/>
        <v>2023</v>
      </c>
      <c r="AA563" t="str">
        <f t="shared" ca="1" si="36"/>
        <v/>
      </c>
    </row>
    <row r="564" spans="1:27" x14ac:dyDescent="0.3">
      <c r="A564" t="s">
        <v>1149</v>
      </c>
      <c r="B564" t="s">
        <v>1150</v>
      </c>
      <c r="C564" t="s">
        <v>36</v>
      </c>
      <c r="D564" t="s">
        <v>31</v>
      </c>
      <c r="E564" s="1">
        <v>45266</v>
      </c>
      <c r="F564" t="s">
        <v>14</v>
      </c>
      <c r="G564">
        <v>2638</v>
      </c>
      <c r="H564">
        <v>4498</v>
      </c>
      <c r="I564">
        <v>3</v>
      </c>
      <c r="J564">
        <v>20</v>
      </c>
      <c r="P564">
        <f t="shared" ca="1" si="33"/>
        <v>586</v>
      </c>
      <c r="Q564" t="str" cm="1">
        <f t="array" ref="Q564">_xlfn.IFS(I564&gt;=3.5,"Excellent", I564&gt;3,"Good",I564&gt;2,"Average",I564&lt;2,"Poor")</f>
        <v>Average</v>
      </c>
      <c r="S564" t="b">
        <f t="shared" si="34"/>
        <v>1</v>
      </c>
      <c r="U564">
        <f t="shared" si="35"/>
        <v>2023</v>
      </c>
      <c r="AA564" t="str">
        <f t="shared" ca="1" si="36"/>
        <v/>
      </c>
    </row>
    <row r="565" spans="1:27" x14ac:dyDescent="0.3">
      <c r="A565" t="s">
        <v>1151</v>
      </c>
      <c r="B565" t="s">
        <v>1152</v>
      </c>
      <c r="C565" t="s">
        <v>25</v>
      </c>
      <c r="D565" t="s">
        <v>62</v>
      </c>
      <c r="E565" s="1">
        <v>44752</v>
      </c>
      <c r="F565" t="s">
        <v>19</v>
      </c>
      <c r="G565">
        <v>4665</v>
      </c>
      <c r="H565">
        <v>4520</v>
      </c>
      <c r="I565">
        <v>3.43</v>
      </c>
      <c r="J565">
        <v>81</v>
      </c>
      <c r="P565" t="str">
        <f t="shared" ca="1" si="33"/>
        <v xml:space="preserve"> </v>
      </c>
      <c r="Q565" t="str" cm="1">
        <f t="array" ref="Q565">_xlfn.IFS(I565&gt;=3.5,"Excellent", I565&gt;3,"Good",I565&gt;2,"Average",I565&lt;2,"Poor")</f>
        <v>Good</v>
      </c>
      <c r="S565" t="b">
        <f t="shared" si="34"/>
        <v>1</v>
      </c>
      <c r="U565">
        <f t="shared" si="35"/>
        <v>2022</v>
      </c>
      <c r="AA565">
        <f t="shared" ca="1" si="36"/>
        <v>1100</v>
      </c>
    </row>
    <row r="566" spans="1:27" x14ac:dyDescent="0.3">
      <c r="A566" t="s">
        <v>1153</v>
      </c>
      <c r="B566" t="s">
        <v>1154</v>
      </c>
      <c r="C566" t="s">
        <v>12</v>
      </c>
      <c r="D566" t="s">
        <v>31</v>
      </c>
      <c r="E566" s="1">
        <v>45316</v>
      </c>
      <c r="F566" t="s">
        <v>39</v>
      </c>
      <c r="G566">
        <v>6305</v>
      </c>
      <c r="H566">
        <v>7832</v>
      </c>
      <c r="I566">
        <v>3.16</v>
      </c>
      <c r="J566">
        <v>104</v>
      </c>
      <c r="P566" t="str">
        <f t="shared" ca="1" si="33"/>
        <v xml:space="preserve"> </v>
      </c>
      <c r="Q566" t="str" cm="1">
        <f t="array" ref="Q566">_xlfn.IFS(I566&gt;=3.5,"Excellent", I566&gt;3,"Good",I566&gt;2,"Average",I566&lt;2,"Poor")</f>
        <v>Good</v>
      </c>
      <c r="S566" t="b">
        <f t="shared" si="34"/>
        <v>1</v>
      </c>
      <c r="U566">
        <f t="shared" si="35"/>
        <v>2024</v>
      </c>
      <c r="AA566" t="str">
        <f t="shared" ca="1" si="36"/>
        <v/>
      </c>
    </row>
    <row r="567" spans="1:27" x14ac:dyDescent="0.3">
      <c r="A567" t="s">
        <v>1155</v>
      </c>
      <c r="B567" t="s">
        <v>1156</v>
      </c>
      <c r="C567" t="s">
        <v>12</v>
      </c>
      <c r="D567" t="s">
        <v>13</v>
      </c>
      <c r="E567" s="1">
        <v>44919</v>
      </c>
      <c r="F567" t="s">
        <v>14</v>
      </c>
      <c r="G567">
        <v>5186</v>
      </c>
      <c r="H567">
        <v>2277</v>
      </c>
      <c r="I567">
        <v>2.34</v>
      </c>
      <c r="J567">
        <v>3</v>
      </c>
      <c r="P567">
        <f t="shared" ca="1" si="33"/>
        <v>933</v>
      </c>
      <c r="Q567" t="str" cm="1">
        <f t="array" ref="Q567">_xlfn.IFS(I567&gt;=3.5,"Excellent", I567&gt;3,"Good",I567&gt;2,"Average",I567&lt;2,"Poor")</f>
        <v>Average</v>
      </c>
      <c r="S567" t="str">
        <f t="shared" si="34"/>
        <v xml:space="preserve"> </v>
      </c>
      <c r="U567">
        <f t="shared" si="35"/>
        <v>2022</v>
      </c>
      <c r="AA567" t="str">
        <f t="shared" ca="1" si="36"/>
        <v/>
      </c>
    </row>
    <row r="568" spans="1:27" x14ac:dyDescent="0.3">
      <c r="A568" t="s">
        <v>1157</v>
      </c>
      <c r="B568" t="s">
        <v>1158</v>
      </c>
      <c r="C568" t="s">
        <v>25</v>
      </c>
      <c r="D568" t="s">
        <v>62</v>
      </c>
      <c r="E568" s="1">
        <v>44772</v>
      </c>
      <c r="F568" t="s">
        <v>39</v>
      </c>
      <c r="G568">
        <v>11323</v>
      </c>
      <c r="H568">
        <v>9086</v>
      </c>
      <c r="I568">
        <v>3.11</v>
      </c>
      <c r="J568">
        <v>89</v>
      </c>
      <c r="P568" t="str">
        <f t="shared" ca="1" si="33"/>
        <v xml:space="preserve"> </v>
      </c>
      <c r="Q568" t="str" cm="1">
        <f t="array" ref="Q568">_xlfn.IFS(I568&gt;=3.5,"Excellent", I568&gt;3,"Good",I568&gt;2,"Average",I568&lt;2,"Poor")</f>
        <v>Good</v>
      </c>
      <c r="S568" t="b">
        <f t="shared" si="34"/>
        <v>1</v>
      </c>
      <c r="U568">
        <f t="shared" si="35"/>
        <v>2022</v>
      </c>
      <c r="AA568" t="str">
        <f t="shared" ca="1" si="36"/>
        <v/>
      </c>
    </row>
    <row r="569" spans="1:27" x14ac:dyDescent="0.3">
      <c r="A569" t="s">
        <v>1159</v>
      </c>
      <c r="B569" t="s">
        <v>1160</v>
      </c>
      <c r="C569" t="s">
        <v>54</v>
      </c>
      <c r="D569" t="s">
        <v>62</v>
      </c>
      <c r="E569" s="1">
        <v>44755</v>
      </c>
      <c r="F569" t="s">
        <v>14</v>
      </c>
      <c r="G569">
        <v>6456</v>
      </c>
      <c r="H569">
        <v>5205</v>
      </c>
      <c r="I569">
        <v>3.71</v>
      </c>
      <c r="J569">
        <v>15</v>
      </c>
      <c r="P569">
        <f t="shared" ca="1" si="33"/>
        <v>1097</v>
      </c>
      <c r="Q569" t="str" cm="1">
        <f t="array" ref="Q569">_xlfn.IFS(I569&gt;=3.5,"Excellent", I569&gt;3,"Good",I569&gt;2,"Average",I569&lt;2,"Poor")</f>
        <v>Excellent</v>
      </c>
      <c r="S569" t="b">
        <f t="shared" si="34"/>
        <v>1</v>
      </c>
      <c r="U569">
        <f t="shared" si="35"/>
        <v>2022</v>
      </c>
      <c r="AA569" t="str">
        <f t="shared" ca="1" si="36"/>
        <v/>
      </c>
    </row>
    <row r="570" spans="1:27" x14ac:dyDescent="0.3">
      <c r="A570" t="s">
        <v>1161</v>
      </c>
      <c r="B570" t="s">
        <v>1162</v>
      </c>
      <c r="C570" t="s">
        <v>25</v>
      </c>
      <c r="D570" t="s">
        <v>62</v>
      </c>
      <c r="E570" s="1">
        <v>44824</v>
      </c>
      <c r="F570" t="s">
        <v>19</v>
      </c>
      <c r="G570">
        <v>3925</v>
      </c>
      <c r="H570">
        <v>5671</v>
      </c>
      <c r="I570">
        <v>2.15</v>
      </c>
      <c r="J570">
        <v>95</v>
      </c>
      <c r="P570" t="str">
        <f t="shared" ca="1" si="33"/>
        <v xml:space="preserve"> </v>
      </c>
      <c r="Q570" t="str" cm="1">
        <f t="array" ref="Q570">_xlfn.IFS(I570&gt;=3.5,"Excellent", I570&gt;3,"Good",I570&gt;2,"Average",I570&lt;2,"Poor")</f>
        <v>Average</v>
      </c>
      <c r="S570" t="b">
        <f t="shared" si="34"/>
        <v>1</v>
      </c>
      <c r="U570">
        <f t="shared" si="35"/>
        <v>2022</v>
      </c>
      <c r="AA570">
        <f t="shared" ca="1" si="36"/>
        <v>1028</v>
      </c>
    </row>
    <row r="571" spans="1:27" x14ac:dyDescent="0.3">
      <c r="A571" t="s">
        <v>1163</v>
      </c>
      <c r="B571" t="s">
        <v>1164</v>
      </c>
      <c r="C571" t="s">
        <v>22</v>
      </c>
      <c r="D571" t="s">
        <v>31</v>
      </c>
      <c r="E571" s="1">
        <v>45203</v>
      </c>
      <c r="F571" t="s">
        <v>14</v>
      </c>
      <c r="G571">
        <v>11329</v>
      </c>
      <c r="H571">
        <v>5904</v>
      </c>
      <c r="I571">
        <v>2.35</v>
      </c>
      <c r="J571">
        <v>35</v>
      </c>
      <c r="P571">
        <f t="shared" ca="1" si="33"/>
        <v>649</v>
      </c>
      <c r="Q571" t="str" cm="1">
        <f t="array" ref="Q571">_xlfn.IFS(I571&gt;=3.5,"Excellent", I571&gt;3,"Good",I571&gt;2,"Average",I571&lt;2,"Poor")</f>
        <v>Average</v>
      </c>
      <c r="S571" t="b">
        <f t="shared" si="34"/>
        <v>1</v>
      </c>
      <c r="U571">
        <f t="shared" si="35"/>
        <v>2023</v>
      </c>
      <c r="AA571" t="str">
        <f t="shared" ca="1" si="36"/>
        <v/>
      </c>
    </row>
    <row r="572" spans="1:27" x14ac:dyDescent="0.3">
      <c r="A572" t="s">
        <v>1165</v>
      </c>
      <c r="B572" t="s">
        <v>1166</v>
      </c>
      <c r="C572" t="s">
        <v>54</v>
      </c>
      <c r="D572" t="s">
        <v>62</v>
      </c>
      <c r="E572" s="1">
        <v>45368</v>
      </c>
      <c r="F572" t="s">
        <v>14</v>
      </c>
      <c r="G572">
        <v>5357</v>
      </c>
      <c r="H572">
        <v>1523</v>
      </c>
      <c r="I572">
        <v>3.96</v>
      </c>
      <c r="J572">
        <v>23</v>
      </c>
      <c r="P572">
        <f t="shared" ca="1" si="33"/>
        <v>484</v>
      </c>
      <c r="Q572" t="str" cm="1">
        <f t="array" ref="Q572">_xlfn.IFS(I572&gt;=3.5,"Excellent", I572&gt;3,"Good",I572&gt;2,"Average",I572&lt;2,"Poor")</f>
        <v>Excellent</v>
      </c>
      <c r="S572" t="str">
        <f t="shared" si="34"/>
        <v xml:space="preserve"> </v>
      </c>
      <c r="U572">
        <f t="shared" si="35"/>
        <v>2024</v>
      </c>
      <c r="AA572" t="str">
        <f t="shared" ca="1" si="36"/>
        <v/>
      </c>
    </row>
    <row r="573" spans="1:27" x14ac:dyDescent="0.3">
      <c r="A573" t="s">
        <v>1167</v>
      </c>
      <c r="B573" t="s">
        <v>1168</v>
      </c>
      <c r="C573" t="s">
        <v>22</v>
      </c>
      <c r="D573" t="s">
        <v>13</v>
      </c>
      <c r="E573" s="1">
        <v>45088</v>
      </c>
      <c r="F573" t="s">
        <v>19</v>
      </c>
      <c r="G573">
        <v>10853</v>
      </c>
      <c r="H573">
        <v>5377</v>
      </c>
      <c r="I573">
        <v>3.52</v>
      </c>
      <c r="J573">
        <v>12</v>
      </c>
      <c r="P573" t="str">
        <f t="shared" ca="1" si="33"/>
        <v xml:space="preserve"> </v>
      </c>
      <c r="Q573" t="str" cm="1">
        <f t="array" ref="Q573">_xlfn.IFS(I573&gt;=3.5,"Excellent", I573&gt;3,"Good",I573&gt;2,"Average",I573&lt;2,"Poor")</f>
        <v>Excellent</v>
      </c>
      <c r="S573" t="str">
        <f t="shared" si="34"/>
        <v xml:space="preserve"> </v>
      </c>
      <c r="U573">
        <f t="shared" si="35"/>
        <v>2023</v>
      </c>
      <c r="AA573">
        <f t="shared" ca="1" si="36"/>
        <v>764</v>
      </c>
    </row>
    <row r="574" spans="1:27" x14ac:dyDescent="0.3">
      <c r="A574" t="s">
        <v>1169</v>
      </c>
      <c r="B574" t="s">
        <v>1170</v>
      </c>
      <c r="C574" t="s">
        <v>17</v>
      </c>
      <c r="D574" t="s">
        <v>13</v>
      </c>
      <c r="E574" s="1">
        <v>45362</v>
      </c>
      <c r="F574" t="s">
        <v>19</v>
      </c>
      <c r="G574">
        <v>3136</v>
      </c>
      <c r="H574">
        <v>1799</v>
      </c>
      <c r="I574">
        <v>3.99</v>
      </c>
      <c r="J574">
        <v>94</v>
      </c>
      <c r="P574" t="str">
        <f t="shared" ca="1" si="33"/>
        <v xml:space="preserve"> </v>
      </c>
      <c r="Q574" t="str" cm="1">
        <f t="array" ref="Q574">_xlfn.IFS(I574&gt;=3.5,"Excellent", I574&gt;3,"Good",I574&gt;2,"Average",I574&lt;2,"Poor")</f>
        <v>Excellent</v>
      </c>
      <c r="S574" t="b">
        <f t="shared" si="34"/>
        <v>1</v>
      </c>
      <c r="U574">
        <f t="shared" si="35"/>
        <v>2024</v>
      </c>
      <c r="AA574">
        <f t="shared" ca="1" si="36"/>
        <v>490</v>
      </c>
    </row>
    <row r="575" spans="1:27" x14ac:dyDescent="0.3">
      <c r="A575" t="s">
        <v>1171</v>
      </c>
      <c r="B575" t="s">
        <v>1172</v>
      </c>
      <c r="C575" t="s">
        <v>22</v>
      </c>
      <c r="D575" t="s">
        <v>13</v>
      </c>
      <c r="E575" s="1">
        <v>45323</v>
      </c>
      <c r="F575" t="s">
        <v>14</v>
      </c>
      <c r="G575">
        <v>12521</v>
      </c>
      <c r="H575">
        <v>6705</v>
      </c>
      <c r="I575">
        <v>2.34</v>
      </c>
      <c r="J575">
        <v>105</v>
      </c>
      <c r="P575">
        <f t="shared" ca="1" si="33"/>
        <v>529</v>
      </c>
      <c r="Q575" t="str" cm="1">
        <f t="array" ref="Q575">_xlfn.IFS(I575&gt;=3.5,"Excellent", I575&gt;3,"Good",I575&gt;2,"Average",I575&lt;2,"Poor")</f>
        <v>Average</v>
      </c>
      <c r="S575" t="b">
        <f t="shared" si="34"/>
        <v>1</v>
      </c>
      <c r="U575">
        <f t="shared" si="35"/>
        <v>2024</v>
      </c>
      <c r="AA575" t="str">
        <f t="shared" ca="1" si="36"/>
        <v/>
      </c>
    </row>
    <row r="576" spans="1:27" x14ac:dyDescent="0.3">
      <c r="A576" t="s">
        <v>1173</v>
      </c>
      <c r="B576" t="s">
        <v>1174</v>
      </c>
      <c r="C576" t="s">
        <v>22</v>
      </c>
      <c r="D576" t="s">
        <v>18</v>
      </c>
      <c r="E576" s="1">
        <v>45078</v>
      </c>
      <c r="F576" t="s">
        <v>14</v>
      </c>
      <c r="G576">
        <v>8123</v>
      </c>
      <c r="H576">
        <v>7824</v>
      </c>
      <c r="I576">
        <v>2.29</v>
      </c>
      <c r="J576">
        <v>5</v>
      </c>
      <c r="P576">
        <f t="shared" ca="1" si="33"/>
        <v>774</v>
      </c>
      <c r="Q576" t="str" cm="1">
        <f t="array" ref="Q576">_xlfn.IFS(I576&gt;=3.5,"Excellent", I576&gt;3,"Good",I576&gt;2,"Average",I576&lt;2,"Poor")</f>
        <v>Average</v>
      </c>
      <c r="S576" t="b">
        <f t="shared" si="34"/>
        <v>1</v>
      </c>
      <c r="U576">
        <f t="shared" si="35"/>
        <v>2023</v>
      </c>
      <c r="AA576" t="str">
        <f t="shared" ca="1" si="36"/>
        <v/>
      </c>
    </row>
    <row r="577" spans="1:27" x14ac:dyDescent="0.3">
      <c r="A577" t="s">
        <v>1175</v>
      </c>
      <c r="B577" t="s">
        <v>1176</v>
      </c>
      <c r="C577" t="s">
        <v>28</v>
      </c>
      <c r="D577" t="s">
        <v>62</v>
      </c>
      <c r="E577" s="1">
        <v>45007</v>
      </c>
      <c r="F577" t="s">
        <v>14</v>
      </c>
      <c r="G577">
        <v>11134</v>
      </c>
      <c r="H577">
        <v>8004</v>
      </c>
      <c r="I577">
        <v>2.4500000000000002</v>
      </c>
      <c r="J577">
        <v>67</v>
      </c>
      <c r="P577">
        <f t="shared" ca="1" si="33"/>
        <v>845</v>
      </c>
      <c r="Q577" t="str" cm="1">
        <f t="array" ref="Q577">_xlfn.IFS(I577&gt;=3.5,"Excellent", I577&gt;3,"Good",I577&gt;2,"Average",I577&lt;2,"Poor")</f>
        <v>Average</v>
      </c>
      <c r="S577" t="b">
        <f t="shared" si="34"/>
        <v>1</v>
      </c>
      <c r="U577">
        <f t="shared" si="35"/>
        <v>2023</v>
      </c>
      <c r="AA577" t="str">
        <f t="shared" ca="1" si="36"/>
        <v/>
      </c>
    </row>
    <row r="578" spans="1:27" x14ac:dyDescent="0.3">
      <c r="A578" t="s">
        <v>1177</v>
      </c>
      <c r="B578" t="s">
        <v>1178</v>
      </c>
      <c r="C578" t="s">
        <v>36</v>
      </c>
      <c r="D578" t="s">
        <v>62</v>
      </c>
      <c r="E578" s="1">
        <v>45328</v>
      </c>
      <c r="F578" t="s">
        <v>19</v>
      </c>
      <c r="G578">
        <v>5281</v>
      </c>
      <c r="H578">
        <v>602</v>
      </c>
      <c r="I578">
        <v>2.7</v>
      </c>
      <c r="J578">
        <v>20</v>
      </c>
      <c r="P578" t="str">
        <f t="shared" ca="1" si="33"/>
        <v xml:space="preserve"> </v>
      </c>
      <c r="Q578" t="str" cm="1">
        <f t="array" ref="Q578">_xlfn.IFS(I578&gt;=3.5,"Excellent", I578&gt;3,"Good",I578&gt;2,"Average",I578&lt;2,"Poor")</f>
        <v>Average</v>
      </c>
      <c r="S578" t="str">
        <f t="shared" si="34"/>
        <v xml:space="preserve"> </v>
      </c>
      <c r="U578">
        <f t="shared" si="35"/>
        <v>2024</v>
      </c>
      <c r="AA578">
        <f t="shared" ca="1" si="36"/>
        <v>524</v>
      </c>
    </row>
    <row r="579" spans="1:27" x14ac:dyDescent="0.3">
      <c r="A579" t="s">
        <v>1179</v>
      </c>
      <c r="B579" t="s">
        <v>1180</v>
      </c>
      <c r="C579" t="s">
        <v>25</v>
      </c>
      <c r="D579" t="s">
        <v>18</v>
      </c>
      <c r="E579" s="1">
        <v>45051</v>
      </c>
      <c r="F579" t="s">
        <v>14</v>
      </c>
      <c r="G579">
        <v>6006</v>
      </c>
      <c r="H579">
        <v>3641</v>
      </c>
      <c r="I579">
        <v>3.61</v>
      </c>
      <c r="J579">
        <v>28</v>
      </c>
      <c r="P579">
        <f t="shared" ref="P579:P642" ca="1" si="37">IF(F579="Enrolled",TODAY()-E579, " ")</f>
        <v>801</v>
      </c>
      <c r="Q579" t="str" cm="1">
        <f t="array" ref="Q579">_xlfn.IFS(I579&gt;=3.5,"Excellent", I579&gt;3,"Good",I579&gt;2,"Average",I579&lt;2,"Poor")</f>
        <v>Excellent</v>
      </c>
      <c r="S579" t="b">
        <f t="shared" ref="S579:S642" si="38">IF(H579&gt;0.5*G579,TRUE, " " )</f>
        <v>1</v>
      </c>
      <c r="U579">
        <f t="shared" ref="U579:U642" si="39">YEAR(E579)</f>
        <v>2023</v>
      </c>
      <c r="AA579" t="str">
        <f t="shared" ref="AA579:AA642" ca="1" si="40">IF(F579="Completed",TODAY()-E579,"")</f>
        <v/>
      </c>
    </row>
    <row r="580" spans="1:27" x14ac:dyDescent="0.3">
      <c r="A580" t="s">
        <v>1181</v>
      </c>
      <c r="B580" t="s">
        <v>1182</v>
      </c>
      <c r="C580" t="s">
        <v>28</v>
      </c>
      <c r="D580" t="s">
        <v>62</v>
      </c>
      <c r="E580" s="1">
        <v>45333</v>
      </c>
      <c r="F580" t="s">
        <v>14</v>
      </c>
      <c r="G580">
        <v>12212</v>
      </c>
      <c r="H580">
        <v>8831</v>
      </c>
      <c r="I580">
        <v>2.0499999999999998</v>
      </c>
      <c r="J580">
        <v>69</v>
      </c>
      <c r="P580">
        <f t="shared" ca="1" si="37"/>
        <v>519</v>
      </c>
      <c r="Q580" t="str" cm="1">
        <f t="array" ref="Q580">_xlfn.IFS(I580&gt;=3.5,"Excellent", I580&gt;3,"Good",I580&gt;2,"Average",I580&lt;2,"Poor")</f>
        <v>Average</v>
      </c>
      <c r="S580" t="b">
        <f t="shared" si="38"/>
        <v>1</v>
      </c>
      <c r="U580">
        <f t="shared" si="39"/>
        <v>2024</v>
      </c>
      <c r="AA580" t="str">
        <f t="shared" ca="1" si="40"/>
        <v/>
      </c>
    </row>
    <row r="581" spans="1:27" x14ac:dyDescent="0.3">
      <c r="A581" t="s">
        <v>1183</v>
      </c>
      <c r="B581" t="s">
        <v>1184</v>
      </c>
      <c r="C581" t="s">
        <v>28</v>
      </c>
      <c r="D581" t="s">
        <v>62</v>
      </c>
      <c r="E581" s="1">
        <v>45380</v>
      </c>
      <c r="F581" t="s">
        <v>14</v>
      </c>
      <c r="G581">
        <v>6847</v>
      </c>
      <c r="H581">
        <v>6140</v>
      </c>
      <c r="I581">
        <v>3.94</v>
      </c>
      <c r="J581">
        <v>49</v>
      </c>
      <c r="P581">
        <f t="shared" ca="1" si="37"/>
        <v>472</v>
      </c>
      <c r="Q581" t="str" cm="1">
        <f t="array" ref="Q581">_xlfn.IFS(I581&gt;=3.5,"Excellent", I581&gt;3,"Good",I581&gt;2,"Average",I581&lt;2,"Poor")</f>
        <v>Excellent</v>
      </c>
      <c r="S581" t="b">
        <f t="shared" si="38"/>
        <v>1</v>
      </c>
      <c r="U581">
        <f t="shared" si="39"/>
        <v>2024</v>
      </c>
      <c r="AA581" t="str">
        <f t="shared" ca="1" si="40"/>
        <v/>
      </c>
    </row>
    <row r="582" spans="1:27" x14ac:dyDescent="0.3">
      <c r="A582" t="s">
        <v>1185</v>
      </c>
      <c r="B582" t="s">
        <v>1186</v>
      </c>
      <c r="C582" t="s">
        <v>12</v>
      </c>
      <c r="D582" t="s">
        <v>13</v>
      </c>
      <c r="E582" s="1">
        <v>45268</v>
      </c>
      <c r="F582" t="s">
        <v>14</v>
      </c>
      <c r="G582">
        <v>6408</v>
      </c>
      <c r="H582">
        <v>6290</v>
      </c>
      <c r="I582">
        <v>2.67</v>
      </c>
      <c r="J582">
        <v>110</v>
      </c>
      <c r="P582">
        <f t="shared" ca="1" si="37"/>
        <v>584</v>
      </c>
      <c r="Q582" t="str" cm="1">
        <f t="array" ref="Q582">_xlfn.IFS(I582&gt;=3.5,"Excellent", I582&gt;3,"Good",I582&gt;2,"Average",I582&lt;2,"Poor")</f>
        <v>Average</v>
      </c>
      <c r="S582" t="b">
        <f t="shared" si="38"/>
        <v>1</v>
      </c>
      <c r="U582">
        <f t="shared" si="39"/>
        <v>2023</v>
      </c>
      <c r="AA582" t="str">
        <f t="shared" ca="1" si="40"/>
        <v/>
      </c>
    </row>
    <row r="583" spans="1:27" x14ac:dyDescent="0.3">
      <c r="A583" t="s">
        <v>1187</v>
      </c>
      <c r="B583" t="s">
        <v>1188</v>
      </c>
      <c r="C583" t="s">
        <v>12</v>
      </c>
      <c r="D583" t="s">
        <v>31</v>
      </c>
      <c r="E583" s="1">
        <v>44846</v>
      </c>
      <c r="F583" t="s">
        <v>19</v>
      </c>
      <c r="G583">
        <v>6458</v>
      </c>
      <c r="H583">
        <v>6091</v>
      </c>
      <c r="I583">
        <v>3.39</v>
      </c>
      <c r="J583">
        <v>52</v>
      </c>
      <c r="P583" t="str">
        <f t="shared" ca="1" si="37"/>
        <v xml:space="preserve"> </v>
      </c>
      <c r="Q583" t="str" cm="1">
        <f t="array" ref="Q583">_xlfn.IFS(I583&gt;=3.5,"Excellent", I583&gt;3,"Good",I583&gt;2,"Average",I583&lt;2,"Poor")</f>
        <v>Good</v>
      </c>
      <c r="S583" t="b">
        <f t="shared" si="38"/>
        <v>1</v>
      </c>
      <c r="U583">
        <f t="shared" si="39"/>
        <v>2022</v>
      </c>
      <c r="AA583">
        <f t="shared" ca="1" si="40"/>
        <v>1006</v>
      </c>
    </row>
    <row r="584" spans="1:27" x14ac:dyDescent="0.3">
      <c r="A584" t="s">
        <v>1189</v>
      </c>
      <c r="B584" t="s">
        <v>1190</v>
      </c>
      <c r="C584" t="s">
        <v>28</v>
      </c>
      <c r="D584" t="s">
        <v>18</v>
      </c>
      <c r="E584" s="1">
        <v>45128</v>
      </c>
      <c r="F584" t="s">
        <v>14</v>
      </c>
      <c r="G584">
        <v>4352</v>
      </c>
      <c r="H584">
        <v>2341</v>
      </c>
      <c r="I584">
        <v>3.26</v>
      </c>
      <c r="J584">
        <v>87</v>
      </c>
      <c r="P584">
        <f t="shared" ca="1" si="37"/>
        <v>724</v>
      </c>
      <c r="Q584" t="str" cm="1">
        <f t="array" ref="Q584">_xlfn.IFS(I584&gt;=3.5,"Excellent", I584&gt;3,"Good",I584&gt;2,"Average",I584&lt;2,"Poor")</f>
        <v>Good</v>
      </c>
      <c r="S584" t="b">
        <f t="shared" si="38"/>
        <v>1</v>
      </c>
      <c r="U584">
        <f t="shared" si="39"/>
        <v>2023</v>
      </c>
      <c r="AA584" t="str">
        <f t="shared" ca="1" si="40"/>
        <v/>
      </c>
    </row>
    <row r="585" spans="1:27" x14ac:dyDescent="0.3">
      <c r="A585" t="s">
        <v>1191</v>
      </c>
      <c r="B585" t="s">
        <v>1192</v>
      </c>
      <c r="C585" t="s">
        <v>12</v>
      </c>
      <c r="D585" t="s">
        <v>13</v>
      </c>
      <c r="E585" s="1">
        <v>45361</v>
      </c>
      <c r="F585" t="s">
        <v>19</v>
      </c>
      <c r="G585">
        <v>4096</v>
      </c>
      <c r="H585">
        <v>591</v>
      </c>
      <c r="I585">
        <v>2.02</v>
      </c>
      <c r="J585">
        <v>49</v>
      </c>
      <c r="P585" t="str">
        <f t="shared" ca="1" si="37"/>
        <v xml:space="preserve"> </v>
      </c>
      <c r="Q585" t="str" cm="1">
        <f t="array" ref="Q585">_xlfn.IFS(I585&gt;=3.5,"Excellent", I585&gt;3,"Good",I585&gt;2,"Average",I585&lt;2,"Poor")</f>
        <v>Average</v>
      </c>
      <c r="S585" t="str">
        <f t="shared" si="38"/>
        <v xml:space="preserve"> </v>
      </c>
      <c r="U585">
        <f t="shared" si="39"/>
        <v>2024</v>
      </c>
      <c r="AA585">
        <f t="shared" ca="1" si="40"/>
        <v>491</v>
      </c>
    </row>
    <row r="586" spans="1:27" x14ac:dyDescent="0.3">
      <c r="A586" t="s">
        <v>1193</v>
      </c>
      <c r="B586" t="s">
        <v>1194</v>
      </c>
      <c r="C586" t="s">
        <v>25</v>
      </c>
      <c r="D586" t="s">
        <v>31</v>
      </c>
      <c r="E586" s="1">
        <v>44857</v>
      </c>
      <c r="F586" t="s">
        <v>14</v>
      </c>
      <c r="G586">
        <v>3042</v>
      </c>
      <c r="H586">
        <v>1972</v>
      </c>
      <c r="I586">
        <v>2.2599999999999998</v>
      </c>
      <c r="J586">
        <v>31</v>
      </c>
      <c r="P586">
        <f t="shared" ca="1" si="37"/>
        <v>995</v>
      </c>
      <c r="Q586" t="str" cm="1">
        <f t="array" ref="Q586">_xlfn.IFS(I586&gt;=3.5,"Excellent", I586&gt;3,"Good",I586&gt;2,"Average",I586&lt;2,"Poor")</f>
        <v>Average</v>
      </c>
      <c r="S586" t="b">
        <f t="shared" si="38"/>
        <v>1</v>
      </c>
      <c r="U586">
        <f t="shared" si="39"/>
        <v>2022</v>
      </c>
      <c r="AA586" t="str">
        <f t="shared" ca="1" si="40"/>
        <v/>
      </c>
    </row>
    <row r="587" spans="1:27" x14ac:dyDescent="0.3">
      <c r="A587" t="s">
        <v>1195</v>
      </c>
      <c r="B587" t="s">
        <v>1196</v>
      </c>
      <c r="C587" t="s">
        <v>54</v>
      </c>
      <c r="D587" t="s">
        <v>31</v>
      </c>
      <c r="E587" s="1">
        <v>45307</v>
      </c>
      <c r="F587" t="s">
        <v>19</v>
      </c>
      <c r="G587">
        <v>8295</v>
      </c>
      <c r="H587">
        <v>7450</v>
      </c>
      <c r="I587">
        <v>2.56</v>
      </c>
      <c r="J587">
        <v>1</v>
      </c>
      <c r="P587" t="str">
        <f t="shared" ca="1" si="37"/>
        <v xml:space="preserve"> </v>
      </c>
      <c r="Q587" t="str" cm="1">
        <f t="array" ref="Q587">_xlfn.IFS(I587&gt;=3.5,"Excellent", I587&gt;3,"Good",I587&gt;2,"Average",I587&lt;2,"Poor")</f>
        <v>Average</v>
      </c>
      <c r="S587" t="b">
        <f t="shared" si="38"/>
        <v>1</v>
      </c>
      <c r="U587">
        <f t="shared" si="39"/>
        <v>2024</v>
      </c>
      <c r="AA587">
        <f t="shared" ca="1" si="40"/>
        <v>545</v>
      </c>
    </row>
    <row r="588" spans="1:27" x14ac:dyDescent="0.3">
      <c r="A588" t="s">
        <v>1197</v>
      </c>
      <c r="B588" t="s">
        <v>1198</v>
      </c>
      <c r="C588" t="s">
        <v>25</v>
      </c>
      <c r="D588" t="s">
        <v>62</v>
      </c>
      <c r="E588" s="1">
        <v>45157</v>
      </c>
      <c r="F588" t="s">
        <v>19</v>
      </c>
      <c r="G588">
        <v>2625</v>
      </c>
      <c r="H588">
        <v>8101</v>
      </c>
      <c r="I588">
        <v>3.82</v>
      </c>
      <c r="J588">
        <v>95</v>
      </c>
      <c r="P588" t="str">
        <f t="shared" ca="1" si="37"/>
        <v xml:space="preserve"> </v>
      </c>
      <c r="Q588" t="str" cm="1">
        <f t="array" ref="Q588">_xlfn.IFS(I588&gt;=3.5,"Excellent", I588&gt;3,"Good",I588&gt;2,"Average",I588&lt;2,"Poor")</f>
        <v>Excellent</v>
      </c>
      <c r="S588" t="b">
        <f t="shared" si="38"/>
        <v>1</v>
      </c>
      <c r="U588">
        <f t="shared" si="39"/>
        <v>2023</v>
      </c>
      <c r="AA588">
        <f t="shared" ca="1" si="40"/>
        <v>695</v>
      </c>
    </row>
    <row r="589" spans="1:27" x14ac:dyDescent="0.3">
      <c r="A589" t="s">
        <v>1199</v>
      </c>
      <c r="B589" t="s">
        <v>1200</v>
      </c>
      <c r="C589" t="s">
        <v>22</v>
      </c>
      <c r="D589" t="s">
        <v>31</v>
      </c>
      <c r="E589" s="1">
        <v>45021</v>
      </c>
      <c r="F589" t="s">
        <v>14</v>
      </c>
      <c r="G589">
        <v>14579</v>
      </c>
      <c r="H589">
        <v>3149</v>
      </c>
      <c r="I589">
        <v>2.8</v>
      </c>
      <c r="J589">
        <v>89</v>
      </c>
      <c r="P589">
        <f t="shared" ca="1" si="37"/>
        <v>831</v>
      </c>
      <c r="Q589" t="str" cm="1">
        <f t="array" ref="Q589">_xlfn.IFS(I589&gt;=3.5,"Excellent", I589&gt;3,"Good",I589&gt;2,"Average",I589&lt;2,"Poor")</f>
        <v>Average</v>
      </c>
      <c r="S589" t="str">
        <f t="shared" si="38"/>
        <v xml:space="preserve"> </v>
      </c>
      <c r="U589">
        <f t="shared" si="39"/>
        <v>2023</v>
      </c>
      <c r="AA589" t="str">
        <f t="shared" ca="1" si="40"/>
        <v/>
      </c>
    </row>
    <row r="590" spans="1:27" x14ac:dyDescent="0.3">
      <c r="A590" t="s">
        <v>1201</v>
      </c>
      <c r="B590" t="s">
        <v>1202</v>
      </c>
      <c r="C590" t="s">
        <v>17</v>
      </c>
      <c r="D590" t="s">
        <v>62</v>
      </c>
      <c r="E590" s="1">
        <v>44712</v>
      </c>
      <c r="F590" t="s">
        <v>19</v>
      </c>
      <c r="G590">
        <v>3331</v>
      </c>
      <c r="H590">
        <v>1957</v>
      </c>
      <c r="I590">
        <v>3.12</v>
      </c>
      <c r="J590">
        <v>57</v>
      </c>
      <c r="P590" t="str">
        <f t="shared" ca="1" si="37"/>
        <v xml:space="preserve"> </v>
      </c>
      <c r="Q590" t="str" cm="1">
        <f t="array" ref="Q590">_xlfn.IFS(I590&gt;=3.5,"Excellent", I590&gt;3,"Good",I590&gt;2,"Average",I590&lt;2,"Poor")</f>
        <v>Good</v>
      </c>
      <c r="S590" t="b">
        <f t="shared" si="38"/>
        <v>1</v>
      </c>
      <c r="U590">
        <f t="shared" si="39"/>
        <v>2022</v>
      </c>
      <c r="AA590">
        <f t="shared" ca="1" si="40"/>
        <v>1140</v>
      </c>
    </row>
    <row r="591" spans="1:27" x14ac:dyDescent="0.3">
      <c r="A591" t="s">
        <v>1203</v>
      </c>
      <c r="B591" t="s">
        <v>1204</v>
      </c>
      <c r="C591" t="s">
        <v>22</v>
      </c>
      <c r="D591" t="s">
        <v>31</v>
      </c>
      <c r="E591" s="1">
        <v>45392</v>
      </c>
      <c r="F591" t="s">
        <v>19</v>
      </c>
      <c r="G591">
        <v>13756</v>
      </c>
      <c r="H591">
        <v>1521</v>
      </c>
      <c r="I591">
        <v>3.84</v>
      </c>
      <c r="J591">
        <v>0</v>
      </c>
      <c r="P591" t="str">
        <f t="shared" ca="1" si="37"/>
        <v xml:space="preserve"> </v>
      </c>
      <c r="Q591" t="str" cm="1">
        <f t="array" ref="Q591">_xlfn.IFS(I591&gt;=3.5,"Excellent", I591&gt;3,"Good",I591&gt;2,"Average",I591&lt;2,"Poor")</f>
        <v>Excellent</v>
      </c>
      <c r="S591" t="str">
        <f t="shared" si="38"/>
        <v xml:space="preserve"> </v>
      </c>
      <c r="U591">
        <f t="shared" si="39"/>
        <v>2024</v>
      </c>
      <c r="AA591">
        <f t="shared" ca="1" si="40"/>
        <v>460</v>
      </c>
    </row>
    <row r="592" spans="1:27" x14ac:dyDescent="0.3">
      <c r="A592" t="s">
        <v>1205</v>
      </c>
      <c r="B592" t="s">
        <v>1206</v>
      </c>
      <c r="C592" t="s">
        <v>54</v>
      </c>
      <c r="D592" t="s">
        <v>31</v>
      </c>
      <c r="E592" s="1">
        <v>44940</v>
      </c>
      <c r="F592" t="s">
        <v>14</v>
      </c>
      <c r="G592">
        <v>2069</v>
      </c>
      <c r="H592">
        <v>9168</v>
      </c>
      <c r="I592">
        <v>2.4</v>
      </c>
      <c r="J592">
        <v>60</v>
      </c>
      <c r="P592">
        <f t="shared" ca="1" si="37"/>
        <v>912</v>
      </c>
      <c r="Q592" t="str" cm="1">
        <f t="array" ref="Q592">_xlfn.IFS(I592&gt;=3.5,"Excellent", I592&gt;3,"Good",I592&gt;2,"Average",I592&lt;2,"Poor")</f>
        <v>Average</v>
      </c>
      <c r="S592" t="b">
        <f t="shared" si="38"/>
        <v>1</v>
      </c>
      <c r="U592">
        <f t="shared" si="39"/>
        <v>2023</v>
      </c>
      <c r="AA592" t="str">
        <f t="shared" ca="1" si="40"/>
        <v/>
      </c>
    </row>
    <row r="593" spans="1:27" x14ac:dyDescent="0.3">
      <c r="A593" t="s">
        <v>1207</v>
      </c>
      <c r="B593" t="s">
        <v>1208</v>
      </c>
      <c r="C593" t="s">
        <v>25</v>
      </c>
      <c r="D593" t="s">
        <v>13</v>
      </c>
      <c r="E593" s="1">
        <v>45441</v>
      </c>
      <c r="F593" t="s">
        <v>14</v>
      </c>
      <c r="G593">
        <v>12736</v>
      </c>
      <c r="H593">
        <v>86</v>
      </c>
      <c r="I593">
        <v>3.52</v>
      </c>
      <c r="J593">
        <v>30</v>
      </c>
      <c r="P593">
        <f t="shared" ca="1" si="37"/>
        <v>411</v>
      </c>
      <c r="Q593" t="str" cm="1">
        <f t="array" ref="Q593">_xlfn.IFS(I593&gt;=3.5,"Excellent", I593&gt;3,"Good",I593&gt;2,"Average",I593&lt;2,"Poor")</f>
        <v>Excellent</v>
      </c>
      <c r="S593" t="str">
        <f t="shared" si="38"/>
        <v xml:space="preserve"> </v>
      </c>
      <c r="U593">
        <f t="shared" si="39"/>
        <v>2024</v>
      </c>
      <c r="AA593" t="str">
        <f t="shared" ca="1" si="40"/>
        <v/>
      </c>
    </row>
    <row r="594" spans="1:27" x14ac:dyDescent="0.3">
      <c r="A594" t="s">
        <v>1209</v>
      </c>
      <c r="B594" t="s">
        <v>1210</v>
      </c>
      <c r="C594" t="s">
        <v>25</v>
      </c>
      <c r="D594" t="s">
        <v>62</v>
      </c>
      <c r="E594" s="1">
        <v>45276</v>
      </c>
      <c r="F594" t="s">
        <v>14</v>
      </c>
      <c r="G594">
        <v>9002</v>
      </c>
      <c r="H594">
        <v>9521</v>
      </c>
      <c r="I594">
        <v>3.31</v>
      </c>
      <c r="J594">
        <v>25</v>
      </c>
      <c r="P594">
        <f t="shared" ca="1" si="37"/>
        <v>576</v>
      </c>
      <c r="Q594" t="str" cm="1">
        <f t="array" ref="Q594">_xlfn.IFS(I594&gt;=3.5,"Excellent", I594&gt;3,"Good",I594&gt;2,"Average",I594&lt;2,"Poor")</f>
        <v>Good</v>
      </c>
      <c r="S594" t="b">
        <f t="shared" si="38"/>
        <v>1</v>
      </c>
      <c r="U594">
        <f t="shared" si="39"/>
        <v>2023</v>
      </c>
      <c r="AA594" t="str">
        <f t="shared" ca="1" si="40"/>
        <v/>
      </c>
    </row>
    <row r="595" spans="1:27" x14ac:dyDescent="0.3">
      <c r="A595" t="s">
        <v>1211</v>
      </c>
      <c r="B595" t="s">
        <v>1212</v>
      </c>
      <c r="C595" t="s">
        <v>36</v>
      </c>
      <c r="D595" t="s">
        <v>18</v>
      </c>
      <c r="E595" s="1">
        <v>45183</v>
      </c>
      <c r="F595" t="s">
        <v>39</v>
      </c>
      <c r="G595">
        <v>10702</v>
      </c>
      <c r="H595">
        <v>2826</v>
      </c>
      <c r="I595">
        <v>3.39</v>
      </c>
      <c r="J595">
        <v>6</v>
      </c>
      <c r="P595" t="str">
        <f t="shared" ca="1" si="37"/>
        <v xml:space="preserve"> </v>
      </c>
      <c r="Q595" t="str" cm="1">
        <f t="array" ref="Q595">_xlfn.IFS(I595&gt;=3.5,"Excellent", I595&gt;3,"Good",I595&gt;2,"Average",I595&lt;2,"Poor")</f>
        <v>Good</v>
      </c>
      <c r="S595" t="str">
        <f t="shared" si="38"/>
        <v xml:space="preserve"> </v>
      </c>
      <c r="U595">
        <f t="shared" si="39"/>
        <v>2023</v>
      </c>
      <c r="AA595" t="str">
        <f t="shared" ca="1" si="40"/>
        <v/>
      </c>
    </row>
    <row r="596" spans="1:27" x14ac:dyDescent="0.3">
      <c r="A596" t="s">
        <v>1213</v>
      </c>
      <c r="B596" t="s">
        <v>1214</v>
      </c>
      <c r="C596" t="s">
        <v>17</v>
      </c>
      <c r="D596" t="s">
        <v>62</v>
      </c>
      <c r="E596" s="1">
        <v>44822</v>
      </c>
      <c r="F596" t="s">
        <v>19</v>
      </c>
      <c r="G596">
        <v>13535</v>
      </c>
      <c r="H596">
        <v>8752</v>
      </c>
      <c r="I596">
        <v>3.17</v>
      </c>
      <c r="J596">
        <v>73</v>
      </c>
      <c r="P596" t="str">
        <f t="shared" ca="1" si="37"/>
        <v xml:space="preserve"> </v>
      </c>
      <c r="Q596" t="str" cm="1">
        <f t="array" ref="Q596">_xlfn.IFS(I596&gt;=3.5,"Excellent", I596&gt;3,"Good",I596&gt;2,"Average",I596&lt;2,"Poor")</f>
        <v>Good</v>
      </c>
      <c r="S596" t="b">
        <f t="shared" si="38"/>
        <v>1</v>
      </c>
      <c r="U596">
        <f t="shared" si="39"/>
        <v>2022</v>
      </c>
      <c r="AA596">
        <f t="shared" ca="1" si="40"/>
        <v>1030</v>
      </c>
    </row>
    <row r="597" spans="1:27" x14ac:dyDescent="0.3">
      <c r="A597" t="s">
        <v>1215</v>
      </c>
      <c r="B597" t="s">
        <v>1216</v>
      </c>
      <c r="C597" t="s">
        <v>12</v>
      </c>
      <c r="D597" t="s">
        <v>18</v>
      </c>
      <c r="E597" s="1">
        <v>44740</v>
      </c>
      <c r="F597" t="s">
        <v>14</v>
      </c>
      <c r="G597">
        <v>11144</v>
      </c>
      <c r="H597">
        <v>6352</v>
      </c>
      <c r="I597">
        <v>2.89</v>
      </c>
      <c r="J597">
        <v>98</v>
      </c>
      <c r="P597">
        <f t="shared" ca="1" si="37"/>
        <v>1112</v>
      </c>
      <c r="Q597" t="str" cm="1">
        <f t="array" ref="Q597">_xlfn.IFS(I597&gt;=3.5,"Excellent", I597&gt;3,"Good",I597&gt;2,"Average",I597&lt;2,"Poor")</f>
        <v>Average</v>
      </c>
      <c r="S597" t="b">
        <f t="shared" si="38"/>
        <v>1</v>
      </c>
      <c r="U597">
        <f t="shared" si="39"/>
        <v>2022</v>
      </c>
      <c r="AA597" t="str">
        <f t="shared" ca="1" si="40"/>
        <v/>
      </c>
    </row>
    <row r="598" spans="1:27" x14ac:dyDescent="0.3">
      <c r="A598" t="s">
        <v>1217</v>
      </c>
      <c r="B598" t="s">
        <v>1218</v>
      </c>
      <c r="C598" t="s">
        <v>36</v>
      </c>
      <c r="D598" t="s">
        <v>18</v>
      </c>
      <c r="E598" s="1">
        <v>45019</v>
      </c>
      <c r="F598" t="s">
        <v>19</v>
      </c>
      <c r="G598">
        <v>9401</v>
      </c>
      <c r="H598">
        <v>5071</v>
      </c>
      <c r="I598">
        <v>2.8</v>
      </c>
      <c r="J598">
        <v>78</v>
      </c>
      <c r="P598" t="str">
        <f t="shared" ca="1" si="37"/>
        <v xml:space="preserve"> </v>
      </c>
      <c r="Q598" t="str" cm="1">
        <f t="array" ref="Q598">_xlfn.IFS(I598&gt;=3.5,"Excellent", I598&gt;3,"Good",I598&gt;2,"Average",I598&lt;2,"Poor")</f>
        <v>Average</v>
      </c>
      <c r="S598" t="b">
        <f t="shared" si="38"/>
        <v>1</v>
      </c>
      <c r="U598">
        <f t="shared" si="39"/>
        <v>2023</v>
      </c>
      <c r="AA598">
        <f t="shared" ca="1" si="40"/>
        <v>833</v>
      </c>
    </row>
    <row r="599" spans="1:27" x14ac:dyDescent="0.3">
      <c r="A599" t="s">
        <v>1219</v>
      </c>
      <c r="B599" t="s">
        <v>1220</v>
      </c>
      <c r="C599" t="s">
        <v>36</v>
      </c>
      <c r="D599" t="s">
        <v>62</v>
      </c>
      <c r="E599" s="1">
        <v>45227</v>
      </c>
      <c r="F599" t="s">
        <v>39</v>
      </c>
      <c r="G599">
        <v>6027</v>
      </c>
      <c r="H599">
        <v>8515</v>
      </c>
      <c r="I599">
        <v>2.76</v>
      </c>
      <c r="J599">
        <v>50</v>
      </c>
      <c r="P599" t="str">
        <f t="shared" ca="1" si="37"/>
        <v xml:space="preserve"> </v>
      </c>
      <c r="Q599" t="str" cm="1">
        <f t="array" ref="Q599">_xlfn.IFS(I599&gt;=3.5,"Excellent", I599&gt;3,"Good",I599&gt;2,"Average",I599&lt;2,"Poor")</f>
        <v>Average</v>
      </c>
      <c r="S599" t="b">
        <f t="shared" si="38"/>
        <v>1</v>
      </c>
      <c r="U599">
        <f t="shared" si="39"/>
        <v>2023</v>
      </c>
      <c r="AA599" t="str">
        <f t="shared" ca="1" si="40"/>
        <v/>
      </c>
    </row>
    <row r="600" spans="1:27" x14ac:dyDescent="0.3">
      <c r="A600" t="s">
        <v>1221</v>
      </c>
      <c r="B600" t="s">
        <v>1222</v>
      </c>
      <c r="C600" t="s">
        <v>36</v>
      </c>
      <c r="D600" t="s">
        <v>18</v>
      </c>
      <c r="E600" s="1">
        <v>44734</v>
      </c>
      <c r="F600" t="s">
        <v>39</v>
      </c>
      <c r="G600">
        <v>14933</v>
      </c>
      <c r="H600">
        <v>5194</v>
      </c>
      <c r="I600">
        <v>3.8</v>
      </c>
      <c r="J600">
        <v>71</v>
      </c>
      <c r="P600" t="str">
        <f t="shared" ca="1" si="37"/>
        <v xml:space="preserve"> </v>
      </c>
      <c r="Q600" t="str" cm="1">
        <f t="array" ref="Q600">_xlfn.IFS(I600&gt;=3.5,"Excellent", I600&gt;3,"Good",I600&gt;2,"Average",I600&lt;2,"Poor")</f>
        <v>Excellent</v>
      </c>
      <c r="S600" t="str">
        <f t="shared" si="38"/>
        <v xml:space="preserve"> </v>
      </c>
      <c r="U600">
        <f t="shared" si="39"/>
        <v>2022</v>
      </c>
      <c r="AA600" t="str">
        <f t="shared" ca="1" si="40"/>
        <v/>
      </c>
    </row>
    <row r="601" spans="1:27" x14ac:dyDescent="0.3">
      <c r="A601" t="s">
        <v>1223</v>
      </c>
      <c r="B601" t="s">
        <v>1224</v>
      </c>
      <c r="C601" t="s">
        <v>36</v>
      </c>
      <c r="D601" t="s">
        <v>13</v>
      </c>
      <c r="E601" s="1">
        <v>44848</v>
      </c>
      <c r="F601" t="s">
        <v>14</v>
      </c>
      <c r="G601">
        <v>4556</v>
      </c>
      <c r="H601">
        <v>2074</v>
      </c>
      <c r="I601">
        <v>3.47</v>
      </c>
      <c r="J601">
        <v>13</v>
      </c>
      <c r="P601">
        <f t="shared" ca="1" si="37"/>
        <v>1004</v>
      </c>
      <c r="Q601" t="str" cm="1">
        <f t="array" ref="Q601">_xlfn.IFS(I601&gt;=3.5,"Excellent", I601&gt;3,"Good",I601&gt;2,"Average",I601&lt;2,"Poor")</f>
        <v>Good</v>
      </c>
      <c r="S601" t="str">
        <f t="shared" si="38"/>
        <v xml:space="preserve"> </v>
      </c>
      <c r="U601">
        <f t="shared" si="39"/>
        <v>2022</v>
      </c>
      <c r="AA601" t="str">
        <f t="shared" ca="1" si="40"/>
        <v/>
      </c>
    </row>
    <row r="602" spans="1:27" x14ac:dyDescent="0.3">
      <c r="A602" t="s">
        <v>1225</v>
      </c>
      <c r="B602" t="s">
        <v>1226</v>
      </c>
      <c r="C602" t="s">
        <v>36</v>
      </c>
      <c r="D602" t="s">
        <v>62</v>
      </c>
      <c r="E602" s="1">
        <v>45261</v>
      </c>
      <c r="F602" t="s">
        <v>14</v>
      </c>
      <c r="G602">
        <v>6572</v>
      </c>
      <c r="H602">
        <v>7509</v>
      </c>
      <c r="I602">
        <v>3.43</v>
      </c>
      <c r="J602">
        <v>9</v>
      </c>
      <c r="P602">
        <f t="shared" ca="1" si="37"/>
        <v>591</v>
      </c>
      <c r="Q602" t="str" cm="1">
        <f t="array" ref="Q602">_xlfn.IFS(I602&gt;=3.5,"Excellent", I602&gt;3,"Good",I602&gt;2,"Average",I602&lt;2,"Poor")</f>
        <v>Good</v>
      </c>
      <c r="S602" t="b">
        <f t="shared" si="38"/>
        <v>1</v>
      </c>
      <c r="U602">
        <f t="shared" si="39"/>
        <v>2023</v>
      </c>
      <c r="AA602" t="str">
        <f t="shared" ca="1" si="40"/>
        <v/>
      </c>
    </row>
    <row r="603" spans="1:27" x14ac:dyDescent="0.3">
      <c r="A603" t="s">
        <v>1227</v>
      </c>
      <c r="B603" t="s">
        <v>1228</v>
      </c>
      <c r="C603" t="s">
        <v>12</v>
      </c>
      <c r="D603" t="s">
        <v>62</v>
      </c>
      <c r="E603" s="1">
        <v>45184</v>
      </c>
      <c r="F603" t="s">
        <v>14</v>
      </c>
      <c r="G603">
        <v>2372</v>
      </c>
      <c r="H603">
        <v>4974</v>
      </c>
      <c r="I603">
        <v>2.8</v>
      </c>
      <c r="J603">
        <v>51</v>
      </c>
      <c r="P603">
        <f t="shared" ca="1" si="37"/>
        <v>668</v>
      </c>
      <c r="Q603" t="str" cm="1">
        <f t="array" ref="Q603">_xlfn.IFS(I603&gt;=3.5,"Excellent", I603&gt;3,"Good",I603&gt;2,"Average",I603&lt;2,"Poor")</f>
        <v>Average</v>
      </c>
      <c r="S603" t="b">
        <f t="shared" si="38"/>
        <v>1</v>
      </c>
      <c r="U603">
        <f t="shared" si="39"/>
        <v>2023</v>
      </c>
      <c r="AA603" t="str">
        <f t="shared" ca="1" si="40"/>
        <v/>
      </c>
    </row>
    <row r="604" spans="1:27" x14ac:dyDescent="0.3">
      <c r="A604" t="s">
        <v>1229</v>
      </c>
      <c r="B604" t="s">
        <v>1230</v>
      </c>
      <c r="C604" t="s">
        <v>36</v>
      </c>
      <c r="D604" t="s">
        <v>31</v>
      </c>
      <c r="E604" s="1">
        <v>45125</v>
      </c>
      <c r="F604" t="s">
        <v>14</v>
      </c>
      <c r="G604">
        <v>10692</v>
      </c>
      <c r="H604">
        <v>6679</v>
      </c>
      <c r="I604">
        <v>3.85</v>
      </c>
      <c r="J604">
        <v>90</v>
      </c>
      <c r="P604">
        <f t="shared" ca="1" si="37"/>
        <v>727</v>
      </c>
      <c r="Q604" t="str" cm="1">
        <f t="array" ref="Q604">_xlfn.IFS(I604&gt;=3.5,"Excellent", I604&gt;3,"Good",I604&gt;2,"Average",I604&lt;2,"Poor")</f>
        <v>Excellent</v>
      </c>
      <c r="S604" t="b">
        <f t="shared" si="38"/>
        <v>1</v>
      </c>
      <c r="U604">
        <f t="shared" si="39"/>
        <v>2023</v>
      </c>
      <c r="AA604" t="str">
        <f t="shared" ca="1" si="40"/>
        <v/>
      </c>
    </row>
    <row r="605" spans="1:27" x14ac:dyDescent="0.3">
      <c r="A605" t="s">
        <v>1231</v>
      </c>
      <c r="B605" t="s">
        <v>1232</v>
      </c>
      <c r="C605" t="s">
        <v>54</v>
      </c>
      <c r="D605" t="s">
        <v>31</v>
      </c>
      <c r="E605" s="1">
        <v>45432</v>
      </c>
      <c r="F605" t="s">
        <v>14</v>
      </c>
      <c r="G605">
        <v>13268</v>
      </c>
      <c r="H605">
        <v>1099</v>
      </c>
      <c r="I605">
        <v>3.63</v>
      </c>
      <c r="J605">
        <v>105</v>
      </c>
      <c r="P605">
        <f t="shared" ca="1" si="37"/>
        <v>420</v>
      </c>
      <c r="Q605" t="str" cm="1">
        <f t="array" ref="Q605">_xlfn.IFS(I605&gt;=3.5,"Excellent", I605&gt;3,"Good",I605&gt;2,"Average",I605&lt;2,"Poor")</f>
        <v>Excellent</v>
      </c>
      <c r="S605" t="str">
        <f t="shared" si="38"/>
        <v xml:space="preserve"> </v>
      </c>
      <c r="U605">
        <f t="shared" si="39"/>
        <v>2024</v>
      </c>
      <c r="AA605" t="str">
        <f t="shared" ca="1" si="40"/>
        <v/>
      </c>
    </row>
    <row r="606" spans="1:27" x14ac:dyDescent="0.3">
      <c r="A606" t="s">
        <v>1233</v>
      </c>
      <c r="B606" t="s">
        <v>1234</v>
      </c>
      <c r="C606" t="s">
        <v>36</v>
      </c>
      <c r="D606" t="s">
        <v>18</v>
      </c>
      <c r="E606" s="1">
        <v>45270</v>
      </c>
      <c r="F606" t="s">
        <v>19</v>
      </c>
      <c r="G606">
        <v>13205</v>
      </c>
      <c r="H606">
        <v>4398</v>
      </c>
      <c r="I606">
        <v>3.87</v>
      </c>
      <c r="J606">
        <v>55</v>
      </c>
      <c r="P606" t="str">
        <f t="shared" ca="1" si="37"/>
        <v xml:space="preserve"> </v>
      </c>
      <c r="Q606" t="str" cm="1">
        <f t="array" ref="Q606">_xlfn.IFS(I606&gt;=3.5,"Excellent", I606&gt;3,"Good",I606&gt;2,"Average",I606&lt;2,"Poor")</f>
        <v>Excellent</v>
      </c>
      <c r="S606" t="str">
        <f t="shared" si="38"/>
        <v xml:space="preserve"> </v>
      </c>
      <c r="U606">
        <f t="shared" si="39"/>
        <v>2023</v>
      </c>
      <c r="AA606">
        <f t="shared" ca="1" si="40"/>
        <v>582</v>
      </c>
    </row>
    <row r="607" spans="1:27" x14ac:dyDescent="0.3">
      <c r="A607" t="s">
        <v>1235</v>
      </c>
      <c r="B607" t="s">
        <v>1236</v>
      </c>
      <c r="C607" t="s">
        <v>57</v>
      </c>
      <c r="D607" t="s">
        <v>13</v>
      </c>
      <c r="E607" s="1">
        <v>44905</v>
      </c>
      <c r="F607" t="s">
        <v>19</v>
      </c>
      <c r="G607">
        <v>14226</v>
      </c>
      <c r="H607">
        <v>7209</v>
      </c>
      <c r="I607">
        <v>2.8</v>
      </c>
      <c r="J607">
        <v>77</v>
      </c>
      <c r="P607" t="str">
        <f t="shared" ca="1" si="37"/>
        <v xml:space="preserve"> </v>
      </c>
      <c r="Q607" t="str" cm="1">
        <f t="array" ref="Q607">_xlfn.IFS(I607&gt;=3.5,"Excellent", I607&gt;3,"Good",I607&gt;2,"Average",I607&lt;2,"Poor")</f>
        <v>Average</v>
      </c>
      <c r="S607" t="b">
        <f t="shared" si="38"/>
        <v>1</v>
      </c>
      <c r="U607">
        <f t="shared" si="39"/>
        <v>2022</v>
      </c>
      <c r="AA607">
        <f t="shared" ca="1" si="40"/>
        <v>947</v>
      </c>
    </row>
    <row r="608" spans="1:27" x14ac:dyDescent="0.3">
      <c r="A608" t="s">
        <v>1237</v>
      </c>
      <c r="B608" t="s">
        <v>1238</v>
      </c>
      <c r="C608" t="s">
        <v>22</v>
      </c>
      <c r="D608" t="s">
        <v>18</v>
      </c>
      <c r="E608" s="1">
        <v>44993</v>
      </c>
      <c r="F608" t="s">
        <v>14</v>
      </c>
      <c r="G608">
        <v>8513</v>
      </c>
      <c r="H608">
        <v>1900</v>
      </c>
      <c r="I608">
        <v>2.38</v>
      </c>
      <c r="J608">
        <v>32</v>
      </c>
      <c r="P608">
        <f t="shared" ca="1" si="37"/>
        <v>859</v>
      </c>
      <c r="Q608" t="str" cm="1">
        <f t="array" ref="Q608">_xlfn.IFS(I608&gt;=3.5,"Excellent", I608&gt;3,"Good",I608&gt;2,"Average",I608&lt;2,"Poor")</f>
        <v>Average</v>
      </c>
      <c r="S608" t="str">
        <f t="shared" si="38"/>
        <v xml:space="preserve"> </v>
      </c>
      <c r="U608">
        <f t="shared" si="39"/>
        <v>2023</v>
      </c>
      <c r="AA608" t="str">
        <f t="shared" ca="1" si="40"/>
        <v/>
      </c>
    </row>
    <row r="609" spans="1:27" x14ac:dyDescent="0.3">
      <c r="A609" t="s">
        <v>1239</v>
      </c>
      <c r="B609" t="s">
        <v>1240</v>
      </c>
      <c r="C609" t="s">
        <v>54</v>
      </c>
      <c r="D609" t="s">
        <v>13</v>
      </c>
      <c r="E609" s="1">
        <v>45013</v>
      </c>
      <c r="F609" t="s">
        <v>14</v>
      </c>
      <c r="G609">
        <v>11839</v>
      </c>
      <c r="H609">
        <v>2074</v>
      </c>
      <c r="I609">
        <v>2.94</v>
      </c>
      <c r="J609">
        <v>9</v>
      </c>
      <c r="P609">
        <f t="shared" ca="1" si="37"/>
        <v>839</v>
      </c>
      <c r="Q609" t="str" cm="1">
        <f t="array" ref="Q609">_xlfn.IFS(I609&gt;=3.5,"Excellent", I609&gt;3,"Good",I609&gt;2,"Average",I609&lt;2,"Poor")</f>
        <v>Average</v>
      </c>
      <c r="S609" t="str">
        <f t="shared" si="38"/>
        <v xml:space="preserve"> </v>
      </c>
      <c r="U609">
        <f t="shared" si="39"/>
        <v>2023</v>
      </c>
      <c r="AA609" t="str">
        <f t="shared" ca="1" si="40"/>
        <v/>
      </c>
    </row>
    <row r="610" spans="1:27" x14ac:dyDescent="0.3">
      <c r="A610" t="s">
        <v>1241</v>
      </c>
      <c r="B610" t="s">
        <v>1242</v>
      </c>
      <c r="C610" t="s">
        <v>22</v>
      </c>
      <c r="D610" t="s">
        <v>62</v>
      </c>
      <c r="E610" s="1">
        <v>45105</v>
      </c>
      <c r="F610" t="s">
        <v>14</v>
      </c>
      <c r="G610">
        <v>11789</v>
      </c>
      <c r="H610">
        <v>2842</v>
      </c>
      <c r="I610">
        <v>2.0499999999999998</v>
      </c>
      <c r="J610">
        <v>103</v>
      </c>
      <c r="P610">
        <f t="shared" ca="1" si="37"/>
        <v>747</v>
      </c>
      <c r="Q610" t="str" cm="1">
        <f t="array" ref="Q610">_xlfn.IFS(I610&gt;=3.5,"Excellent", I610&gt;3,"Good",I610&gt;2,"Average",I610&lt;2,"Poor")</f>
        <v>Average</v>
      </c>
      <c r="S610" t="str">
        <f t="shared" si="38"/>
        <v xml:space="preserve"> </v>
      </c>
      <c r="U610">
        <f t="shared" si="39"/>
        <v>2023</v>
      </c>
      <c r="AA610" t="str">
        <f t="shared" ca="1" si="40"/>
        <v/>
      </c>
    </row>
    <row r="611" spans="1:27" x14ac:dyDescent="0.3">
      <c r="A611" t="s">
        <v>1243</v>
      </c>
      <c r="B611" t="s">
        <v>1244</v>
      </c>
      <c r="C611" t="s">
        <v>54</v>
      </c>
      <c r="D611" t="s">
        <v>18</v>
      </c>
      <c r="E611" s="1">
        <v>45435</v>
      </c>
      <c r="F611" t="s">
        <v>14</v>
      </c>
      <c r="G611">
        <v>8777</v>
      </c>
      <c r="H611">
        <v>5534</v>
      </c>
      <c r="I611">
        <v>3.92</v>
      </c>
      <c r="J611">
        <v>44</v>
      </c>
      <c r="P611">
        <f t="shared" ca="1" si="37"/>
        <v>417</v>
      </c>
      <c r="Q611" t="str" cm="1">
        <f t="array" ref="Q611">_xlfn.IFS(I611&gt;=3.5,"Excellent", I611&gt;3,"Good",I611&gt;2,"Average",I611&lt;2,"Poor")</f>
        <v>Excellent</v>
      </c>
      <c r="S611" t="b">
        <f t="shared" si="38"/>
        <v>1</v>
      </c>
      <c r="U611">
        <f t="shared" si="39"/>
        <v>2024</v>
      </c>
      <c r="AA611" t="str">
        <f t="shared" ca="1" si="40"/>
        <v/>
      </c>
    </row>
    <row r="612" spans="1:27" x14ac:dyDescent="0.3">
      <c r="A612" t="s">
        <v>1245</v>
      </c>
      <c r="B612" t="s">
        <v>1246</v>
      </c>
      <c r="C612" t="s">
        <v>54</v>
      </c>
      <c r="D612" t="s">
        <v>62</v>
      </c>
      <c r="E612" s="1">
        <v>45024</v>
      </c>
      <c r="F612" t="s">
        <v>39</v>
      </c>
      <c r="G612">
        <v>14001</v>
      </c>
      <c r="H612">
        <v>1920</v>
      </c>
      <c r="I612">
        <v>2.66</v>
      </c>
      <c r="J612">
        <v>83</v>
      </c>
      <c r="P612" t="str">
        <f t="shared" ca="1" si="37"/>
        <v xml:space="preserve"> </v>
      </c>
      <c r="Q612" t="str" cm="1">
        <f t="array" ref="Q612">_xlfn.IFS(I612&gt;=3.5,"Excellent", I612&gt;3,"Good",I612&gt;2,"Average",I612&lt;2,"Poor")</f>
        <v>Average</v>
      </c>
      <c r="S612" t="str">
        <f t="shared" si="38"/>
        <v xml:space="preserve"> </v>
      </c>
      <c r="U612">
        <f t="shared" si="39"/>
        <v>2023</v>
      </c>
      <c r="AA612" t="str">
        <f t="shared" ca="1" si="40"/>
        <v/>
      </c>
    </row>
    <row r="613" spans="1:27" x14ac:dyDescent="0.3">
      <c r="A613" t="s">
        <v>1247</v>
      </c>
      <c r="B613" t="s">
        <v>1248</v>
      </c>
      <c r="C613" t="s">
        <v>36</v>
      </c>
      <c r="D613" t="s">
        <v>13</v>
      </c>
      <c r="E613" s="1">
        <v>44895</v>
      </c>
      <c r="F613" t="s">
        <v>39</v>
      </c>
      <c r="G613">
        <v>10096</v>
      </c>
      <c r="H613">
        <v>7573</v>
      </c>
      <c r="I613">
        <v>2.58</v>
      </c>
      <c r="J613">
        <v>99</v>
      </c>
      <c r="P613" t="str">
        <f t="shared" ca="1" si="37"/>
        <v xml:space="preserve"> </v>
      </c>
      <c r="Q613" t="str" cm="1">
        <f t="array" ref="Q613">_xlfn.IFS(I613&gt;=3.5,"Excellent", I613&gt;3,"Good",I613&gt;2,"Average",I613&lt;2,"Poor")</f>
        <v>Average</v>
      </c>
      <c r="S613" t="b">
        <f t="shared" si="38"/>
        <v>1</v>
      </c>
      <c r="U613">
        <f t="shared" si="39"/>
        <v>2022</v>
      </c>
      <c r="AA613" t="str">
        <f t="shared" ca="1" si="40"/>
        <v/>
      </c>
    </row>
    <row r="614" spans="1:27" x14ac:dyDescent="0.3">
      <c r="A614" t="s">
        <v>1249</v>
      </c>
      <c r="B614" t="s">
        <v>1250</v>
      </c>
      <c r="C614" t="s">
        <v>22</v>
      </c>
      <c r="D614" t="s">
        <v>13</v>
      </c>
      <c r="E614" s="1">
        <v>45237</v>
      </c>
      <c r="F614" t="s">
        <v>14</v>
      </c>
      <c r="G614">
        <v>12350</v>
      </c>
      <c r="H614">
        <v>9222</v>
      </c>
      <c r="I614">
        <v>2.86</v>
      </c>
      <c r="J614">
        <v>31</v>
      </c>
      <c r="P614">
        <f t="shared" ca="1" si="37"/>
        <v>615</v>
      </c>
      <c r="Q614" t="str" cm="1">
        <f t="array" ref="Q614">_xlfn.IFS(I614&gt;=3.5,"Excellent", I614&gt;3,"Good",I614&gt;2,"Average",I614&lt;2,"Poor")</f>
        <v>Average</v>
      </c>
      <c r="S614" t="b">
        <f t="shared" si="38"/>
        <v>1</v>
      </c>
      <c r="U614">
        <f t="shared" si="39"/>
        <v>2023</v>
      </c>
      <c r="AA614" t="str">
        <f t="shared" ca="1" si="40"/>
        <v/>
      </c>
    </row>
    <row r="615" spans="1:27" x14ac:dyDescent="0.3">
      <c r="A615" t="s">
        <v>1251</v>
      </c>
      <c r="B615" t="s">
        <v>1252</v>
      </c>
      <c r="C615" t="s">
        <v>54</v>
      </c>
      <c r="D615" t="s">
        <v>18</v>
      </c>
      <c r="E615" s="1">
        <v>45362</v>
      </c>
      <c r="F615" t="s">
        <v>14</v>
      </c>
      <c r="G615">
        <v>7322</v>
      </c>
      <c r="H615">
        <v>1136</v>
      </c>
      <c r="I615">
        <v>2.16</v>
      </c>
      <c r="J615">
        <v>38</v>
      </c>
      <c r="P615">
        <f t="shared" ca="1" si="37"/>
        <v>490</v>
      </c>
      <c r="Q615" t="str" cm="1">
        <f t="array" ref="Q615">_xlfn.IFS(I615&gt;=3.5,"Excellent", I615&gt;3,"Good",I615&gt;2,"Average",I615&lt;2,"Poor")</f>
        <v>Average</v>
      </c>
      <c r="S615" t="str">
        <f t="shared" si="38"/>
        <v xml:space="preserve"> </v>
      </c>
      <c r="U615">
        <f t="shared" si="39"/>
        <v>2024</v>
      </c>
      <c r="AA615" t="str">
        <f t="shared" ca="1" si="40"/>
        <v/>
      </c>
    </row>
    <row r="616" spans="1:27" x14ac:dyDescent="0.3">
      <c r="A616" t="s">
        <v>1253</v>
      </c>
      <c r="B616" t="s">
        <v>1254</v>
      </c>
      <c r="C616" t="s">
        <v>28</v>
      </c>
      <c r="D616" t="s">
        <v>31</v>
      </c>
      <c r="E616" s="1">
        <v>45394</v>
      </c>
      <c r="F616" t="s">
        <v>14</v>
      </c>
      <c r="G616">
        <v>5312</v>
      </c>
      <c r="H616">
        <v>8824</v>
      </c>
      <c r="I616">
        <v>2.78</v>
      </c>
      <c r="J616">
        <v>25</v>
      </c>
      <c r="P616">
        <f t="shared" ca="1" si="37"/>
        <v>458</v>
      </c>
      <c r="Q616" t="str" cm="1">
        <f t="array" ref="Q616">_xlfn.IFS(I616&gt;=3.5,"Excellent", I616&gt;3,"Good",I616&gt;2,"Average",I616&lt;2,"Poor")</f>
        <v>Average</v>
      </c>
      <c r="S616" t="b">
        <f t="shared" si="38"/>
        <v>1</v>
      </c>
      <c r="U616">
        <f t="shared" si="39"/>
        <v>2024</v>
      </c>
      <c r="AA616" t="str">
        <f t="shared" ca="1" si="40"/>
        <v/>
      </c>
    </row>
    <row r="617" spans="1:27" x14ac:dyDescent="0.3">
      <c r="A617" t="s">
        <v>1255</v>
      </c>
      <c r="B617" t="s">
        <v>1256</v>
      </c>
      <c r="C617" t="s">
        <v>22</v>
      </c>
      <c r="D617" t="s">
        <v>62</v>
      </c>
      <c r="E617" s="1">
        <v>45293</v>
      </c>
      <c r="F617" t="s">
        <v>14</v>
      </c>
      <c r="G617">
        <v>6373</v>
      </c>
      <c r="H617">
        <v>5830</v>
      </c>
      <c r="I617">
        <v>3.33</v>
      </c>
      <c r="J617">
        <v>54</v>
      </c>
      <c r="P617">
        <f t="shared" ca="1" si="37"/>
        <v>559</v>
      </c>
      <c r="Q617" t="str" cm="1">
        <f t="array" ref="Q617">_xlfn.IFS(I617&gt;=3.5,"Excellent", I617&gt;3,"Good",I617&gt;2,"Average",I617&lt;2,"Poor")</f>
        <v>Good</v>
      </c>
      <c r="S617" t="b">
        <f t="shared" si="38"/>
        <v>1</v>
      </c>
      <c r="U617">
        <f t="shared" si="39"/>
        <v>2024</v>
      </c>
      <c r="AA617" t="str">
        <f t="shared" ca="1" si="40"/>
        <v/>
      </c>
    </row>
    <row r="618" spans="1:27" x14ac:dyDescent="0.3">
      <c r="A618" t="s">
        <v>1257</v>
      </c>
      <c r="B618" t="s">
        <v>1258</v>
      </c>
      <c r="C618" t="s">
        <v>57</v>
      </c>
      <c r="D618" t="s">
        <v>31</v>
      </c>
      <c r="E618" s="1">
        <v>45184</v>
      </c>
      <c r="F618" t="s">
        <v>14</v>
      </c>
      <c r="G618">
        <v>4233</v>
      </c>
      <c r="H618">
        <v>3690</v>
      </c>
      <c r="I618">
        <v>2.95</v>
      </c>
      <c r="J618">
        <v>25</v>
      </c>
      <c r="P618">
        <f t="shared" ca="1" si="37"/>
        <v>668</v>
      </c>
      <c r="Q618" t="str" cm="1">
        <f t="array" ref="Q618">_xlfn.IFS(I618&gt;=3.5,"Excellent", I618&gt;3,"Good",I618&gt;2,"Average",I618&lt;2,"Poor")</f>
        <v>Average</v>
      </c>
      <c r="S618" t="b">
        <f t="shared" si="38"/>
        <v>1</v>
      </c>
      <c r="U618">
        <f t="shared" si="39"/>
        <v>2023</v>
      </c>
      <c r="AA618" t="str">
        <f t="shared" ca="1" si="40"/>
        <v/>
      </c>
    </row>
    <row r="619" spans="1:27" x14ac:dyDescent="0.3">
      <c r="A619" t="s">
        <v>1259</v>
      </c>
      <c r="B619" t="s">
        <v>1260</v>
      </c>
      <c r="C619" t="s">
        <v>12</v>
      </c>
      <c r="D619" t="s">
        <v>62</v>
      </c>
      <c r="E619" s="1">
        <v>45072</v>
      </c>
      <c r="F619" t="s">
        <v>19</v>
      </c>
      <c r="G619">
        <v>13229</v>
      </c>
      <c r="H619">
        <v>4756</v>
      </c>
      <c r="I619">
        <v>3.6</v>
      </c>
      <c r="J619">
        <v>93</v>
      </c>
      <c r="P619" t="str">
        <f t="shared" ca="1" si="37"/>
        <v xml:space="preserve"> </v>
      </c>
      <c r="Q619" t="str" cm="1">
        <f t="array" ref="Q619">_xlfn.IFS(I619&gt;=3.5,"Excellent", I619&gt;3,"Good",I619&gt;2,"Average",I619&lt;2,"Poor")</f>
        <v>Excellent</v>
      </c>
      <c r="S619" t="str">
        <f t="shared" si="38"/>
        <v xml:space="preserve"> </v>
      </c>
      <c r="U619">
        <f t="shared" si="39"/>
        <v>2023</v>
      </c>
      <c r="AA619">
        <f t="shared" ca="1" si="40"/>
        <v>780</v>
      </c>
    </row>
    <row r="620" spans="1:27" x14ac:dyDescent="0.3">
      <c r="A620" t="s">
        <v>1261</v>
      </c>
      <c r="B620" t="s">
        <v>1262</v>
      </c>
      <c r="C620" t="s">
        <v>57</v>
      </c>
      <c r="D620" t="s">
        <v>18</v>
      </c>
      <c r="E620" s="1">
        <v>45345</v>
      </c>
      <c r="F620" t="s">
        <v>14</v>
      </c>
      <c r="G620">
        <v>3758</v>
      </c>
      <c r="H620">
        <v>7268</v>
      </c>
      <c r="I620">
        <v>2.16</v>
      </c>
      <c r="J620">
        <v>57</v>
      </c>
      <c r="P620">
        <f t="shared" ca="1" si="37"/>
        <v>507</v>
      </c>
      <c r="Q620" t="str" cm="1">
        <f t="array" ref="Q620">_xlfn.IFS(I620&gt;=3.5,"Excellent", I620&gt;3,"Good",I620&gt;2,"Average",I620&lt;2,"Poor")</f>
        <v>Average</v>
      </c>
      <c r="S620" t="b">
        <f t="shared" si="38"/>
        <v>1</v>
      </c>
      <c r="U620">
        <f t="shared" si="39"/>
        <v>2024</v>
      </c>
      <c r="AA620" t="str">
        <f t="shared" ca="1" si="40"/>
        <v/>
      </c>
    </row>
    <row r="621" spans="1:27" x14ac:dyDescent="0.3">
      <c r="A621" t="s">
        <v>1263</v>
      </c>
      <c r="B621" t="s">
        <v>1264</v>
      </c>
      <c r="C621" t="s">
        <v>22</v>
      </c>
      <c r="D621" t="s">
        <v>13</v>
      </c>
      <c r="E621" s="1">
        <v>44669</v>
      </c>
      <c r="F621" t="s">
        <v>19</v>
      </c>
      <c r="G621">
        <v>12721</v>
      </c>
      <c r="H621">
        <v>2480</v>
      </c>
      <c r="I621">
        <v>3.64</v>
      </c>
      <c r="J621">
        <v>7</v>
      </c>
      <c r="P621" t="str">
        <f t="shared" ca="1" si="37"/>
        <v xml:space="preserve"> </v>
      </c>
      <c r="Q621" t="str" cm="1">
        <f t="array" ref="Q621">_xlfn.IFS(I621&gt;=3.5,"Excellent", I621&gt;3,"Good",I621&gt;2,"Average",I621&lt;2,"Poor")</f>
        <v>Excellent</v>
      </c>
      <c r="S621" t="str">
        <f t="shared" si="38"/>
        <v xml:space="preserve"> </v>
      </c>
      <c r="U621">
        <f t="shared" si="39"/>
        <v>2022</v>
      </c>
      <c r="AA621">
        <f t="shared" ca="1" si="40"/>
        <v>1183</v>
      </c>
    </row>
    <row r="622" spans="1:27" x14ac:dyDescent="0.3">
      <c r="A622" t="s">
        <v>1265</v>
      </c>
      <c r="B622" t="s">
        <v>1266</v>
      </c>
      <c r="C622" t="s">
        <v>57</v>
      </c>
      <c r="D622" t="s">
        <v>18</v>
      </c>
      <c r="E622" s="1">
        <v>45122</v>
      </c>
      <c r="F622" t="s">
        <v>14</v>
      </c>
      <c r="G622">
        <v>4337</v>
      </c>
      <c r="H622">
        <v>3817</v>
      </c>
      <c r="I622">
        <v>3.46</v>
      </c>
      <c r="J622">
        <v>45</v>
      </c>
      <c r="P622">
        <f t="shared" ca="1" si="37"/>
        <v>730</v>
      </c>
      <c r="Q622" t="str" cm="1">
        <f t="array" ref="Q622">_xlfn.IFS(I622&gt;=3.5,"Excellent", I622&gt;3,"Good",I622&gt;2,"Average",I622&lt;2,"Poor")</f>
        <v>Good</v>
      </c>
      <c r="S622" t="b">
        <f t="shared" si="38"/>
        <v>1</v>
      </c>
      <c r="U622">
        <f t="shared" si="39"/>
        <v>2023</v>
      </c>
      <c r="AA622" t="str">
        <f t="shared" ca="1" si="40"/>
        <v/>
      </c>
    </row>
    <row r="623" spans="1:27" x14ac:dyDescent="0.3">
      <c r="A623" t="s">
        <v>1267</v>
      </c>
      <c r="B623" t="s">
        <v>1268</v>
      </c>
      <c r="C623" t="s">
        <v>25</v>
      </c>
      <c r="D623" t="s">
        <v>13</v>
      </c>
      <c r="E623" s="1">
        <v>45006</v>
      </c>
      <c r="F623" t="s">
        <v>14</v>
      </c>
      <c r="G623">
        <v>10462</v>
      </c>
      <c r="H623">
        <v>5148</v>
      </c>
      <c r="I623">
        <v>3.84</v>
      </c>
      <c r="J623">
        <v>100</v>
      </c>
      <c r="P623">
        <f t="shared" ca="1" si="37"/>
        <v>846</v>
      </c>
      <c r="Q623" t="str" cm="1">
        <f t="array" ref="Q623">_xlfn.IFS(I623&gt;=3.5,"Excellent", I623&gt;3,"Good",I623&gt;2,"Average",I623&lt;2,"Poor")</f>
        <v>Excellent</v>
      </c>
      <c r="S623" t="str">
        <f t="shared" si="38"/>
        <v xml:space="preserve"> </v>
      </c>
      <c r="U623">
        <f t="shared" si="39"/>
        <v>2023</v>
      </c>
      <c r="AA623" t="str">
        <f t="shared" ca="1" si="40"/>
        <v/>
      </c>
    </row>
    <row r="624" spans="1:27" x14ac:dyDescent="0.3">
      <c r="A624" t="s">
        <v>1269</v>
      </c>
      <c r="B624" t="s">
        <v>1270</v>
      </c>
      <c r="C624" t="s">
        <v>57</v>
      </c>
      <c r="D624" t="s">
        <v>13</v>
      </c>
      <c r="E624" s="1">
        <v>44657</v>
      </c>
      <c r="F624" t="s">
        <v>14</v>
      </c>
      <c r="G624">
        <v>3395</v>
      </c>
      <c r="H624">
        <v>776</v>
      </c>
      <c r="I624">
        <v>3.15</v>
      </c>
      <c r="J624">
        <v>111</v>
      </c>
      <c r="P624">
        <f t="shared" ca="1" si="37"/>
        <v>1195</v>
      </c>
      <c r="Q624" t="str" cm="1">
        <f t="array" ref="Q624">_xlfn.IFS(I624&gt;=3.5,"Excellent", I624&gt;3,"Good",I624&gt;2,"Average",I624&lt;2,"Poor")</f>
        <v>Good</v>
      </c>
      <c r="S624" t="str">
        <f t="shared" si="38"/>
        <v xml:space="preserve"> </v>
      </c>
      <c r="U624">
        <f t="shared" si="39"/>
        <v>2022</v>
      </c>
      <c r="AA624" t="str">
        <f t="shared" ca="1" si="40"/>
        <v/>
      </c>
    </row>
    <row r="625" spans="1:27" x14ac:dyDescent="0.3">
      <c r="A625" t="s">
        <v>1271</v>
      </c>
      <c r="B625" t="s">
        <v>1272</v>
      </c>
      <c r="C625" t="s">
        <v>22</v>
      </c>
      <c r="D625" t="s">
        <v>13</v>
      </c>
      <c r="E625" s="1">
        <v>45253</v>
      </c>
      <c r="F625" t="s">
        <v>19</v>
      </c>
      <c r="G625">
        <v>4517</v>
      </c>
      <c r="H625">
        <v>4565</v>
      </c>
      <c r="I625">
        <v>2.2999999999999998</v>
      </c>
      <c r="J625">
        <v>10</v>
      </c>
      <c r="P625" t="str">
        <f t="shared" ca="1" si="37"/>
        <v xml:space="preserve"> </v>
      </c>
      <c r="Q625" t="str" cm="1">
        <f t="array" ref="Q625">_xlfn.IFS(I625&gt;=3.5,"Excellent", I625&gt;3,"Good",I625&gt;2,"Average",I625&lt;2,"Poor")</f>
        <v>Average</v>
      </c>
      <c r="S625" t="b">
        <f t="shared" si="38"/>
        <v>1</v>
      </c>
      <c r="U625">
        <f t="shared" si="39"/>
        <v>2023</v>
      </c>
      <c r="AA625">
        <f t="shared" ca="1" si="40"/>
        <v>599</v>
      </c>
    </row>
    <row r="626" spans="1:27" x14ac:dyDescent="0.3">
      <c r="A626" t="s">
        <v>1273</v>
      </c>
      <c r="B626" t="s">
        <v>1274</v>
      </c>
      <c r="C626" t="s">
        <v>36</v>
      </c>
      <c r="D626" t="s">
        <v>18</v>
      </c>
      <c r="E626" s="1">
        <v>45458</v>
      </c>
      <c r="F626" t="s">
        <v>14</v>
      </c>
      <c r="G626">
        <v>13029</v>
      </c>
      <c r="H626">
        <v>8730</v>
      </c>
      <c r="I626">
        <v>3.5</v>
      </c>
      <c r="J626">
        <v>38</v>
      </c>
      <c r="P626">
        <f t="shared" ca="1" si="37"/>
        <v>394</v>
      </c>
      <c r="Q626" t="str" cm="1">
        <f t="array" ref="Q626">_xlfn.IFS(I626&gt;=3.5,"Excellent", I626&gt;3,"Good",I626&gt;2,"Average",I626&lt;2,"Poor")</f>
        <v>Excellent</v>
      </c>
      <c r="S626" t="b">
        <f t="shared" si="38"/>
        <v>1</v>
      </c>
      <c r="U626">
        <f t="shared" si="39"/>
        <v>2024</v>
      </c>
      <c r="AA626" t="str">
        <f t="shared" ca="1" si="40"/>
        <v/>
      </c>
    </row>
    <row r="627" spans="1:27" x14ac:dyDescent="0.3">
      <c r="A627" t="s">
        <v>1275</v>
      </c>
      <c r="B627" t="s">
        <v>1276</v>
      </c>
      <c r="C627" t="s">
        <v>28</v>
      </c>
      <c r="D627" t="s">
        <v>62</v>
      </c>
      <c r="E627" s="1">
        <v>45052</v>
      </c>
      <c r="F627" t="s">
        <v>19</v>
      </c>
      <c r="G627">
        <v>10361</v>
      </c>
      <c r="H627">
        <v>8648</v>
      </c>
      <c r="I627">
        <v>2.52</v>
      </c>
      <c r="J627">
        <v>19</v>
      </c>
      <c r="P627" t="str">
        <f t="shared" ca="1" si="37"/>
        <v xml:space="preserve"> </v>
      </c>
      <c r="Q627" t="str" cm="1">
        <f t="array" ref="Q627">_xlfn.IFS(I627&gt;=3.5,"Excellent", I627&gt;3,"Good",I627&gt;2,"Average",I627&lt;2,"Poor")</f>
        <v>Average</v>
      </c>
      <c r="S627" t="b">
        <f t="shared" si="38"/>
        <v>1</v>
      </c>
      <c r="U627">
        <f t="shared" si="39"/>
        <v>2023</v>
      </c>
      <c r="AA627">
        <f t="shared" ca="1" si="40"/>
        <v>800</v>
      </c>
    </row>
    <row r="628" spans="1:27" x14ac:dyDescent="0.3">
      <c r="A628" t="s">
        <v>1277</v>
      </c>
      <c r="B628" t="s">
        <v>1278</v>
      </c>
      <c r="C628" t="s">
        <v>54</v>
      </c>
      <c r="D628" t="s">
        <v>31</v>
      </c>
      <c r="E628" s="1">
        <v>45101</v>
      </c>
      <c r="F628" t="s">
        <v>14</v>
      </c>
      <c r="G628">
        <v>9360</v>
      </c>
      <c r="H628">
        <v>9308</v>
      </c>
      <c r="I628">
        <v>2.3199999999999998</v>
      </c>
      <c r="J628">
        <v>114</v>
      </c>
      <c r="P628">
        <f t="shared" ca="1" si="37"/>
        <v>751</v>
      </c>
      <c r="Q628" t="str" cm="1">
        <f t="array" ref="Q628">_xlfn.IFS(I628&gt;=3.5,"Excellent", I628&gt;3,"Good",I628&gt;2,"Average",I628&lt;2,"Poor")</f>
        <v>Average</v>
      </c>
      <c r="S628" t="b">
        <f t="shared" si="38"/>
        <v>1</v>
      </c>
      <c r="U628">
        <f t="shared" si="39"/>
        <v>2023</v>
      </c>
      <c r="AA628" t="str">
        <f t="shared" ca="1" si="40"/>
        <v/>
      </c>
    </row>
    <row r="629" spans="1:27" x14ac:dyDescent="0.3">
      <c r="A629" t="s">
        <v>1279</v>
      </c>
      <c r="B629" t="s">
        <v>1280</v>
      </c>
      <c r="C629" t="s">
        <v>28</v>
      </c>
      <c r="D629" t="s">
        <v>31</v>
      </c>
      <c r="E629" s="1">
        <v>45162</v>
      </c>
      <c r="F629" t="s">
        <v>19</v>
      </c>
      <c r="G629">
        <v>8250</v>
      </c>
      <c r="H629">
        <v>77</v>
      </c>
      <c r="I629">
        <v>3.47</v>
      </c>
      <c r="J629">
        <v>98</v>
      </c>
      <c r="P629" t="str">
        <f t="shared" ca="1" si="37"/>
        <v xml:space="preserve"> </v>
      </c>
      <c r="Q629" t="str" cm="1">
        <f t="array" ref="Q629">_xlfn.IFS(I629&gt;=3.5,"Excellent", I629&gt;3,"Good",I629&gt;2,"Average",I629&lt;2,"Poor")</f>
        <v>Good</v>
      </c>
      <c r="S629" t="str">
        <f t="shared" si="38"/>
        <v xml:space="preserve"> </v>
      </c>
      <c r="U629">
        <f t="shared" si="39"/>
        <v>2023</v>
      </c>
      <c r="AA629">
        <f t="shared" ca="1" si="40"/>
        <v>690</v>
      </c>
    </row>
    <row r="630" spans="1:27" x14ac:dyDescent="0.3">
      <c r="A630" t="s">
        <v>1281</v>
      </c>
      <c r="B630" t="s">
        <v>1282</v>
      </c>
      <c r="C630" t="s">
        <v>28</v>
      </c>
      <c r="D630" t="s">
        <v>18</v>
      </c>
      <c r="E630" s="1">
        <v>45046</v>
      </c>
      <c r="F630" t="s">
        <v>14</v>
      </c>
      <c r="G630">
        <v>6986</v>
      </c>
      <c r="H630">
        <v>1773</v>
      </c>
      <c r="I630">
        <v>3.12</v>
      </c>
      <c r="J630">
        <v>106</v>
      </c>
      <c r="P630">
        <f t="shared" ca="1" si="37"/>
        <v>806</v>
      </c>
      <c r="Q630" t="str" cm="1">
        <f t="array" ref="Q630">_xlfn.IFS(I630&gt;=3.5,"Excellent", I630&gt;3,"Good",I630&gt;2,"Average",I630&lt;2,"Poor")</f>
        <v>Good</v>
      </c>
      <c r="S630" t="str">
        <f t="shared" si="38"/>
        <v xml:space="preserve"> </v>
      </c>
      <c r="U630">
        <f t="shared" si="39"/>
        <v>2023</v>
      </c>
      <c r="AA630" t="str">
        <f t="shared" ca="1" si="40"/>
        <v/>
      </c>
    </row>
    <row r="631" spans="1:27" x14ac:dyDescent="0.3">
      <c r="A631" t="s">
        <v>1283</v>
      </c>
      <c r="B631" t="s">
        <v>1284</v>
      </c>
      <c r="C631" t="s">
        <v>36</v>
      </c>
      <c r="D631" t="s">
        <v>18</v>
      </c>
      <c r="E631" s="1">
        <v>44927</v>
      </c>
      <c r="F631" t="s">
        <v>19</v>
      </c>
      <c r="G631">
        <v>14012</v>
      </c>
      <c r="H631">
        <v>7567</v>
      </c>
      <c r="I631">
        <v>2.29</v>
      </c>
      <c r="J631">
        <v>86</v>
      </c>
      <c r="P631" t="str">
        <f t="shared" ca="1" si="37"/>
        <v xml:space="preserve"> </v>
      </c>
      <c r="Q631" t="str" cm="1">
        <f t="array" ref="Q631">_xlfn.IFS(I631&gt;=3.5,"Excellent", I631&gt;3,"Good",I631&gt;2,"Average",I631&lt;2,"Poor")</f>
        <v>Average</v>
      </c>
      <c r="S631" t="b">
        <f t="shared" si="38"/>
        <v>1</v>
      </c>
      <c r="U631">
        <f t="shared" si="39"/>
        <v>2023</v>
      </c>
      <c r="AA631">
        <f t="shared" ca="1" si="40"/>
        <v>925</v>
      </c>
    </row>
    <row r="632" spans="1:27" x14ac:dyDescent="0.3">
      <c r="A632" t="s">
        <v>1285</v>
      </c>
      <c r="B632" t="s">
        <v>1286</v>
      </c>
      <c r="C632" t="s">
        <v>36</v>
      </c>
      <c r="D632" t="s">
        <v>13</v>
      </c>
      <c r="E632" s="1">
        <v>44979</v>
      </c>
      <c r="F632" t="s">
        <v>14</v>
      </c>
      <c r="G632">
        <v>6769</v>
      </c>
      <c r="H632">
        <v>2409</v>
      </c>
      <c r="I632">
        <v>2.2999999999999998</v>
      </c>
      <c r="J632">
        <v>57</v>
      </c>
      <c r="P632">
        <f t="shared" ca="1" si="37"/>
        <v>873</v>
      </c>
      <c r="Q632" t="str" cm="1">
        <f t="array" ref="Q632">_xlfn.IFS(I632&gt;=3.5,"Excellent", I632&gt;3,"Good",I632&gt;2,"Average",I632&lt;2,"Poor")</f>
        <v>Average</v>
      </c>
      <c r="S632" t="str">
        <f t="shared" si="38"/>
        <v xml:space="preserve"> </v>
      </c>
      <c r="U632">
        <f t="shared" si="39"/>
        <v>2023</v>
      </c>
      <c r="AA632" t="str">
        <f t="shared" ca="1" si="40"/>
        <v/>
      </c>
    </row>
    <row r="633" spans="1:27" x14ac:dyDescent="0.3">
      <c r="A633" t="s">
        <v>1287</v>
      </c>
      <c r="B633" t="s">
        <v>1288</v>
      </c>
      <c r="C633" t="s">
        <v>17</v>
      </c>
      <c r="D633" t="s">
        <v>13</v>
      </c>
      <c r="E633" s="1">
        <v>45453</v>
      </c>
      <c r="F633" t="s">
        <v>14</v>
      </c>
      <c r="G633">
        <v>3621</v>
      </c>
      <c r="H633">
        <v>3198</v>
      </c>
      <c r="I633">
        <v>3.45</v>
      </c>
      <c r="J633">
        <v>16</v>
      </c>
      <c r="P633">
        <f t="shared" ca="1" si="37"/>
        <v>399</v>
      </c>
      <c r="Q633" t="str" cm="1">
        <f t="array" ref="Q633">_xlfn.IFS(I633&gt;=3.5,"Excellent", I633&gt;3,"Good",I633&gt;2,"Average",I633&lt;2,"Poor")</f>
        <v>Good</v>
      </c>
      <c r="S633" t="b">
        <f t="shared" si="38"/>
        <v>1</v>
      </c>
      <c r="U633">
        <f t="shared" si="39"/>
        <v>2024</v>
      </c>
      <c r="AA633" t="str">
        <f t="shared" ca="1" si="40"/>
        <v/>
      </c>
    </row>
    <row r="634" spans="1:27" x14ac:dyDescent="0.3">
      <c r="A634" t="s">
        <v>1289</v>
      </c>
      <c r="B634" t="s">
        <v>1290</v>
      </c>
      <c r="C634" t="s">
        <v>54</v>
      </c>
      <c r="D634" t="s">
        <v>31</v>
      </c>
      <c r="E634" s="1">
        <v>44701</v>
      </c>
      <c r="F634" t="s">
        <v>39</v>
      </c>
      <c r="G634">
        <v>14499</v>
      </c>
      <c r="H634">
        <v>2164</v>
      </c>
      <c r="I634">
        <v>2.4</v>
      </c>
      <c r="J634">
        <v>21</v>
      </c>
      <c r="P634" t="str">
        <f t="shared" ca="1" si="37"/>
        <v xml:space="preserve"> </v>
      </c>
      <c r="Q634" t="str" cm="1">
        <f t="array" ref="Q634">_xlfn.IFS(I634&gt;=3.5,"Excellent", I634&gt;3,"Good",I634&gt;2,"Average",I634&lt;2,"Poor")</f>
        <v>Average</v>
      </c>
      <c r="S634" t="str">
        <f t="shared" si="38"/>
        <v xml:space="preserve"> </v>
      </c>
      <c r="U634">
        <f t="shared" si="39"/>
        <v>2022</v>
      </c>
      <c r="AA634" t="str">
        <f t="shared" ca="1" si="40"/>
        <v/>
      </c>
    </row>
    <row r="635" spans="1:27" x14ac:dyDescent="0.3">
      <c r="A635" t="s">
        <v>1291</v>
      </c>
      <c r="B635" t="s">
        <v>1292</v>
      </c>
      <c r="C635" t="s">
        <v>17</v>
      </c>
      <c r="D635" t="s">
        <v>62</v>
      </c>
      <c r="E635" s="1">
        <v>45096</v>
      </c>
      <c r="F635" t="s">
        <v>14</v>
      </c>
      <c r="G635">
        <v>4859</v>
      </c>
      <c r="H635">
        <v>250</v>
      </c>
      <c r="I635">
        <v>3.26</v>
      </c>
      <c r="J635">
        <v>99</v>
      </c>
      <c r="P635">
        <f t="shared" ca="1" si="37"/>
        <v>756</v>
      </c>
      <c r="Q635" t="str" cm="1">
        <f t="array" ref="Q635">_xlfn.IFS(I635&gt;=3.5,"Excellent", I635&gt;3,"Good",I635&gt;2,"Average",I635&lt;2,"Poor")</f>
        <v>Good</v>
      </c>
      <c r="S635" t="str">
        <f t="shared" si="38"/>
        <v xml:space="preserve"> </v>
      </c>
      <c r="U635">
        <f t="shared" si="39"/>
        <v>2023</v>
      </c>
      <c r="AA635" t="str">
        <f t="shared" ca="1" si="40"/>
        <v/>
      </c>
    </row>
    <row r="636" spans="1:27" x14ac:dyDescent="0.3">
      <c r="A636" t="s">
        <v>1293</v>
      </c>
      <c r="B636" t="s">
        <v>1294</v>
      </c>
      <c r="C636" t="s">
        <v>28</v>
      </c>
      <c r="D636" t="s">
        <v>13</v>
      </c>
      <c r="E636" s="1">
        <v>44827</v>
      </c>
      <c r="F636" t="s">
        <v>19</v>
      </c>
      <c r="G636">
        <v>3080</v>
      </c>
      <c r="H636">
        <v>9821</v>
      </c>
      <c r="I636">
        <v>2.33</v>
      </c>
      <c r="J636">
        <v>94</v>
      </c>
      <c r="P636" t="str">
        <f t="shared" ca="1" si="37"/>
        <v xml:space="preserve"> </v>
      </c>
      <c r="Q636" t="str" cm="1">
        <f t="array" ref="Q636">_xlfn.IFS(I636&gt;=3.5,"Excellent", I636&gt;3,"Good",I636&gt;2,"Average",I636&lt;2,"Poor")</f>
        <v>Average</v>
      </c>
      <c r="S636" t="b">
        <f t="shared" si="38"/>
        <v>1</v>
      </c>
      <c r="U636">
        <f t="shared" si="39"/>
        <v>2022</v>
      </c>
      <c r="AA636">
        <f t="shared" ca="1" si="40"/>
        <v>1025</v>
      </c>
    </row>
    <row r="637" spans="1:27" x14ac:dyDescent="0.3">
      <c r="A637" t="s">
        <v>1295</v>
      </c>
      <c r="B637" t="s">
        <v>1296</v>
      </c>
      <c r="C637" t="s">
        <v>54</v>
      </c>
      <c r="D637" t="s">
        <v>31</v>
      </c>
      <c r="E637" s="1">
        <v>44933</v>
      </c>
      <c r="F637" t="s">
        <v>19</v>
      </c>
      <c r="G637">
        <v>10910</v>
      </c>
      <c r="H637">
        <v>3649</v>
      </c>
      <c r="I637">
        <v>3.02</v>
      </c>
      <c r="J637">
        <v>70</v>
      </c>
      <c r="P637" t="str">
        <f t="shared" ca="1" si="37"/>
        <v xml:space="preserve"> </v>
      </c>
      <c r="Q637" t="str" cm="1">
        <f t="array" ref="Q637">_xlfn.IFS(I637&gt;=3.5,"Excellent", I637&gt;3,"Good",I637&gt;2,"Average",I637&lt;2,"Poor")</f>
        <v>Good</v>
      </c>
      <c r="S637" t="str">
        <f t="shared" si="38"/>
        <v xml:space="preserve"> </v>
      </c>
      <c r="U637">
        <f t="shared" si="39"/>
        <v>2023</v>
      </c>
      <c r="AA637">
        <f t="shared" ca="1" si="40"/>
        <v>919</v>
      </c>
    </row>
    <row r="638" spans="1:27" x14ac:dyDescent="0.3">
      <c r="A638" t="s">
        <v>1297</v>
      </c>
      <c r="B638" t="s">
        <v>1298</v>
      </c>
      <c r="C638" t="s">
        <v>28</v>
      </c>
      <c r="D638" t="s">
        <v>13</v>
      </c>
      <c r="E638" s="1">
        <v>44894</v>
      </c>
      <c r="F638" t="s">
        <v>14</v>
      </c>
      <c r="G638">
        <v>12516</v>
      </c>
      <c r="H638">
        <v>1881</v>
      </c>
      <c r="I638">
        <v>3.86</v>
      </c>
      <c r="J638">
        <v>98</v>
      </c>
      <c r="P638">
        <f t="shared" ca="1" si="37"/>
        <v>958</v>
      </c>
      <c r="Q638" t="str" cm="1">
        <f t="array" ref="Q638">_xlfn.IFS(I638&gt;=3.5,"Excellent", I638&gt;3,"Good",I638&gt;2,"Average",I638&lt;2,"Poor")</f>
        <v>Excellent</v>
      </c>
      <c r="S638" t="str">
        <f t="shared" si="38"/>
        <v xml:space="preserve"> </v>
      </c>
      <c r="U638">
        <f t="shared" si="39"/>
        <v>2022</v>
      </c>
      <c r="AA638" t="str">
        <f t="shared" ca="1" si="40"/>
        <v/>
      </c>
    </row>
    <row r="639" spans="1:27" x14ac:dyDescent="0.3">
      <c r="A639" t="s">
        <v>1299</v>
      </c>
      <c r="B639" t="s">
        <v>1300</v>
      </c>
      <c r="C639" t="s">
        <v>28</v>
      </c>
      <c r="D639" t="s">
        <v>31</v>
      </c>
      <c r="E639" s="1">
        <v>45224</v>
      </c>
      <c r="F639" t="s">
        <v>14</v>
      </c>
      <c r="G639">
        <v>3587</v>
      </c>
      <c r="H639">
        <v>9014</v>
      </c>
      <c r="I639">
        <v>2.34</v>
      </c>
      <c r="J639">
        <v>57</v>
      </c>
      <c r="P639">
        <f t="shared" ca="1" si="37"/>
        <v>628</v>
      </c>
      <c r="Q639" t="str" cm="1">
        <f t="array" ref="Q639">_xlfn.IFS(I639&gt;=3.5,"Excellent", I639&gt;3,"Good",I639&gt;2,"Average",I639&lt;2,"Poor")</f>
        <v>Average</v>
      </c>
      <c r="S639" t="b">
        <f t="shared" si="38"/>
        <v>1</v>
      </c>
      <c r="U639">
        <f t="shared" si="39"/>
        <v>2023</v>
      </c>
      <c r="AA639" t="str">
        <f t="shared" ca="1" si="40"/>
        <v/>
      </c>
    </row>
    <row r="640" spans="1:27" x14ac:dyDescent="0.3">
      <c r="A640" t="s">
        <v>1301</v>
      </c>
      <c r="B640" t="s">
        <v>1302</v>
      </c>
      <c r="C640" t="s">
        <v>54</v>
      </c>
      <c r="D640" t="s">
        <v>62</v>
      </c>
      <c r="E640" s="1">
        <v>45342</v>
      </c>
      <c r="F640" t="s">
        <v>19</v>
      </c>
      <c r="G640">
        <v>13307</v>
      </c>
      <c r="H640">
        <v>66</v>
      </c>
      <c r="I640">
        <v>2.4900000000000002</v>
      </c>
      <c r="J640">
        <v>99</v>
      </c>
      <c r="P640" t="str">
        <f t="shared" ca="1" si="37"/>
        <v xml:space="preserve"> </v>
      </c>
      <c r="Q640" t="str" cm="1">
        <f t="array" ref="Q640">_xlfn.IFS(I640&gt;=3.5,"Excellent", I640&gt;3,"Good",I640&gt;2,"Average",I640&lt;2,"Poor")</f>
        <v>Average</v>
      </c>
      <c r="S640" t="str">
        <f t="shared" si="38"/>
        <v xml:space="preserve"> </v>
      </c>
      <c r="U640">
        <f t="shared" si="39"/>
        <v>2024</v>
      </c>
      <c r="AA640">
        <f t="shared" ca="1" si="40"/>
        <v>510</v>
      </c>
    </row>
    <row r="641" spans="1:27" x14ac:dyDescent="0.3">
      <c r="A641" t="s">
        <v>1303</v>
      </c>
      <c r="B641" t="s">
        <v>1304</v>
      </c>
      <c r="C641" t="s">
        <v>36</v>
      </c>
      <c r="D641" t="s">
        <v>18</v>
      </c>
      <c r="E641" s="1">
        <v>44920</v>
      </c>
      <c r="F641" t="s">
        <v>19</v>
      </c>
      <c r="G641">
        <v>4132</v>
      </c>
      <c r="H641">
        <v>6404</v>
      </c>
      <c r="I641">
        <v>2.63</v>
      </c>
      <c r="J641">
        <v>114</v>
      </c>
      <c r="P641" t="str">
        <f t="shared" ca="1" si="37"/>
        <v xml:space="preserve"> </v>
      </c>
      <c r="Q641" t="str" cm="1">
        <f t="array" ref="Q641">_xlfn.IFS(I641&gt;=3.5,"Excellent", I641&gt;3,"Good",I641&gt;2,"Average",I641&lt;2,"Poor")</f>
        <v>Average</v>
      </c>
      <c r="S641" t="b">
        <f t="shared" si="38"/>
        <v>1</v>
      </c>
      <c r="U641">
        <f t="shared" si="39"/>
        <v>2022</v>
      </c>
      <c r="AA641">
        <f t="shared" ca="1" si="40"/>
        <v>932</v>
      </c>
    </row>
    <row r="642" spans="1:27" x14ac:dyDescent="0.3">
      <c r="A642" t="s">
        <v>1305</v>
      </c>
      <c r="B642" t="s">
        <v>1306</v>
      </c>
      <c r="C642" t="s">
        <v>54</v>
      </c>
      <c r="D642" t="s">
        <v>18</v>
      </c>
      <c r="E642" s="1">
        <v>44693</v>
      </c>
      <c r="F642" t="s">
        <v>14</v>
      </c>
      <c r="G642">
        <v>5391</v>
      </c>
      <c r="H642">
        <v>7710</v>
      </c>
      <c r="I642">
        <v>3.61</v>
      </c>
      <c r="J642">
        <v>37</v>
      </c>
      <c r="P642">
        <f t="shared" ca="1" si="37"/>
        <v>1159</v>
      </c>
      <c r="Q642" t="str" cm="1">
        <f t="array" ref="Q642">_xlfn.IFS(I642&gt;=3.5,"Excellent", I642&gt;3,"Good",I642&gt;2,"Average",I642&lt;2,"Poor")</f>
        <v>Excellent</v>
      </c>
      <c r="S642" t="b">
        <f t="shared" si="38"/>
        <v>1</v>
      </c>
      <c r="U642">
        <f t="shared" si="39"/>
        <v>2022</v>
      </c>
      <c r="AA642" t="str">
        <f t="shared" ca="1" si="40"/>
        <v/>
      </c>
    </row>
    <row r="643" spans="1:27" x14ac:dyDescent="0.3">
      <c r="A643" t="s">
        <v>1307</v>
      </c>
      <c r="B643" t="s">
        <v>1308</v>
      </c>
      <c r="C643" t="s">
        <v>57</v>
      </c>
      <c r="D643" t="s">
        <v>18</v>
      </c>
      <c r="E643" s="1">
        <v>44835</v>
      </c>
      <c r="F643" t="s">
        <v>19</v>
      </c>
      <c r="G643">
        <v>4790</v>
      </c>
      <c r="H643">
        <v>5633</v>
      </c>
      <c r="I643">
        <v>2.11</v>
      </c>
      <c r="J643">
        <v>52</v>
      </c>
      <c r="P643" t="str">
        <f t="shared" ref="P643:P706" ca="1" si="41">IF(F643="Enrolled",TODAY()-E643, " ")</f>
        <v xml:space="preserve"> </v>
      </c>
      <c r="Q643" t="str" cm="1">
        <f t="array" ref="Q643">_xlfn.IFS(I643&gt;=3.5,"Excellent", I643&gt;3,"Good",I643&gt;2,"Average",I643&lt;2,"Poor")</f>
        <v>Average</v>
      </c>
      <c r="S643" t="b">
        <f t="shared" ref="S643:S706" si="42">IF(H643&gt;0.5*G643,TRUE, " " )</f>
        <v>1</v>
      </c>
      <c r="U643">
        <f t="shared" ref="U643:U706" si="43">YEAR(E643)</f>
        <v>2022</v>
      </c>
      <c r="AA643">
        <f t="shared" ref="AA643:AA706" ca="1" si="44">IF(F643="Completed",TODAY()-E643,"")</f>
        <v>1017</v>
      </c>
    </row>
    <row r="644" spans="1:27" x14ac:dyDescent="0.3">
      <c r="A644" t="s">
        <v>1309</v>
      </c>
      <c r="B644" t="s">
        <v>1310</v>
      </c>
      <c r="C644" t="s">
        <v>36</v>
      </c>
      <c r="D644" t="s">
        <v>62</v>
      </c>
      <c r="E644" s="1">
        <v>44904</v>
      </c>
      <c r="F644" t="s">
        <v>14</v>
      </c>
      <c r="G644">
        <v>13302</v>
      </c>
      <c r="H644">
        <v>9211</v>
      </c>
      <c r="I644">
        <v>2.5</v>
      </c>
      <c r="J644">
        <v>98</v>
      </c>
      <c r="P644">
        <f t="shared" ca="1" si="41"/>
        <v>948</v>
      </c>
      <c r="Q644" t="str" cm="1">
        <f t="array" ref="Q644">_xlfn.IFS(I644&gt;=3.5,"Excellent", I644&gt;3,"Good",I644&gt;2,"Average",I644&lt;2,"Poor")</f>
        <v>Average</v>
      </c>
      <c r="S644" t="b">
        <f t="shared" si="42"/>
        <v>1</v>
      </c>
      <c r="U644">
        <f t="shared" si="43"/>
        <v>2022</v>
      </c>
      <c r="AA644" t="str">
        <f t="shared" ca="1" si="44"/>
        <v/>
      </c>
    </row>
    <row r="645" spans="1:27" x14ac:dyDescent="0.3">
      <c r="A645" t="s">
        <v>1311</v>
      </c>
      <c r="B645" t="s">
        <v>1312</v>
      </c>
      <c r="C645" t="s">
        <v>54</v>
      </c>
      <c r="D645" t="s">
        <v>13</v>
      </c>
      <c r="E645" s="1">
        <v>45435</v>
      </c>
      <c r="F645" t="s">
        <v>14</v>
      </c>
      <c r="G645">
        <v>9424</v>
      </c>
      <c r="H645">
        <v>2947</v>
      </c>
      <c r="I645">
        <v>2.5</v>
      </c>
      <c r="J645">
        <v>86</v>
      </c>
      <c r="P645">
        <f t="shared" ca="1" si="41"/>
        <v>417</v>
      </c>
      <c r="Q645" t="str" cm="1">
        <f t="array" ref="Q645">_xlfn.IFS(I645&gt;=3.5,"Excellent", I645&gt;3,"Good",I645&gt;2,"Average",I645&lt;2,"Poor")</f>
        <v>Average</v>
      </c>
      <c r="S645" t="str">
        <f t="shared" si="42"/>
        <v xml:space="preserve"> </v>
      </c>
      <c r="U645">
        <f t="shared" si="43"/>
        <v>2024</v>
      </c>
      <c r="AA645" t="str">
        <f t="shared" ca="1" si="44"/>
        <v/>
      </c>
    </row>
    <row r="646" spans="1:27" x14ac:dyDescent="0.3">
      <c r="A646" t="s">
        <v>1313</v>
      </c>
      <c r="B646" t="s">
        <v>1314</v>
      </c>
      <c r="C646" t="s">
        <v>12</v>
      </c>
      <c r="D646" t="s">
        <v>31</v>
      </c>
      <c r="E646" s="1">
        <v>44992</v>
      </c>
      <c r="F646" t="s">
        <v>14</v>
      </c>
      <c r="G646">
        <v>13660</v>
      </c>
      <c r="H646">
        <v>1268</v>
      </c>
      <c r="I646">
        <v>3.06</v>
      </c>
      <c r="J646">
        <v>98</v>
      </c>
      <c r="P646">
        <f t="shared" ca="1" si="41"/>
        <v>860</v>
      </c>
      <c r="Q646" t="str" cm="1">
        <f t="array" ref="Q646">_xlfn.IFS(I646&gt;=3.5,"Excellent", I646&gt;3,"Good",I646&gt;2,"Average",I646&lt;2,"Poor")</f>
        <v>Good</v>
      </c>
      <c r="S646" t="str">
        <f t="shared" si="42"/>
        <v xml:space="preserve"> </v>
      </c>
      <c r="U646">
        <f t="shared" si="43"/>
        <v>2023</v>
      </c>
      <c r="AA646" t="str">
        <f t="shared" ca="1" si="44"/>
        <v/>
      </c>
    </row>
    <row r="647" spans="1:27" x14ac:dyDescent="0.3">
      <c r="A647" t="s">
        <v>1315</v>
      </c>
      <c r="B647" t="s">
        <v>1316</v>
      </c>
      <c r="C647" t="s">
        <v>17</v>
      </c>
      <c r="D647" t="s">
        <v>18</v>
      </c>
      <c r="E647" s="1">
        <v>45038</v>
      </c>
      <c r="F647" t="s">
        <v>14</v>
      </c>
      <c r="G647">
        <v>2789</v>
      </c>
      <c r="H647">
        <v>469</v>
      </c>
      <c r="I647">
        <v>3.93</v>
      </c>
      <c r="J647">
        <v>22</v>
      </c>
      <c r="P647">
        <f t="shared" ca="1" si="41"/>
        <v>814</v>
      </c>
      <c r="Q647" t="str" cm="1">
        <f t="array" ref="Q647">_xlfn.IFS(I647&gt;=3.5,"Excellent", I647&gt;3,"Good",I647&gt;2,"Average",I647&lt;2,"Poor")</f>
        <v>Excellent</v>
      </c>
      <c r="S647" t="str">
        <f t="shared" si="42"/>
        <v xml:space="preserve"> </v>
      </c>
      <c r="U647">
        <f t="shared" si="43"/>
        <v>2023</v>
      </c>
      <c r="AA647" t="str">
        <f t="shared" ca="1" si="44"/>
        <v/>
      </c>
    </row>
    <row r="648" spans="1:27" x14ac:dyDescent="0.3">
      <c r="A648" t="s">
        <v>1317</v>
      </c>
      <c r="B648" t="s">
        <v>1318</v>
      </c>
      <c r="C648" t="s">
        <v>54</v>
      </c>
      <c r="D648" t="s">
        <v>62</v>
      </c>
      <c r="E648" s="1">
        <v>44718</v>
      </c>
      <c r="F648" t="s">
        <v>19</v>
      </c>
      <c r="G648">
        <v>14573</v>
      </c>
      <c r="H648">
        <v>2083</v>
      </c>
      <c r="I648">
        <v>2.67</v>
      </c>
      <c r="J648">
        <v>115</v>
      </c>
      <c r="P648" t="str">
        <f t="shared" ca="1" si="41"/>
        <v xml:space="preserve"> </v>
      </c>
      <c r="Q648" t="str" cm="1">
        <f t="array" ref="Q648">_xlfn.IFS(I648&gt;=3.5,"Excellent", I648&gt;3,"Good",I648&gt;2,"Average",I648&lt;2,"Poor")</f>
        <v>Average</v>
      </c>
      <c r="S648" t="str">
        <f t="shared" si="42"/>
        <v xml:space="preserve"> </v>
      </c>
      <c r="U648">
        <f t="shared" si="43"/>
        <v>2022</v>
      </c>
      <c r="AA648">
        <f t="shared" ca="1" si="44"/>
        <v>1134</v>
      </c>
    </row>
    <row r="649" spans="1:27" x14ac:dyDescent="0.3">
      <c r="A649" t="s">
        <v>1319</v>
      </c>
      <c r="B649" t="s">
        <v>1320</v>
      </c>
      <c r="C649" t="s">
        <v>22</v>
      </c>
      <c r="D649" t="s">
        <v>31</v>
      </c>
      <c r="E649" s="1">
        <v>44625</v>
      </c>
      <c r="F649" t="s">
        <v>14</v>
      </c>
      <c r="G649">
        <v>4580</v>
      </c>
      <c r="H649">
        <v>2043</v>
      </c>
      <c r="I649">
        <v>2.02</v>
      </c>
      <c r="J649">
        <v>100</v>
      </c>
      <c r="P649">
        <f t="shared" ca="1" si="41"/>
        <v>1227</v>
      </c>
      <c r="Q649" t="str" cm="1">
        <f t="array" ref="Q649">_xlfn.IFS(I649&gt;=3.5,"Excellent", I649&gt;3,"Good",I649&gt;2,"Average",I649&lt;2,"Poor")</f>
        <v>Average</v>
      </c>
      <c r="S649" t="str">
        <f t="shared" si="42"/>
        <v xml:space="preserve"> </v>
      </c>
      <c r="U649">
        <f t="shared" si="43"/>
        <v>2022</v>
      </c>
      <c r="AA649" t="str">
        <f t="shared" ca="1" si="44"/>
        <v/>
      </c>
    </row>
    <row r="650" spans="1:27" x14ac:dyDescent="0.3">
      <c r="A650" t="s">
        <v>1321</v>
      </c>
      <c r="B650" t="s">
        <v>1322</v>
      </c>
      <c r="C650" t="s">
        <v>54</v>
      </c>
      <c r="D650" t="s">
        <v>13</v>
      </c>
      <c r="E650" s="1">
        <v>44740</v>
      </c>
      <c r="F650" t="s">
        <v>14</v>
      </c>
      <c r="G650">
        <v>8254</v>
      </c>
      <c r="H650">
        <v>4272</v>
      </c>
      <c r="I650">
        <v>2.2599999999999998</v>
      </c>
      <c r="J650">
        <v>5</v>
      </c>
      <c r="P650">
        <f t="shared" ca="1" si="41"/>
        <v>1112</v>
      </c>
      <c r="Q650" t="str" cm="1">
        <f t="array" ref="Q650">_xlfn.IFS(I650&gt;=3.5,"Excellent", I650&gt;3,"Good",I650&gt;2,"Average",I650&lt;2,"Poor")</f>
        <v>Average</v>
      </c>
      <c r="S650" t="b">
        <f t="shared" si="42"/>
        <v>1</v>
      </c>
      <c r="U650">
        <f t="shared" si="43"/>
        <v>2022</v>
      </c>
      <c r="AA650" t="str">
        <f t="shared" ca="1" si="44"/>
        <v/>
      </c>
    </row>
    <row r="651" spans="1:27" x14ac:dyDescent="0.3">
      <c r="A651" t="s">
        <v>1323</v>
      </c>
      <c r="B651" t="s">
        <v>1324</v>
      </c>
      <c r="C651" t="s">
        <v>28</v>
      </c>
      <c r="D651" t="s">
        <v>18</v>
      </c>
      <c r="E651" s="1">
        <v>44938</v>
      </c>
      <c r="F651" t="s">
        <v>39</v>
      </c>
      <c r="G651">
        <v>5234</v>
      </c>
      <c r="H651">
        <v>134</v>
      </c>
      <c r="I651">
        <v>3.59</v>
      </c>
      <c r="J651">
        <v>100</v>
      </c>
      <c r="P651" t="str">
        <f t="shared" ca="1" si="41"/>
        <v xml:space="preserve"> </v>
      </c>
      <c r="Q651" t="str" cm="1">
        <f t="array" ref="Q651">_xlfn.IFS(I651&gt;=3.5,"Excellent", I651&gt;3,"Good",I651&gt;2,"Average",I651&lt;2,"Poor")</f>
        <v>Excellent</v>
      </c>
      <c r="S651" t="str">
        <f t="shared" si="42"/>
        <v xml:space="preserve"> </v>
      </c>
      <c r="U651">
        <f t="shared" si="43"/>
        <v>2023</v>
      </c>
      <c r="AA651" t="str">
        <f t="shared" ca="1" si="44"/>
        <v/>
      </c>
    </row>
    <row r="652" spans="1:27" x14ac:dyDescent="0.3">
      <c r="A652" t="s">
        <v>1325</v>
      </c>
      <c r="B652" t="s">
        <v>1326</v>
      </c>
      <c r="C652" t="s">
        <v>25</v>
      </c>
      <c r="D652" t="s">
        <v>31</v>
      </c>
      <c r="E652" s="1">
        <v>44916</v>
      </c>
      <c r="F652" t="s">
        <v>14</v>
      </c>
      <c r="G652">
        <v>5237</v>
      </c>
      <c r="H652">
        <v>5339</v>
      </c>
      <c r="I652">
        <v>3.07</v>
      </c>
      <c r="J652">
        <v>65</v>
      </c>
      <c r="P652">
        <f t="shared" ca="1" si="41"/>
        <v>936</v>
      </c>
      <c r="Q652" t="str" cm="1">
        <f t="array" ref="Q652">_xlfn.IFS(I652&gt;=3.5,"Excellent", I652&gt;3,"Good",I652&gt;2,"Average",I652&lt;2,"Poor")</f>
        <v>Good</v>
      </c>
      <c r="S652" t="b">
        <f t="shared" si="42"/>
        <v>1</v>
      </c>
      <c r="U652">
        <f t="shared" si="43"/>
        <v>2022</v>
      </c>
      <c r="AA652" t="str">
        <f t="shared" ca="1" si="44"/>
        <v/>
      </c>
    </row>
    <row r="653" spans="1:27" x14ac:dyDescent="0.3">
      <c r="A653" t="s">
        <v>1327</v>
      </c>
      <c r="B653" t="s">
        <v>1328</v>
      </c>
      <c r="C653" t="s">
        <v>54</v>
      </c>
      <c r="D653" t="s">
        <v>62</v>
      </c>
      <c r="E653" s="1">
        <v>44818</v>
      </c>
      <c r="F653" t="s">
        <v>19</v>
      </c>
      <c r="G653">
        <v>6803</v>
      </c>
      <c r="H653">
        <v>5852</v>
      </c>
      <c r="I653">
        <v>2.89</v>
      </c>
      <c r="J653">
        <v>35</v>
      </c>
      <c r="P653" t="str">
        <f t="shared" ca="1" si="41"/>
        <v xml:space="preserve"> </v>
      </c>
      <c r="Q653" t="str" cm="1">
        <f t="array" ref="Q653">_xlfn.IFS(I653&gt;=3.5,"Excellent", I653&gt;3,"Good",I653&gt;2,"Average",I653&lt;2,"Poor")</f>
        <v>Average</v>
      </c>
      <c r="S653" t="b">
        <f t="shared" si="42"/>
        <v>1</v>
      </c>
      <c r="U653">
        <f t="shared" si="43"/>
        <v>2022</v>
      </c>
      <c r="AA653">
        <f t="shared" ca="1" si="44"/>
        <v>1034</v>
      </c>
    </row>
    <row r="654" spans="1:27" x14ac:dyDescent="0.3">
      <c r="A654" t="s">
        <v>1329</v>
      </c>
      <c r="B654" t="s">
        <v>1330</v>
      </c>
      <c r="C654" t="s">
        <v>17</v>
      </c>
      <c r="D654" t="s">
        <v>18</v>
      </c>
      <c r="E654" s="1">
        <v>44563</v>
      </c>
      <c r="F654" t="s">
        <v>14</v>
      </c>
      <c r="G654">
        <v>3355</v>
      </c>
      <c r="H654">
        <v>1493</v>
      </c>
      <c r="I654">
        <v>3.49</v>
      </c>
      <c r="J654">
        <v>102</v>
      </c>
      <c r="P654">
        <f t="shared" ca="1" si="41"/>
        <v>1289</v>
      </c>
      <c r="Q654" t="str" cm="1">
        <f t="array" ref="Q654">_xlfn.IFS(I654&gt;=3.5,"Excellent", I654&gt;3,"Good",I654&gt;2,"Average",I654&lt;2,"Poor")</f>
        <v>Good</v>
      </c>
      <c r="S654" t="str">
        <f t="shared" si="42"/>
        <v xml:space="preserve"> </v>
      </c>
      <c r="U654">
        <f t="shared" si="43"/>
        <v>2022</v>
      </c>
      <c r="AA654" t="str">
        <f t="shared" ca="1" si="44"/>
        <v/>
      </c>
    </row>
    <row r="655" spans="1:27" x14ac:dyDescent="0.3">
      <c r="A655" t="s">
        <v>1331</v>
      </c>
      <c r="B655" t="s">
        <v>1332</v>
      </c>
      <c r="C655" t="s">
        <v>54</v>
      </c>
      <c r="D655" t="s">
        <v>18</v>
      </c>
      <c r="E655" s="1">
        <v>44923</v>
      </c>
      <c r="F655" t="s">
        <v>19</v>
      </c>
      <c r="G655">
        <v>13586</v>
      </c>
      <c r="H655">
        <v>6814</v>
      </c>
      <c r="I655">
        <v>2.67</v>
      </c>
      <c r="J655">
        <v>118</v>
      </c>
      <c r="P655" t="str">
        <f t="shared" ca="1" si="41"/>
        <v xml:space="preserve"> </v>
      </c>
      <c r="Q655" t="str" cm="1">
        <f t="array" ref="Q655">_xlfn.IFS(I655&gt;=3.5,"Excellent", I655&gt;3,"Good",I655&gt;2,"Average",I655&lt;2,"Poor")</f>
        <v>Average</v>
      </c>
      <c r="S655" t="b">
        <f t="shared" si="42"/>
        <v>1</v>
      </c>
      <c r="U655">
        <f t="shared" si="43"/>
        <v>2022</v>
      </c>
      <c r="AA655">
        <f t="shared" ca="1" si="44"/>
        <v>929</v>
      </c>
    </row>
    <row r="656" spans="1:27" x14ac:dyDescent="0.3">
      <c r="A656" t="s">
        <v>1333</v>
      </c>
      <c r="B656" t="s">
        <v>1334</v>
      </c>
      <c r="C656" t="s">
        <v>57</v>
      </c>
      <c r="D656" t="s">
        <v>31</v>
      </c>
      <c r="E656" s="1">
        <v>45134</v>
      </c>
      <c r="F656" t="s">
        <v>14</v>
      </c>
      <c r="G656">
        <v>7191</v>
      </c>
      <c r="H656">
        <v>5791</v>
      </c>
      <c r="I656">
        <v>2.06</v>
      </c>
      <c r="J656">
        <v>10</v>
      </c>
      <c r="P656">
        <f t="shared" ca="1" si="41"/>
        <v>718</v>
      </c>
      <c r="Q656" t="str" cm="1">
        <f t="array" ref="Q656">_xlfn.IFS(I656&gt;=3.5,"Excellent", I656&gt;3,"Good",I656&gt;2,"Average",I656&lt;2,"Poor")</f>
        <v>Average</v>
      </c>
      <c r="S656" t="b">
        <f t="shared" si="42"/>
        <v>1</v>
      </c>
      <c r="U656">
        <f t="shared" si="43"/>
        <v>2023</v>
      </c>
      <c r="AA656" t="str">
        <f t="shared" ca="1" si="44"/>
        <v/>
      </c>
    </row>
    <row r="657" spans="1:27" x14ac:dyDescent="0.3">
      <c r="A657" t="s">
        <v>1335</v>
      </c>
      <c r="B657" t="s">
        <v>1336</v>
      </c>
      <c r="C657" t="s">
        <v>36</v>
      </c>
      <c r="D657" t="s">
        <v>62</v>
      </c>
      <c r="E657" s="1">
        <v>44936</v>
      </c>
      <c r="F657" t="s">
        <v>19</v>
      </c>
      <c r="G657">
        <v>2088</v>
      </c>
      <c r="H657">
        <v>9067</v>
      </c>
      <c r="I657">
        <v>2.82</v>
      </c>
      <c r="J657">
        <v>48</v>
      </c>
      <c r="P657" t="str">
        <f t="shared" ca="1" si="41"/>
        <v xml:space="preserve"> </v>
      </c>
      <c r="Q657" t="str" cm="1">
        <f t="array" ref="Q657">_xlfn.IFS(I657&gt;=3.5,"Excellent", I657&gt;3,"Good",I657&gt;2,"Average",I657&lt;2,"Poor")</f>
        <v>Average</v>
      </c>
      <c r="S657" t="b">
        <f t="shared" si="42"/>
        <v>1</v>
      </c>
      <c r="U657">
        <f t="shared" si="43"/>
        <v>2023</v>
      </c>
      <c r="AA657">
        <f t="shared" ca="1" si="44"/>
        <v>916</v>
      </c>
    </row>
    <row r="658" spans="1:27" x14ac:dyDescent="0.3">
      <c r="A658" t="s">
        <v>1337</v>
      </c>
      <c r="B658" t="s">
        <v>1338</v>
      </c>
      <c r="C658" t="s">
        <v>17</v>
      </c>
      <c r="D658" t="s">
        <v>31</v>
      </c>
      <c r="E658" s="1">
        <v>45431</v>
      </c>
      <c r="F658" t="s">
        <v>14</v>
      </c>
      <c r="G658">
        <v>8068</v>
      </c>
      <c r="H658">
        <v>5741</v>
      </c>
      <c r="I658">
        <v>3.01</v>
      </c>
      <c r="J658">
        <v>13</v>
      </c>
      <c r="P658">
        <f t="shared" ca="1" si="41"/>
        <v>421</v>
      </c>
      <c r="Q658" t="str" cm="1">
        <f t="array" ref="Q658">_xlfn.IFS(I658&gt;=3.5,"Excellent", I658&gt;3,"Good",I658&gt;2,"Average",I658&lt;2,"Poor")</f>
        <v>Good</v>
      </c>
      <c r="S658" t="b">
        <f t="shared" si="42"/>
        <v>1</v>
      </c>
      <c r="U658">
        <f t="shared" si="43"/>
        <v>2024</v>
      </c>
      <c r="AA658" t="str">
        <f t="shared" ca="1" si="44"/>
        <v/>
      </c>
    </row>
    <row r="659" spans="1:27" x14ac:dyDescent="0.3">
      <c r="A659" t="s">
        <v>1339</v>
      </c>
      <c r="B659" t="s">
        <v>1340</v>
      </c>
      <c r="C659" t="s">
        <v>17</v>
      </c>
      <c r="D659" t="s">
        <v>13</v>
      </c>
      <c r="E659" s="1">
        <v>45205</v>
      </c>
      <c r="F659" t="s">
        <v>14</v>
      </c>
      <c r="G659">
        <v>9351</v>
      </c>
      <c r="H659">
        <v>3044</v>
      </c>
      <c r="I659">
        <v>2.15</v>
      </c>
      <c r="J659">
        <v>0</v>
      </c>
      <c r="P659">
        <f t="shared" ca="1" si="41"/>
        <v>647</v>
      </c>
      <c r="Q659" t="str" cm="1">
        <f t="array" ref="Q659">_xlfn.IFS(I659&gt;=3.5,"Excellent", I659&gt;3,"Good",I659&gt;2,"Average",I659&lt;2,"Poor")</f>
        <v>Average</v>
      </c>
      <c r="S659" t="str">
        <f t="shared" si="42"/>
        <v xml:space="preserve"> </v>
      </c>
      <c r="U659">
        <f t="shared" si="43"/>
        <v>2023</v>
      </c>
      <c r="AA659" t="str">
        <f t="shared" ca="1" si="44"/>
        <v/>
      </c>
    </row>
    <row r="660" spans="1:27" x14ac:dyDescent="0.3">
      <c r="A660" t="s">
        <v>1341</v>
      </c>
      <c r="B660" t="s">
        <v>1342</v>
      </c>
      <c r="C660" t="s">
        <v>17</v>
      </c>
      <c r="D660" t="s">
        <v>18</v>
      </c>
      <c r="E660" s="1">
        <v>44607</v>
      </c>
      <c r="F660" t="s">
        <v>14</v>
      </c>
      <c r="G660">
        <v>13082</v>
      </c>
      <c r="H660">
        <v>4263</v>
      </c>
      <c r="I660">
        <v>2.12</v>
      </c>
      <c r="J660">
        <v>80</v>
      </c>
      <c r="P660">
        <f t="shared" ca="1" si="41"/>
        <v>1245</v>
      </c>
      <c r="Q660" t="str" cm="1">
        <f t="array" ref="Q660">_xlfn.IFS(I660&gt;=3.5,"Excellent", I660&gt;3,"Good",I660&gt;2,"Average",I660&lt;2,"Poor")</f>
        <v>Average</v>
      </c>
      <c r="S660" t="str">
        <f t="shared" si="42"/>
        <v xml:space="preserve"> </v>
      </c>
      <c r="U660">
        <f t="shared" si="43"/>
        <v>2022</v>
      </c>
      <c r="AA660" t="str">
        <f t="shared" ca="1" si="44"/>
        <v/>
      </c>
    </row>
    <row r="661" spans="1:27" x14ac:dyDescent="0.3">
      <c r="A661" t="s">
        <v>1343</v>
      </c>
      <c r="B661" t="s">
        <v>1344</v>
      </c>
      <c r="C661" t="s">
        <v>57</v>
      </c>
      <c r="D661" t="s">
        <v>62</v>
      </c>
      <c r="E661" s="1">
        <v>44650</v>
      </c>
      <c r="F661" t="s">
        <v>39</v>
      </c>
      <c r="G661">
        <v>7721</v>
      </c>
      <c r="H661">
        <v>5545</v>
      </c>
      <c r="I661">
        <v>2.89</v>
      </c>
      <c r="J661">
        <v>18</v>
      </c>
      <c r="P661" t="str">
        <f t="shared" ca="1" si="41"/>
        <v xml:space="preserve"> </v>
      </c>
      <c r="Q661" t="str" cm="1">
        <f t="array" ref="Q661">_xlfn.IFS(I661&gt;=3.5,"Excellent", I661&gt;3,"Good",I661&gt;2,"Average",I661&lt;2,"Poor")</f>
        <v>Average</v>
      </c>
      <c r="S661" t="b">
        <f t="shared" si="42"/>
        <v>1</v>
      </c>
      <c r="U661">
        <f t="shared" si="43"/>
        <v>2022</v>
      </c>
      <c r="AA661" t="str">
        <f t="shared" ca="1" si="44"/>
        <v/>
      </c>
    </row>
    <row r="662" spans="1:27" x14ac:dyDescent="0.3">
      <c r="A662" t="s">
        <v>1345</v>
      </c>
      <c r="B662" t="s">
        <v>1346</v>
      </c>
      <c r="C662" t="s">
        <v>57</v>
      </c>
      <c r="D662" t="s">
        <v>62</v>
      </c>
      <c r="E662" s="1">
        <v>45073</v>
      </c>
      <c r="F662" t="s">
        <v>19</v>
      </c>
      <c r="G662">
        <v>10644</v>
      </c>
      <c r="H662">
        <v>3148</v>
      </c>
      <c r="I662">
        <v>3.04</v>
      </c>
      <c r="J662">
        <v>34</v>
      </c>
      <c r="P662" t="str">
        <f t="shared" ca="1" si="41"/>
        <v xml:space="preserve"> </v>
      </c>
      <c r="Q662" t="str" cm="1">
        <f t="array" ref="Q662">_xlfn.IFS(I662&gt;=3.5,"Excellent", I662&gt;3,"Good",I662&gt;2,"Average",I662&lt;2,"Poor")</f>
        <v>Good</v>
      </c>
      <c r="S662" t="str">
        <f t="shared" si="42"/>
        <v xml:space="preserve"> </v>
      </c>
      <c r="U662">
        <f t="shared" si="43"/>
        <v>2023</v>
      </c>
      <c r="AA662">
        <f t="shared" ca="1" si="44"/>
        <v>779</v>
      </c>
    </row>
    <row r="663" spans="1:27" x14ac:dyDescent="0.3">
      <c r="A663" t="s">
        <v>1347</v>
      </c>
      <c r="B663" t="s">
        <v>1348</v>
      </c>
      <c r="C663" t="s">
        <v>22</v>
      </c>
      <c r="D663" t="s">
        <v>18</v>
      </c>
      <c r="E663" s="1">
        <v>45199</v>
      </c>
      <c r="F663" t="s">
        <v>14</v>
      </c>
      <c r="G663">
        <v>10752</v>
      </c>
      <c r="H663">
        <v>6829</v>
      </c>
      <c r="I663">
        <v>2.9</v>
      </c>
      <c r="J663">
        <v>67</v>
      </c>
      <c r="P663">
        <f t="shared" ca="1" si="41"/>
        <v>653</v>
      </c>
      <c r="Q663" t="str" cm="1">
        <f t="array" ref="Q663">_xlfn.IFS(I663&gt;=3.5,"Excellent", I663&gt;3,"Good",I663&gt;2,"Average",I663&lt;2,"Poor")</f>
        <v>Average</v>
      </c>
      <c r="S663" t="b">
        <f t="shared" si="42"/>
        <v>1</v>
      </c>
      <c r="U663">
        <f t="shared" si="43"/>
        <v>2023</v>
      </c>
      <c r="AA663" t="str">
        <f t="shared" ca="1" si="44"/>
        <v/>
      </c>
    </row>
    <row r="664" spans="1:27" x14ac:dyDescent="0.3">
      <c r="A664" t="s">
        <v>1349</v>
      </c>
      <c r="B664" t="s">
        <v>1350</v>
      </c>
      <c r="C664" t="s">
        <v>17</v>
      </c>
      <c r="D664" t="s">
        <v>13</v>
      </c>
      <c r="E664" s="1">
        <v>45190</v>
      </c>
      <c r="F664" t="s">
        <v>19</v>
      </c>
      <c r="G664">
        <v>3252</v>
      </c>
      <c r="H664">
        <v>5292</v>
      </c>
      <c r="I664">
        <v>2.66</v>
      </c>
      <c r="J664">
        <v>80</v>
      </c>
      <c r="P664" t="str">
        <f t="shared" ca="1" si="41"/>
        <v xml:space="preserve"> </v>
      </c>
      <c r="Q664" t="str" cm="1">
        <f t="array" ref="Q664">_xlfn.IFS(I664&gt;=3.5,"Excellent", I664&gt;3,"Good",I664&gt;2,"Average",I664&lt;2,"Poor")</f>
        <v>Average</v>
      </c>
      <c r="S664" t="b">
        <f t="shared" si="42"/>
        <v>1</v>
      </c>
      <c r="U664">
        <f t="shared" si="43"/>
        <v>2023</v>
      </c>
      <c r="AA664">
        <f t="shared" ca="1" si="44"/>
        <v>662</v>
      </c>
    </row>
    <row r="665" spans="1:27" x14ac:dyDescent="0.3">
      <c r="A665" t="s">
        <v>1351</v>
      </c>
      <c r="B665" t="s">
        <v>1352</v>
      </c>
      <c r="C665" t="s">
        <v>17</v>
      </c>
      <c r="D665" t="s">
        <v>62</v>
      </c>
      <c r="E665" s="1">
        <v>44712</v>
      </c>
      <c r="F665" t="s">
        <v>14</v>
      </c>
      <c r="G665">
        <v>11497</v>
      </c>
      <c r="H665">
        <v>273</v>
      </c>
      <c r="I665">
        <v>2.9</v>
      </c>
      <c r="J665">
        <v>47</v>
      </c>
      <c r="P665">
        <f t="shared" ca="1" si="41"/>
        <v>1140</v>
      </c>
      <c r="Q665" t="str" cm="1">
        <f t="array" ref="Q665">_xlfn.IFS(I665&gt;=3.5,"Excellent", I665&gt;3,"Good",I665&gt;2,"Average",I665&lt;2,"Poor")</f>
        <v>Average</v>
      </c>
      <c r="S665" t="str">
        <f t="shared" si="42"/>
        <v xml:space="preserve"> </v>
      </c>
      <c r="U665">
        <f t="shared" si="43"/>
        <v>2022</v>
      </c>
      <c r="AA665" t="str">
        <f t="shared" ca="1" si="44"/>
        <v/>
      </c>
    </row>
    <row r="666" spans="1:27" x14ac:dyDescent="0.3">
      <c r="A666" t="s">
        <v>1353</v>
      </c>
      <c r="B666" t="s">
        <v>1354</v>
      </c>
      <c r="C666" t="s">
        <v>57</v>
      </c>
      <c r="D666" t="s">
        <v>13</v>
      </c>
      <c r="E666" s="1">
        <v>45138</v>
      </c>
      <c r="F666" t="s">
        <v>14</v>
      </c>
      <c r="G666">
        <v>7089</v>
      </c>
      <c r="H666">
        <v>6857</v>
      </c>
      <c r="I666">
        <v>3.75</v>
      </c>
      <c r="J666">
        <v>113</v>
      </c>
      <c r="P666">
        <f t="shared" ca="1" si="41"/>
        <v>714</v>
      </c>
      <c r="Q666" t="str" cm="1">
        <f t="array" ref="Q666">_xlfn.IFS(I666&gt;=3.5,"Excellent", I666&gt;3,"Good",I666&gt;2,"Average",I666&lt;2,"Poor")</f>
        <v>Excellent</v>
      </c>
      <c r="S666" t="b">
        <f t="shared" si="42"/>
        <v>1</v>
      </c>
      <c r="U666">
        <f t="shared" si="43"/>
        <v>2023</v>
      </c>
      <c r="AA666" t="str">
        <f t="shared" ca="1" si="44"/>
        <v/>
      </c>
    </row>
    <row r="667" spans="1:27" x14ac:dyDescent="0.3">
      <c r="A667" t="s">
        <v>1355</v>
      </c>
      <c r="B667" t="s">
        <v>1356</v>
      </c>
      <c r="C667" t="s">
        <v>17</v>
      </c>
      <c r="D667" t="s">
        <v>18</v>
      </c>
      <c r="E667" s="1">
        <v>44959</v>
      </c>
      <c r="F667" t="s">
        <v>19</v>
      </c>
      <c r="G667">
        <v>5893</v>
      </c>
      <c r="H667">
        <v>55</v>
      </c>
      <c r="I667">
        <v>3.15</v>
      </c>
      <c r="J667">
        <v>8</v>
      </c>
      <c r="P667" t="str">
        <f t="shared" ca="1" si="41"/>
        <v xml:space="preserve"> </v>
      </c>
      <c r="Q667" t="str" cm="1">
        <f t="array" ref="Q667">_xlfn.IFS(I667&gt;=3.5,"Excellent", I667&gt;3,"Good",I667&gt;2,"Average",I667&lt;2,"Poor")</f>
        <v>Good</v>
      </c>
      <c r="S667" t="str">
        <f t="shared" si="42"/>
        <v xml:space="preserve"> </v>
      </c>
      <c r="U667">
        <f t="shared" si="43"/>
        <v>2023</v>
      </c>
      <c r="AA667">
        <f t="shared" ca="1" si="44"/>
        <v>893</v>
      </c>
    </row>
    <row r="668" spans="1:27" x14ac:dyDescent="0.3">
      <c r="A668" t="s">
        <v>1357</v>
      </c>
      <c r="B668" t="s">
        <v>1358</v>
      </c>
      <c r="C668" t="s">
        <v>28</v>
      </c>
      <c r="D668" t="s">
        <v>13</v>
      </c>
      <c r="E668" s="1">
        <v>44753</v>
      </c>
      <c r="F668" t="s">
        <v>14</v>
      </c>
      <c r="G668">
        <v>4330</v>
      </c>
      <c r="H668">
        <v>6146</v>
      </c>
      <c r="I668">
        <v>3.95</v>
      </c>
      <c r="J668">
        <v>81</v>
      </c>
      <c r="P668">
        <f t="shared" ca="1" si="41"/>
        <v>1099</v>
      </c>
      <c r="Q668" t="str" cm="1">
        <f t="array" ref="Q668">_xlfn.IFS(I668&gt;=3.5,"Excellent", I668&gt;3,"Good",I668&gt;2,"Average",I668&lt;2,"Poor")</f>
        <v>Excellent</v>
      </c>
      <c r="S668" t="b">
        <f t="shared" si="42"/>
        <v>1</v>
      </c>
      <c r="U668">
        <f t="shared" si="43"/>
        <v>2022</v>
      </c>
      <c r="AA668" t="str">
        <f t="shared" ca="1" si="44"/>
        <v/>
      </c>
    </row>
    <row r="669" spans="1:27" x14ac:dyDescent="0.3">
      <c r="A669" t="s">
        <v>1359</v>
      </c>
      <c r="B669" t="s">
        <v>1360</v>
      </c>
      <c r="C669" t="s">
        <v>25</v>
      </c>
      <c r="D669" t="s">
        <v>31</v>
      </c>
      <c r="E669" s="1">
        <v>45195</v>
      </c>
      <c r="F669" t="s">
        <v>14</v>
      </c>
      <c r="G669">
        <v>3810</v>
      </c>
      <c r="H669">
        <v>5081</v>
      </c>
      <c r="I669">
        <v>3.16</v>
      </c>
      <c r="J669">
        <v>66</v>
      </c>
      <c r="P669">
        <f t="shared" ca="1" si="41"/>
        <v>657</v>
      </c>
      <c r="Q669" t="str" cm="1">
        <f t="array" ref="Q669">_xlfn.IFS(I669&gt;=3.5,"Excellent", I669&gt;3,"Good",I669&gt;2,"Average",I669&lt;2,"Poor")</f>
        <v>Good</v>
      </c>
      <c r="S669" t="b">
        <f t="shared" si="42"/>
        <v>1</v>
      </c>
      <c r="U669">
        <f t="shared" si="43"/>
        <v>2023</v>
      </c>
      <c r="AA669" t="str">
        <f t="shared" ca="1" si="44"/>
        <v/>
      </c>
    </row>
    <row r="670" spans="1:27" x14ac:dyDescent="0.3">
      <c r="A670" t="s">
        <v>1361</v>
      </c>
      <c r="B670" t="s">
        <v>1362</v>
      </c>
      <c r="C670" t="s">
        <v>25</v>
      </c>
      <c r="D670" t="s">
        <v>18</v>
      </c>
      <c r="E670" s="1">
        <v>44856</v>
      </c>
      <c r="F670" t="s">
        <v>19</v>
      </c>
      <c r="G670">
        <v>3315</v>
      </c>
      <c r="H670">
        <v>3738</v>
      </c>
      <c r="I670">
        <v>3.26</v>
      </c>
      <c r="J670">
        <v>117</v>
      </c>
      <c r="P670" t="str">
        <f t="shared" ca="1" si="41"/>
        <v xml:space="preserve"> </v>
      </c>
      <c r="Q670" t="str" cm="1">
        <f t="array" ref="Q670">_xlfn.IFS(I670&gt;=3.5,"Excellent", I670&gt;3,"Good",I670&gt;2,"Average",I670&lt;2,"Poor")</f>
        <v>Good</v>
      </c>
      <c r="S670" t="b">
        <f t="shared" si="42"/>
        <v>1</v>
      </c>
      <c r="U670">
        <f t="shared" si="43"/>
        <v>2022</v>
      </c>
      <c r="AA670">
        <f t="shared" ca="1" si="44"/>
        <v>996</v>
      </c>
    </row>
    <row r="671" spans="1:27" x14ac:dyDescent="0.3">
      <c r="A671" t="s">
        <v>1363</v>
      </c>
      <c r="B671" t="s">
        <v>1364</v>
      </c>
      <c r="C671" t="s">
        <v>12</v>
      </c>
      <c r="D671" t="s">
        <v>31</v>
      </c>
      <c r="E671" s="1">
        <v>44600</v>
      </c>
      <c r="F671" t="s">
        <v>19</v>
      </c>
      <c r="G671">
        <v>9949</v>
      </c>
      <c r="H671">
        <v>1090</v>
      </c>
      <c r="I671">
        <v>3.17</v>
      </c>
      <c r="J671">
        <v>54</v>
      </c>
      <c r="P671" t="str">
        <f t="shared" ca="1" si="41"/>
        <v xml:space="preserve"> </v>
      </c>
      <c r="Q671" t="str" cm="1">
        <f t="array" ref="Q671">_xlfn.IFS(I671&gt;=3.5,"Excellent", I671&gt;3,"Good",I671&gt;2,"Average",I671&lt;2,"Poor")</f>
        <v>Good</v>
      </c>
      <c r="S671" t="str">
        <f t="shared" si="42"/>
        <v xml:space="preserve"> </v>
      </c>
      <c r="U671">
        <f t="shared" si="43"/>
        <v>2022</v>
      </c>
      <c r="AA671">
        <f t="shared" ca="1" si="44"/>
        <v>1252</v>
      </c>
    </row>
    <row r="672" spans="1:27" x14ac:dyDescent="0.3">
      <c r="A672" t="s">
        <v>1365</v>
      </c>
      <c r="B672" t="s">
        <v>1366</v>
      </c>
      <c r="C672" t="s">
        <v>25</v>
      </c>
      <c r="D672" t="s">
        <v>13</v>
      </c>
      <c r="E672" s="1">
        <v>45212</v>
      </c>
      <c r="F672" t="s">
        <v>14</v>
      </c>
      <c r="G672">
        <v>2894</v>
      </c>
      <c r="H672">
        <v>8868</v>
      </c>
      <c r="I672">
        <v>3.96</v>
      </c>
      <c r="J672">
        <v>30</v>
      </c>
      <c r="P672">
        <f t="shared" ca="1" si="41"/>
        <v>640</v>
      </c>
      <c r="Q672" t="str" cm="1">
        <f t="array" ref="Q672">_xlfn.IFS(I672&gt;=3.5,"Excellent", I672&gt;3,"Good",I672&gt;2,"Average",I672&lt;2,"Poor")</f>
        <v>Excellent</v>
      </c>
      <c r="S672" t="b">
        <f t="shared" si="42"/>
        <v>1</v>
      </c>
      <c r="U672">
        <f t="shared" si="43"/>
        <v>2023</v>
      </c>
      <c r="AA672" t="str">
        <f t="shared" ca="1" si="44"/>
        <v/>
      </c>
    </row>
    <row r="673" spans="1:27" x14ac:dyDescent="0.3">
      <c r="A673" t="s">
        <v>1367</v>
      </c>
      <c r="B673" t="s">
        <v>1368</v>
      </c>
      <c r="C673" t="s">
        <v>22</v>
      </c>
      <c r="D673" t="s">
        <v>18</v>
      </c>
      <c r="E673" s="1">
        <v>45071</v>
      </c>
      <c r="F673" t="s">
        <v>39</v>
      </c>
      <c r="G673">
        <v>4013</v>
      </c>
      <c r="H673">
        <v>4029</v>
      </c>
      <c r="I673">
        <v>3.59</v>
      </c>
      <c r="J673">
        <v>6</v>
      </c>
      <c r="P673" t="str">
        <f t="shared" ca="1" si="41"/>
        <v xml:space="preserve"> </v>
      </c>
      <c r="Q673" t="str" cm="1">
        <f t="array" ref="Q673">_xlfn.IFS(I673&gt;=3.5,"Excellent", I673&gt;3,"Good",I673&gt;2,"Average",I673&lt;2,"Poor")</f>
        <v>Excellent</v>
      </c>
      <c r="S673" t="b">
        <f t="shared" si="42"/>
        <v>1</v>
      </c>
      <c r="U673">
        <f t="shared" si="43"/>
        <v>2023</v>
      </c>
      <c r="AA673" t="str">
        <f t="shared" ca="1" si="44"/>
        <v/>
      </c>
    </row>
    <row r="674" spans="1:27" x14ac:dyDescent="0.3">
      <c r="A674" t="s">
        <v>1369</v>
      </c>
      <c r="B674" t="s">
        <v>1370</v>
      </c>
      <c r="C674" t="s">
        <v>22</v>
      </c>
      <c r="D674" t="s">
        <v>31</v>
      </c>
      <c r="E674" s="1">
        <v>44640</v>
      </c>
      <c r="F674" t="s">
        <v>19</v>
      </c>
      <c r="G674">
        <v>5273</v>
      </c>
      <c r="H674">
        <v>9237</v>
      </c>
      <c r="I674">
        <v>2.59</v>
      </c>
      <c r="J674">
        <v>95</v>
      </c>
      <c r="P674" t="str">
        <f t="shared" ca="1" si="41"/>
        <v xml:space="preserve"> </v>
      </c>
      <c r="Q674" t="str" cm="1">
        <f t="array" ref="Q674">_xlfn.IFS(I674&gt;=3.5,"Excellent", I674&gt;3,"Good",I674&gt;2,"Average",I674&lt;2,"Poor")</f>
        <v>Average</v>
      </c>
      <c r="S674" t="b">
        <f t="shared" si="42"/>
        <v>1</v>
      </c>
      <c r="U674">
        <f t="shared" si="43"/>
        <v>2022</v>
      </c>
      <c r="AA674">
        <f t="shared" ca="1" si="44"/>
        <v>1212</v>
      </c>
    </row>
    <row r="675" spans="1:27" x14ac:dyDescent="0.3">
      <c r="A675" t="s">
        <v>1371</v>
      </c>
      <c r="B675" t="s">
        <v>1372</v>
      </c>
      <c r="C675" t="s">
        <v>54</v>
      </c>
      <c r="D675" t="s">
        <v>18</v>
      </c>
      <c r="E675" s="1">
        <v>45190</v>
      </c>
      <c r="F675" t="s">
        <v>14</v>
      </c>
      <c r="G675">
        <v>10298</v>
      </c>
      <c r="H675">
        <v>1382</v>
      </c>
      <c r="I675">
        <v>2.67</v>
      </c>
      <c r="J675">
        <v>88</v>
      </c>
      <c r="P675">
        <f t="shared" ca="1" si="41"/>
        <v>662</v>
      </c>
      <c r="Q675" t="str" cm="1">
        <f t="array" ref="Q675">_xlfn.IFS(I675&gt;=3.5,"Excellent", I675&gt;3,"Good",I675&gt;2,"Average",I675&lt;2,"Poor")</f>
        <v>Average</v>
      </c>
      <c r="S675" t="str">
        <f t="shared" si="42"/>
        <v xml:space="preserve"> </v>
      </c>
      <c r="U675">
        <f t="shared" si="43"/>
        <v>2023</v>
      </c>
      <c r="AA675" t="str">
        <f t="shared" ca="1" si="44"/>
        <v/>
      </c>
    </row>
    <row r="676" spans="1:27" x14ac:dyDescent="0.3">
      <c r="A676" t="s">
        <v>1373</v>
      </c>
      <c r="B676" t="s">
        <v>1374</v>
      </c>
      <c r="C676" t="s">
        <v>36</v>
      </c>
      <c r="D676" t="s">
        <v>13</v>
      </c>
      <c r="E676" s="1">
        <v>44599</v>
      </c>
      <c r="F676" t="s">
        <v>14</v>
      </c>
      <c r="G676">
        <v>9592</v>
      </c>
      <c r="H676">
        <v>944</v>
      </c>
      <c r="I676">
        <v>2.1</v>
      </c>
      <c r="J676">
        <v>71</v>
      </c>
      <c r="P676">
        <f t="shared" ca="1" si="41"/>
        <v>1253</v>
      </c>
      <c r="Q676" t="str" cm="1">
        <f t="array" ref="Q676">_xlfn.IFS(I676&gt;=3.5,"Excellent", I676&gt;3,"Good",I676&gt;2,"Average",I676&lt;2,"Poor")</f>
        <v>Average</v>
      </c>
      <c r="S676" t="str">
        <f t="shared" si="42"/>
        <v xml:space="preserve"> </v>
      </c>
      <c r="U676">
        <f t="shared" si="43"/>
        <v>2022</v>
      </c>
      <c r="AA676" t="str">
        <f t="shared" ca="1" si="44"/>
        <v/>
      </c>
    </row>
    <row r="677" spans="1:27" x14ac:dyDescent="0.3">
      <c r="A677" t="s">
        <v>1375</v>
      </c>
      <c r="B677" t="s">
        <v>1376</v>
      </c>
      <c r="C677" t="s">
        <v>36</v>
      </c>
      <c r="D677" t="s">
        <v>13</v>
      </c>
      <c r="E677" s="1">
        <v>44817</v>
      </c>
      <c r="F677" t="s">
        <v>14</v>
      </c>
      <c r="G677">
        <v>12383</v>
      </c>
      <c r="H677">
        <v>6864</v>
      </c>
      <c r="I677">
        <v>2.78</v>
      </c>
      <c r="J677">
        <v>38</v>
      </c>
      <c r="P677">
        <f t="shared" ca="1" si="41"/>
        <v>1035</v>
      </c>
      <c r="Q677" t="str" cm="1">
        <f t="array" ref="Q677">_xlfn.IFS(I677&gt;=3.5,"Excellent", I677&gt;3,"Good",I677&gt;2,"Average",I677&lt;2,"Poor")</f>
        <v>Average</v>
      </c>
      <c r="S677" t="b">
        <f t="shared" si="42"/>
        <v>1</v>
      </c>
      <c r="U677">
        <f t="shared" si="43"/>
        <v>2022</v>
      </c>
      <c r="AA677" t="str">
        <f t="shared" ca="1" si="44"/>
        <v/>
      </c>
    </row>
    <row r="678" spans="1:27" x14ac:dyDescent="0.3">
      <c r="A678" t="s">
        <v>1377</v>
      </c>
      <c r="B678" t="s">
        <v>1378</v>
      </c>
      <c r="C678" t="s">
        <v>25</v>
      </c>
      <c r="D678" t="s">
        <v>62</v>
      </c>
      <c r="E678" s="1">
        <v>44783</v>
      </c>
      <c r="F678" t="s">
        <v>14</v>
      </c>
      <c r="G678">
        <v>10703</v>
      </c>
      <c r="H678">
        <v>1138</v>
      </c>
      <c r="I678">
        <v>3.49</v>
      </c>
      <c r="J678">
        <v>107</v>
      </c>
      <c r="P678">
        <f t="shared" ca="1" si="41"/>
        <v>1069</v>
      </c>
      <c r="Q678" t="str" cm="1">
        <f t="array" ref="Q678">_xlfn.IFS(I678&gt;=3.5,"Excellent", I678&gt;3,"Good",I678&gt;2,"Average",I678&lt;2,"Poor")</f>
        <v>Good</v>
      </c>
      <c r="S678" t="str">
        <f t="shared" si="42"/>
        <v xml:space="preserve"> </v>
      </c>
      <c r="U678">
        <f t="shared" si="43"/>
        <v>2022</v>
      </c>
      <c r="AA678" t="str">
        <f t="shared" ca="1" si="44"/>
        <v/>
      </c>
    </row>
    <row r="679" spans="1:27" x14ac:dyDescent="0.3">
      <c r="A679" t="s">
        <v>1379</v>
      </c>
      <c r="B679" t="s">
        <v>1380</v>
      </c>
      <c r="C679" t="s">
        <v>36</v>
      </c>
      <c r="D679" t="s">
        <v>13</v>
      </c>
      <c r="E679" s="1">
        <v>44990</v>
      </c>
      <c r="F679" t="s">
        <v>14</v>
      </c>
      <c r="G679">
        <v>12060</v>
      </c>
      <c r="H679">
        <v>6306</v>
      </c>
      <c r="I679">
        <v>3.77</v>
      </c>
      <c r="J679">
        <v>48</v>
      </c>
      <c r="P679">
        <f t="shared" ca="1" si="41"/>
        <v>862</v>
      </c>
      <c r="Q679" t="str" cm="1">
        <f t="array" ref="Q679">_xlfn.IFS(I679&gt;=3.5,"Excellent", I679&gt;3,"Good",I679&gt;2,"Average",I679&lt;2,"Poor")</f>
        <v>Excellent</v>
      </c>
      <c r="S679" t="b">
        <f t="shared" si="42"/>
        <v>1</v>
      </c>
      <c r="U679">
        <f t="shared" si="43"/>
        <v>2023</v>
      </c>
      <c r="AA679" t="str">
        <f t="shared" ca="1" si="44"/>
        <v/>
      </c>
    </row>
    <row r="680" spans="1:27" x14ac:dyDescent="0.3">
      <c r="A680" t="s">
        <v>1381</v>
      </c>
      <c r="B680" t="s">
        <v>1382</v>
      </c>
      <c r="C680" t="s">
        <v>57</v>
      </c>
      <c r="D680" t="s">
        <v>62</v>
      </c>
      <c r="E680" s="1">
        <v>45460</v>
      </c>
      <c r="F680" t="s">
        <v>14</v>
      </c>
      <c r="G680">
        <v>5192</v>
      </c>
      <c r="H680">
        <v>7911</v>
      </c>
      <c r="I680">
        <v>2.4700000000000002</v>
      </c>
      <c r="J680">
        <v>88</v>
      </c>
      <c r="P680">
        <f t="shared" ca="1" si="41"/>
        <v>392</v>
      </c>
      <c r="Q680" t="str" cm="1">
        <f t="array" ref="Q680">_xlfn.IFS(I680&gt;=3.5,"Excellent", I680&gt;3,"Good",I680&gt;2,"Average",I680&lt;2,"Poor")</f>
        <v>Average</v>
      </c>
      <c r="S680" t="b">
        <f t="shared" si="42"/>
        <v>1</v>
      </c>
      <c r="U680">
        <f t="shared" si="43"/>
        <v>2024</v>
      </c>
      <c r="AA680" t="str">
        <f t="shared" ca="1" si="44"/>
        <v/>
      </c>
    </row>
    <row r="681" spans="1:27" x14ac:dyDescent="0.3">
      <c r="A681" t="s">
        <v>1383</v>
      </c>
      <c r="B681" t="s">
        <v>1384</v>
      </c>
      <c r="C681" t="s">
        <v>28</v>
      </c>
      <c r="D681" t="s">
        <v>31</v>
      </c>
      <c r="E681" s="1">
        <v>44636</v>
      </c>
      <c r="F681" t="s">
        <v>14</v>
      </c>
      <c r="G681">
        <v>3356</v>
      </c>
      <c r="H681">
        <v>4096</v>
      </c>
      <c r="I681">
        <v>2.74</v>
      </c>
      <c r="J681">
        <v>98</v>
      </c>
      <c r="P681">
        <f t="shared" ca="1" si="41"/>
        <v>1216</v>
      </c>
      <c r="Q681" t="str" cm="1">
        <f t="array" ref="Q681">_xlfn.IFS(I681&gt;=3.5,"Excellent", I681&gt;3,"Good",I681&gt;2,"Average",I681&lt;2,"Poor")</f>
        <v>Average</v>
      </c>
      <c r="S681" t="b">
        <f t="shared" si="42"/>
        <v>1</v>
      </c>
      <c r="U681">
        <f t="shared" si="43"/>
        <v>2022</v>
      </c>
      <c r="AA681" t="str">
        <f t="shared" ca="1" si="44"/>
        <v/>
      </c>
    </row>
    <row r="682" spans="1:27" x14ac:dyDescent="0.3">
      <c r="A682" t="s">
        <v>1385</v>
      </c>
      <c r="B682" t="s">
        <v>1386</v>
      </c>
      <c r="C682" t="s">
        <v>17</v>
      </c>
      <c r="D682" t="s">
        <v>31</v>
      </c>
      <c r="E682" s="1">
        <v>45002</v>
      </c>
      <c r="F682" t="s">
        <v>19</v>
      </c>
      <c r="G682">
        <v>6141</v>
      </c>
      <c r="H682">
        <v>1714</v>
      </c>
      <c r="I682">
        <v>2.58</v>
      </c>
      <c r="J682">
        <v>100</v>
      </c>
      <c r="P682" t="str">
        <f t="shared" ca="1" si="41"/>
        <v xml:space="preserve"> </v>
      </c>
      <c r="Q682" t="str" cm="1">
        <f t="array" ref="Q682">_xlfn.IFS(I682&gt;=3.5,"Excellent", I682&gt;3,"Good",I682&gt;2,"Average",I682&lt;2,"Poor")</f>
        <v>Average</v>
      </c>
      <c r="S682" t="str">
        <f t="shared" si="42"/>
        <v xml:space="preserve"> </v>
      </c>
      <c r="U682">
        <f t="shared" si="43"/>
        <v>2023</v>
      </c>
      <c r="AA682">
        <f t="shared" ca="1" si="44"/>
        <v>850</v>
      </c>
    </row>
    <row r="683" spans="1:27" x14ac:dyDescent="0.3">
      <c r="A683" t="s">
        <v>1387</v>
      </c>
      <c r="B683" t="s">
        <v>1388</v>
      </c>
      <c r="C683" t="s">
        <v>12</v>
      </c>
      <c r="D683" t="s">
        <v>18</v>
      </c>
      <c r="E683" s="1">
        <v>45389</v>
      </c>
      <c r="F683" t="s">
        <v>14</v>
      </c>
      <c r="G683">
        <v>5110</v>
      </c>
      <c r="H683">
        <v>1350</v>
      </c>
      <c r="I683">
        <v>3.06</v>
      </c>
      <c r="J683">
        <v>77</v>
      </c>
      <c r="P683">
        <f t="shared" ca="1" si="41"/>
        <v>463</v>
      </c>
      <c r="Q683" t="str" cm="1">
        <f t="array" ref="Q683">_xlfn.IFS(I683&gt;=3.5,"Excellent", I683&gt;3,"Good",I683&gt;2,"Average",I683&lt;2,"Poor")</f>
        <v>Good</v>
      </c>
      <c r="S683" t="str">
        <f t="shared" si="42"/>
        <v xml:space="preserve"> </v>
      </c>
      <c r="U683">
        <f t="shared" si="43"/>
        <v>2024</v>
      </c>
      <c r="AA683" t="str">
        <f t="shared" ca="1" si="44"/>
        <v/>
      </c>
    </row>
    <row r="684" spans="1:27" x14ac:dyDescent="0.3">
      <c r="A684" t="s">
        <v>1389</v>
      </c>
      <c r="B684" t="s">
        <v>1390</v>
      </c>
      <c r="C684" t="s">
        <v>28</v>
      </c>
      <c r="D684" t="s">
        <v>18</v>
      </c>
      <c r="E684" s="1">
        <v>45340</v>
      </c>
      <c r="F684" t="s">
        <v>14</v>
      </c>
      <c r="G684">
        <v>10080</v>
      </c>
      <c r="H684">
        <v>4930</v>
      </c>
      <c r="I684">
        <v>3.17</v>
      </c>
      <c r="J684">
        <v>73</v>
      </c>
      <c r="P684">
        <f t="shared" ca="1" si="41"/>
        <v>512</v>
      </c>
      <c r="Q684" t="str" cm="1">
        <f t="array" ref="Q684">_xlfn.IFS(I684&gt;=3.5,"Excellent", I684&gt;3,"Good",I684&gt;2,"Average",I684&lt;2,"Poor")</f>
        <v>Good</v>
      </c>
      <c r="S684" t="str">
        <f t="shared" si="42"/>
        <v xml:space="preserve"> </v>
      </c>
      <c r="U684">
        <f t="shared" si="43"/>
        <v>2024</v>
      </c>
      <c r="AA684" t="str">
        <f t="shared" ca="1" si="44"/>
        <v/>
      </c>
    </row>
    <row r="685" spans="1:27" x14ac:dyDescent="0.3">
      <c r="A685" t="s">
        <v>1391</v>
      </c>
      <c r="B685" t="s">
        <v>1392</v>
      </c>
      <c r="C685" t="s">
        <v>17</v>
      </c>
      <c r="D685" t="s">
        <v>18</v>
      </c>
      <c r="E685" s="1">
        <v>44596</v>
      </c>
      <c r="F685" t="s">
        <v>14</v>
      </c>
      <c r="G685">
        <v>7513</v>
      </c>
      <c r="H685">
        <v>1653</v>
      </c>
      <c r="I685">
        <v>3.05</v>
      </c>
      <c r="J685">
        <v>73</v>
      </c>
      <c r="P685">
        <f t="shared" ca="1" si="41"/>
        <v>1256</v>
      </c>
      <c r="Q685" t="str" cm="1">
        <f t="array" ref="Q685">_xlfn.IFS(I685&gt;=3.5,"Excellent", I685&gt;3,"Good",I685&gt;2,"Average",I685&lt;2,"Poor")</f>
        <v>Good</v>
      </c>
      <c r="S685" t="str">
        <f t="shared" si="42"/>
        <v xml:space="preserve"> </v>
      </c>
      <c r="U685">
        <f t="shared" si="43"/>
        <v>2022</v>
      </c>
      <c r="AA685" t="str">
        <f t="shared" ca="1" si="44"/>
        <v/>
      </c>
    </row>
    <row r="686" spans="1:27" x14ac:dyDescent="0.3">
      <c r="A686" t="s">
        <v>1393</v>
      </c>
      <c r="B686" t="s">
        <v>1394</v>
      </c>
      <c r="C686" t="s">
        <v>28</v>
      </c>
      <c r="D686" t="s">
        <v>18</v>
      </c>
      <c r="E686" s="1">
        <v>45285</v>
      </c>
      <c r="F686" t="s">
        <v>14</v>
      </c>
      <c r="G686">
        <v>8227</v>
      </c>
      <c r="H686">
        <v>4734</v>
      </c>
      <c r="I686">
        <v>3.1</v>
      </c>
      <c r="J686">
        <v>50</v>
      </c>
      <c r="P686">
        <f t="shared" ca="1" si="41"/>
        <v>567</v>
      </c>
      <c r="Q686" t="str" cm="1">
        <f t="array" ref="Q686">_xlfn.IFS(I686&gt;=3.5,"Excellent", I686&gt;3,"Good",I686&gt;2,"Average",I686&lt;2,"Poor")</f>
        <v>Good</v>
      </c>
      <c r="S686" t="b">
        <f t="shared" si="42"/>
        <v>1</v>
      </c>
      <c r="U686">
        <f t="shared" si="43"/>
        <v>2023</v>
      </c>
      <c r="AA686" t="str">
        <f t="shared" ca="1" si="44"/>
        <v/>
      </c>
    </row>
    <row r="687" spans="1:27" x14ac:dyDescent="0.3">
      <c r="A687" t="s">
        <v>1395</v>
      </c>
      <c r="B687" t="s">
        <v>1396</v>
      </c>
      <c r="C687" t="s">
        <v>54</v>
      </c>
      <c r="D687" t="s">
        <v>13</v>
      </c>
      <c r="E687" s="1">
        <v>45285</v>
      </c>
      <c r="F687" t="s">
        <v>14</v>
      </c>
      <c r="G687">
        <v>13129</v>
      </c>
      <c r="H687">
        <v>7800</v>
      </c>
      <c r="I687">
        <v>3.5</v>
      </c>
      <c r="J687">
        <v>116</v>
      </c>
      <c r="P687">
        <f t="shared" ca="1" si="41"/>
        <v>567</v>
      </c>
      <c r="Q687" t="str" cm="1">
        <f t="array" ref="Q687">_xlfn.IFS(I687&gt;=3.5,"Excellent", I687&gt;3,"Good",I687&gt;2,"Average",I687&lt;2,"Poor")</f>
        <v>Excellent</v>
      </c>
      <c r="S687" t="b">
        <f t="shared" si="42"/>
        <v>1</v>
      </c>
      <c r="U687">
        <f t="shared" si="43"/>
        <v>2023</v>
      </c>
      <c r="AA687" t="str">
        <f t="shared" ca="1" si="44"/>
        <v/>
      </c>
    </row>
    <row r="688" spans="1:27" x14ac:dyDescent="0.3">
      <c r="A688" t="s">
        <v>1397</v>
      </c>
      <c r="B688" t="s">
        <v>1398</v>
      </c>
      <c r="C688" t="s">
        <v>28</v>
      </c>
      <c r="D688" t="s">
        <v>18</v>
      </c>
      <c r="E688" s="1">
        <v>44905</v>
      </c>
      <c r="F688" t="s">
        <v>39</v>
      </c>
      <c r="G688">
        <v>10408</v>
      </c>
      <c r="H688">
        <v>1245</v>
      </c>
      <c r="I688">
        <v>2.78</v>
      </c>
      <c r="J688">
        <v>72</v>
      </c>
      <c r="P688" t="str">
        <f t="shared" ca="1" si="41"/>
        <v xml:space="preserve"> </v>
      </c>
      <c r="Q688" t="str" cm="1">
        <f t="array" ref="Q688">_xlfn.IFS(I688&gt;=3.5,"Excellent", I688&gt;3,"Good",I688&gt;2,"Average",I688&lt;2,"Poor")</f>
        <v>Average</v>
      </c>
      <c r="S688" t="str">
        <f t="shared" si="42"/>
        <v xml:space="preserve"> </v>
      </c>
      <c r="U688">
        <f t="shared" si="43"/>
        <v>2022</v>
      </c>
      <c r="AA688" t="str">
        <f t="shared" ca="1" si="44"/>
        <v/>
      </c>
    </row>
    <row r="689" spans="1:27" x14ac:dyDescent="0.3">
      <c r="A689" t="s">
        <v>1399</v>
      </c>
      <c r="B689" t="s">
        <v>1400</v>
      </c>
      <c r="C689" t="s">
        <v>28</v>
      </c>
      <c r="D689" t="s">
        <v>13</v>
      </c>
      <c r="E689" s="1">
        <v>45216</v>
      </c>
      <c r="F689" t="s">
        <v>19</v>
      </c>
      <c r="G689">
        <v>7270</v>
      </c>
      <c r="H689">
        <v>4035</v>
      </c>
      <c r="I689">
        <v>2.2000000000000002</v>
      </c>
      <c r="J689">
        <v>10</v>
      </c>
      <c r="P689" t="str">
        <f t="shared" ca="1" si="41"/>
        <v xml:space="preserve"> </v>
      </c>
      <c r="Q689" t="str" cm="1">
        <f t="array" ref="Q689">_xlfn.IFS(I689&gt;=3.5,"Excellent", I689&gt;3,"Good",I689&gt;2,"Average",I689&lt;2,"Poor")</f>
        <v>Average</v>
      </c>
      <c r="S689" t="b">
        <f t="shared" si="42"/>
        <v>1</v>
      </c>
      <c r="U689">
        <f t="shared" si="43"/>
        <v>2023</v>
      </c>
      <c r="AA689">
        <f t="shared" ca="1" si="44"/>
        <v>636</v>
      </c>
    </row>
    <row r="690" spans="1:27" x14ac:dyDescent="0.3">
      <c r="A690" t="s">
        <v>1401</v>
      </c>
      <c r="B690" t="s">
        <v>1402</v>
      </c>
      <c r="C690" t="s">
        <v>36</v>
      </c>
      <c r="D690" t="s">
        <v>18</v>
      </c>
      <c r="E690" s="1">
        <v>44648</v>
      </c>
      <c r="F690" t="s">
        <v>14</v>
      </c>
      <c r="G690">
        <v>2730</v>
      </c>
      <c r="H690">
        <v>6097</v>
      </c>
      <c r="I690">
        <v>2.09</v>
      </c>
      <c r="J690">
        <v>70</v>
      </c>
      <c r="P690">
        <f t="shared" ca="1" si="41"/>
        <v>1204</v>
      </c>
      <c r="Q690" t="str" cm="1">
        <f t="array" ref="Q690">_xlfn.IFS(I690&gt;=3.5,"Excellent", I690&gt;3,"Good",I690&gt;2,"Average",I690&lt;2,"Poor")</f>
        <v>Average</v>
      </c>
      <c r="S690" t="b">
        <f t="shared" si="42"/>
        <v>1</v>
      </c>
      <c r="U690">
        <f t="shared" si="43"/>
        <v>2022</v>
      </c>
      <c r="AA690" t="str">
        <f t="shared" ca="1" si="44"/>
        <v/>
      </c>
    </row>
    <row r="691" spans="1:27" x14ac:dyDescent="0.3">
      <c r="A691" t="s">
        <v>1403</v>
      </c>
      <c r="B691" t="s">
        <v>1404</v>
      </c>
      <c r="C691" t="s">
        <v>28</v>
      </c>
      <c r="D691" t="s">
        <v>18</v>
      </c>
      <c r="E691" s="1">
        <v>44715</v>
      </c>
      <c r="F691" t="s">
        <v>19</v>
      </c>
      <c r="G691">
        <v>11096</v>
      </c>
      <c r="H691">
        <v>3961</v>
      </c>
      <c r="I691">
        <v>3.9</v>
      </c>
      <c r="J691">
        <v>48</v>
      </c>
      <c r="P691" t="str">
        <f t="shared" ca="1" si="41"/>
        <v xml:space="preserve"> </v>
      </c>
      <c r="Q691" t="str" cm="1">
        <f t="array" ref="Q691">_xlfn.IFS(I691&gt;=3.5,"Excellent", I691&gt;3,"Good",I691&gt;2,"Average",I691&lt;2,"Poor")</f>
        <v>Excellent</v>
      </c>
      <c r="S691" t="str">
        <f t="shared" si="42"/>
        <v xml:space="preserve"> </v>
      </c>
      <c r="U691">
        <f t="shared" si="43"/>
        <v>2022</v>
      </c>
      <c r="AA691">
        <f t="shared" ca="1" si="44"/>
        <v>1137</v>
      </c>
    </row>
    <row r="692" spans="1:27" x14ac:dyDescent="0.3">
      <c r="A692" t="s">
        <v>1405</v>
      </c>
      <c r="B692" t="s">
        <v>1406</v>
      </c>
      <c r="C692" t="s">
        <v>36</v>
      </c>
      <c r="D692" t="s">
        <v>18</v>
      </c>
      <c r="E692" s="1">
        <v>45362</v>
      </c>
      <c r="F692" t="s">
        <v>19</v>
      </c>
      <c r="G692">
        <v>14406</v>
      </c>
      <c r="H692">
        <v>3386</v>
      </c>
      <c r="I692">
        <v>3.04</v>
      </c>
      <c r="J692">
        <v>109</v>
      </c>
      <c r="P692" t="str">
        <f t="shared" ca="1" si="41"/>
        <v xml:space="preserve"> </v>
      </c>
      <c r="Q692" t="str" cm="1">
        <f t="array" ref="Q692">_xlfn.IFS(I692&gt;=3.5,"Excellent", I692&gt;3,"Good",I692&gt;2,"Average",I692&lt;2,"Poor")</f>
        <v>Good</v>
      </c>
      <c r="S692" t="str">
        <f t="shared" si="42"/>
        <v xml:space="preserve"> </v>
      </c>
      <c r="U692">
        <f t="shared" si="43"/>
        <v>2024</v>
      </c>
      <c r="AA692">
        <f t="shared" ca="1" si="44"/>
        <v>490</v>
      </c>
    </row>
    <row r="693" spans="1:27" x14ac:dyDescent="0.3">
      <c r="A693" t="s">
        <v>1407</v>
      </c>
      <c r="B693" t="s">
        <v>1408</v>
      </c>
      <c r="C693" t="s">
        <v>17</v>
      </c>
      <c r="D693" t="s">
        <v>31</v>
      </c>
      <c r="E693" s="1">
        <v>45251</v>
      </c>
      <c r="F693" t="s">
        <v>19</v>
      </c>
      <c r="G693">
        <v>11296</v>
      </c>
      <c r="H693">
        <v>6755</v>
      </c>
      <c r="I693">
        <v>2.86</v>
      </c>
      <c r="J693">
        <v>112</v>
      </c>
      <c r="P693" t="str">
        <f t="shared" ca="1" si="41"/>
        <v xml:space="preserve"> </v>
      </c>
      <c r="Q693" t="str" cm="1">
        <f t="array" ref="Q693">_xlfn.IFS(I693&gt;=3.5,"Excellent", I693&gt;3,"Good",I693&gt;2,"Average",I693&lt;2,"Poor")</f>
        <v>Average</v>
      </c>
      <c r="S693" t="b">
        <f t="shared" si="42"/>
        <v>1</v>
      </c>
      <c r="U693">
        <f t="shared" si="43"/>
        <v>2023</v>
      </c>
      <c r="AA693">
        <f t="shared" ca="1" si="44"/>
        <v>601</v>
      </c>
    </row>
    <row r="694" spans="1:27" x14ac:dyDescent="0.3">
      <c r="A694" t="s">
        <v>1409</v>
      </c>
      <c r="B694" t="s">
        <v>1410</v>
      </c>
      <c r="C694" t="s">
        <v>25</v>
      </c>
      <c r="D694" t="s">
        <v>18</v>
      </c>
      <c r="E694" s="1">
        <v>45220</v>
      </c>
      <c r="F694" t="s">
        <v>39</v>
      </c>
      <c r="G694">
        <v>12851</v>
      </c>
      <c r="H694">
        <v>8600</v>
      </c>
      <c r="I694">
        <v>3.36</v>
      </c>
      <c r="J694">
        <v>15</v>
      </c>
      <c r="P694" t="str">
        <f t="shared" ca="1" si="41"/>
        <v xml:space="preserve"> </v>
      </c>
      <c r="Q694" t="str" cm="1">
        <f t="array" ref="Q694">_xlfn.IFS(I694&gt;=3.5,"Excellent", I694&gt;3,"Good",I694&gt;2,"Average",I694&lt;2,"Poor")</f>
        <v>Good</v>
      </c>
      <c r="S694" t="b">
        <f t="shared" si="42"/>
        <v>1</v>
      </c>
      <c r="U694">
        <f t="shared" si="43"/>
        <v>2023</v>
      </c>
      <c r="AA694" t="str">
        <f t="shared" ca="1" si="44"/>
        <v/>
      </c>
    </row>
    <row r="695" spans="1:27" x14ac:dyDescent="0.3">
      <c r="A695" t="s">
        <v>1411</v>
      </c>
      <c r="B695" t="s">
        <v>1412</v>
      </c>
      <c r="C695" t="s">
        <v>36</v>
      </c>
      <c r="D695" t="s">
        <v>31</v>
      </c>
      <c r="E695" s="1">
        <v>45134</v>
      </c>
      <c r="F695" t="s">
        <v>19</v>
      </c>
      <c r="G695">
        <v>6804</v>
      </c>
      <c r="H695">
        <v>4521</v>
      </c>
      <c r="I695">
        <v>3.77</v>
      </c>
      <c r="J695">
        <v>2</v>
      </c>
      <c r="P695" t="str">
        <f t="shared" ca="1" si="41"/>
        <v xml:space="preserve"> </v>
      </c>
      <c r="Q695" t="str" cm="1">
        <f t="array" ref="Q695">_xlfn.IFS(I695&gt;=3.5,"Excellent", I695&gt;3,"Good",I695&gt;2,"Average",I695&lt;2,"Poor")</f>
        <v>Excellent</v>
      </c>
      <c r="S695" t="b">
        <f t="shared" si="42"/>
        <v>1</v>
      </c>
      <c r="U695">
        <f t="shared" si="43"/>
        <v>2023</v>
      </c>
      <c r="AA695">
        <f t="shared" ca="1" si="44"/>
        <v>718</v>
      </c>
    </row>
    <row r="696" spans="1:27" x14ac:dyDescent="0.3">
      <c r="A696" t="s">
        <v>1413</v>
      </c>
      <c r="B696" t="s">
        <v>1414</v>
      </c>
      <c r="C696" t="s">
        <v>25</v>
      </c>
      <c r="D696" t="s">
        <v>62</v>
      </c>
      <c r="E696" s="1">
        <v>44637</v>
      </c>
      <c r="F696" t="s">
        <v>14</v>
      </c>
      <c r="G696">
        <v>3504</v>
      </c>
      <c r="H696">
        <v>7053</v>
      </c>
      <c r="I696">
        <v>2.31</v>
      </c>
      <c r="J696">
        <v>101</v>
      </c>
      <c r="P696">
        <f t="shared" ca="1" si="41"/>
        <v>1215</v>
      </c>
      <c r="Q696" t="str" cm="1">
        <f t="array" ref="Q696">_xlfn.IFS(I696&gt;=3.5,"Excellent", I696&gt;3,"Good",I696&gt;2,"Average",I696&lt;2,"Poor")</f>
        <v>Average</v>
      </c>
      <c r="S696" t="b">
        <f t="shared" si="42"/>
        <v>1</v>
      </c>
      <c r="U696">
        <f t="shared" si="43"/>
        <v>2022</v>
      </c>
      <c r="AA696" t="str">
        <f t="shared" ca="1" si="44"/>
        <v/>
      </c>
    </row>
    <row r="697" spans="1:27" x14ac:dyDescent="0.3">
      <c r="A697" t="s">
        <v>1415</v>
      </c>
      <c r="B697" t="s">
        <v>1416</v>
      </c>
      <c r="C697" t="s">
        <v>54</v>
      </c>
      <c r="D697" t="s">
        <v>31</v>
      </c>
      <c r="E697" s="1">
        <v>44874</v>
      </c>
      <c r="F697" t="s">
        <v>19</v>
      </c>
      <c r="G697">
        <v>13244</v>
      </c>
      <c r="H697">
        <v>5499</v>
      </c>
      <c r="I697">
        <v>2.0299999999999998</v>
      </c>
      <c r="J697">
        <v>44</v>
      </c>
      <c r="P697" t="str">
        <f t="shared" ca="1" si="41"/>
        <v xml:space="preserve"> </v>
      </c>
      <c r="Q697" t="str" cm="1">
        <f t="array" ref="Q697">_xlfn.IFS(I697&gt;=3.5,"Excellent", I697&gt;3,"Good",I697&gt;2,"Average",I697&lt;2,"Poor")</f>
        <v>Average</v>
      </c>
      <c r="S697" t="str">
        <f t="shared" si="42"/>
        <v xml:space="preserve"> </v>
      </c>
      <c r="U697">
        <f t="shared" si="43"/>
        <v>2022</v>
      </c>
      <c r="AA697">
        <f t="shared" ca="1" si="44"/>
        <v>978</v>
      </c>
    </row>
    <row r="698" spans="1:27" x14ac:dyDescent="0.3">
      <c r="A698" t="s">
        <v>1417</v>
      </c>
      <c r="B698" t="s">
        <v>1418</v>
      </c>
      <c r="C698" t="s">
        <v>12</v>
      </c>
      <c r="D698" t="s">
        <v>18</v>
      </c>
      <c r="E698" s="1">
        <v>44897</v>
      </c>
      <c r="F698" t="s">
        <v>19</v>
      </c>
      <c r="G698">
        <v>14717</v>
      </c>
      <c r="H698">
        <v>290</v>
      </c>
      <c r="I698">
        <v>3.78</v>
      </c>
      <c r="J698">
        <v>97</v>
      </c>
      <c r="P698" t="str">
        <f t="shared" ca="1" si="41"/>
        <v xml:space="preserve"> </v>
      </c>
      <c r="Q698" t="str" cm="1">
        <f t="array" ref="Q698">_xlfn.IFS(I698&gt;=3.5,"Excellent", I698&gt;3,"Good",I698&gt;2,"Average",I698&lt;2,"Poor")</f>
        <v>Excellent</v>
      </c>
      <c r="S698" t="str">
        <f t="shared" si="42"/>
        <v xml:space="preserve"> </v>
      </c>
      <c r="U698">
        <f t="shared" si="43"/>
        <v>2022</v>
      </c>
      <c r="AA698">
        <f t="shared" ca="1" si="44"/>
        <v>955</v>
      </c>
    </row>
    <row r="699" spans="1:27" x14ac:dyDescent="0.3">
      <c r="A699" t="s">
        <v>1419</v>
      </c>
      <c r="B699" t="s">
        <v>1420</v>
      </c>
      <c r="C699" t="s">
        <v>57</v>
      </c>
      <c r="D699" t="s">
        <v>18</v>
      </c>
      <c r="E699" s="1">
        <v>45244</v>
      </c>
      <c r="F699" t="s">
        <v>14</v>
      </c>
      <c r="G699">
        <v>9722</v>
      </c>
      <c r="H699">
        <v>7356</v>
      </c>
      <c r="I699">
        <v>2.5</v>
      </c>
      <c r="J699">
        <v>53</v>
      </c>
      <c r="P699">
        <f t="shared" ca="1" si="41"/>
        <v>608</v>
      </c>
      <c r="Q699" t="str" cm="1">
        <f t="array" ref="Q699">_xlfn.IFS(I699&gt;=3.5,"Excellent", I699&gt;3,"Good",I699&gt;2,"Average",I699&lt;2,"Poor")</f>
        <v>Average</v>
      </c>
      <c r="S699" t="b">
        <f t="shared" si="42"/>
        <v>1</v>
      </c>
      <c r="U699">
        <f t="shared" si="43"/>
        <v>2023</v>
      </c>
      <c r="AA699" t="str">
        <f t="shared" ca="1" si="44"/>
        <v/>
      </c>
    </row>
    <row r="700" spans="1:27" x14ac:dyDescent="0.3">
      <c r="A700" t="s">
        <v>1421</v>
      </c>
      <c r="B700" t="s">
        <v>1422</v>
      </c>
      <c r="C700" t="s">
        <v>28</v>
      </c>
      <c r="D700" t="s">
        <v>13</v>
      </c>
      <c r="E700" s="1">
        <v>45330</v>
      </c>
      <c r="F700" t="s">
        <v>14</v>
      </c>
      <c r="G700">
        <v>12801</v>
      </c>
      <c r="H700">
        <v>8270</v>
      </c>
      <c r="I700">
        <v>2.58</v>
      </c>
      <c r="J700">
        <v>57</v>
      </c>
      <c r="P700">
        <f t="shared" ca="1" si="41"/>
        <v>522</v>
      </c>
      <c r="Q700" t="str" cm="1">
        <f t="array" ref="Q700">_xlfn.IFS(I700&gt;=3.5,"Excellent", I700&gt;3,"Good",I700&gt;2,"Average",I700&lt;2,"Poor")</f>
        <v>Average</v>
      </c>
      <c r="S700" t="b">
        <f t="shared" si="42"/>
        <v>1</v>
      </c>
      <c r="U700">
        <f t="shared" si="43"/>
        <v>2024</v>
      </c>
      <c r="AA700" t="str">
        <f t="shared" ca="1" si="44"/>
        <v/>
      </c>
    </row>
    <row r="701" spans="1:27" x14ac:dyDescent="0.3">
      <c r="A701" t="s">
        <v>1423</v>
      </c>
      <c r="B701" t="s">
        <v>1424</v>
      </c>
      <c r="C701" t="s">
        <v>12</v>
      </c>
      <c r="D701" t="s">
        <v>18</v>
      </c>
      <c r="E701" s="1">
        <v>44745</v>
      </c>
      <c r="F701" t="s">
        <v>14</v>
      </c>
      <c r="G701">
        <v>3650</v>
      </c>
      <c r="H701">
        <v>137</v>
      </c>
      <c r="I701">
        <v>2.64</v>
      </c>
      <c r="J701">
        <v>4</v>
      </c>
      <c r="P701">
        <f t="shared" ca="1" si="41"/>
        <v>1107</v>
      </c>
      <c r="Q701" t="str" cm="1">
        <f t="array" ref="Q701">_xlfn.IFS(I701&gt;=3.5,"Excellent", I701&gt;3,"Good",I701&gt;2,"Average",I701&lt;2,"Poor")</f>
        <v>Average</v>
      </c>
      <c r="S701" t="str">
        <f t="shared" si="42"/>
        <v xml:space="preserve"> </v>
      </c>
      <c r="U701">
        <f t="shared" si="43"/>
        <v>2022</v>
      </c>
      <c r="AA701" t="str">
        <f t="shared" ca="1" si="44"/>
        <v/>
      </c>
    </row>
    <row r="702" spans="1:27" x14ac:dyDescent="0.3">
      <c r="A702" t="s">
        <v>1425</v>
      </c>
      <c r="B702" t="s">
        <v>1426</v>
      </c>
      <c r="C702" t="s">
        <v>57</v>
      </c>
      <c r="D702" t="s">
        <v>31</v>
      </c>
      <c r="E702" s="1">
        <v>45078</v>
      </c>
      <c r="F702" t="s">
        <v>39</v>
      </c>
      <c r="G702">
        <v>8042</v>
      </c>
      <c r="H702">
        <v>5884</v>
      </c>
      <c r="I702">
        <v>3.91</v>
      </c>
      <c r="J702">
        <v>37</v>
      </c>
      <c r="P702" t="str">
        <f t="shared" ca="1" si="41"/>
        <v xml:space="preserve"> </v>
      </c>
      <c r="Q702" t="str" cm="1">
        <f t="array" ref="Q702">_xlfn.IFS(I702&gt;=3.5,"Excellent", I702&gt;3,"Good",I702&gt;2,"Average",I702&lt;2,"Poor")</f>
        <v>Excellent</v>
      </c>
      <c r="S702" t="b">
        <f t="shared" si="42"/>
        <v>1</v>
      </c>
      <c r="U702">
        <f t="shared" si="43"/>
        <v>2023</v>
      </c>
      <c r="AA702" t="str">
        <f t="shared" ca="1" si="44"/>
        <v/>
      </c>
    </row>
    <row r="703" spans="1:27" x14ac:dyDescent="0.3">
      <c r="A703" t="s">
        <v>1427</v>
      </c>
      <c r="B703" t="s">
        <v>1428</v>
      </c>
      <c r="C703" t="s">
        <v>25</v>
      </c>
      <c r="D703" t="s">
        <v>13</v>
      </c>
      <c r="E703" s="1">
        <v>44636</v>
      </c>
      <c r="F703" t="s">
        <v>19</v>
      </c>
      <c r="G703">
        <v>4253</v>
      </c>
      <c r="H703">
        <v>7291</v>
      </c>
      <c r="I703">
        <v>3.66</v>
      </c>
      <c r="J703">
        <v>113</v>
      </c>
      <c r="P703" t="str">
        <f t="shared" ca="1" si="41"/>
        <v xml:space="preserve"> </v>
      </c>
      <c r="Q703" t="str" cm="1">
        <f t="array" ref="Q703">_xlfn.IFS(I703&gt;=3.5,"Excellent", I703&gt;3,"Good",I703&gt;2,"Average",I703&lt;2,"Poor")</f>
        <v>Excellent</v>
      </c>
      <c r="S703" t="b">
        <f t="shared" si="42"/>
        <v>1</v>
      </c>
      <c r="U703">
        <f t="shared" si="43"/>
        <v>2022</v>
      </c>
      <c r="AA703">
        <f t="shared" ca="1" si="44"/>
        <v>1216</v>
      </c>
    </row>
    <row r="704" spans="1:27" x14ac:dyDescent="0.3">
      <c r="A704" t="s">
        <v>1429</v>
      </c>
      <c r="B704" t="s">
        <v>1430</v>
      </c>
      <c r="C704" t="s">
        <v>36</v>
      </c>
      <c r="D704" t="s">
        <v>13</v>
      </c>
      <c r="E704" s="1">
        <v>45212</v>
      </c>
      <c r="F704" t="s">
        <v>14</v>
      </c>
      <c r="G704">
        <v>7568</v>
      </c>
      <c r="H704">
        <v>6300</v>
      </c>
      <c r="I704">
        <v>3.11</v>
      </c>
      <c r="J704">
        <v>25</v>
      </c>
      <c r="P704">
        <f t="shared" ca="1" si="41"/>
        <v>640</v>
      </c>
      <c r="Q704" t="str" cm="1">
        <f t="array" ref="Q704">_xlfn.IFS(I704&gt;=3.5,"Excellent", I704&gt;3,"Good",I704&gt;2,"Average",I704&lt;2,"Poor")</f>
        <v>Good</v>
      </c>
      <c r="S704" t="b">
        <f t="shared" si="42"/>
        <v>1</v>
      </c>
      <c r="U704">
        <f t="shared" si="43"/>
        <v>2023</v>
      </c>
      <c r="AA704" t="str">
        <f t="shared" ca="1" si="44"/>
        <v/>
      </c>
    </row>
    <row r="705" spans="1:27" x14ac:dyDescent="0.3">
      <c r="A705" t="s">
        <v>1431</v>
      </c>
      <c r="B705" t="s">
        <v>1432</v>
      </c>
      <c r="C705" t="s">
        <v>36</v>
      </c>
      <c r="D705" t="s">
        <v>18</v>
      </c>
      <c r="E705" s="1">
        <v>44944</v>
      </c>
      <c r="F705" t="s">
        <v>14</v>
      </c>
      <c r="G705">
        <v>12595</v>
      </c>
      <c r="H705">
        <v>5062</v>
      </c>
      <c r="I705">
        <v>2.6</v>
      </c>
      <c r="J705">
        <v>66</v>
      </c>
      <c r="P705">
        <f t="shared" ca="1" si="41"/>
        <v>908</v>
      </c>
      <c r="Q705" t="str" cm="1">
        <f t="array" ref="Q705">_xlfn.IFS(I705&gt;=3.5,"Excellent", I705&gt;3,"Good",I705&gt;2,"Average",I705&lt;2,"Poor")</f>
        <v>Average</v>
      </c>
      <c r="S705" t="str">
        <f t="shared" si="42"/>
        <v xml:space="preserve"> </v>
      </c>
      <c r="U705">
        <f t="shared" si="43"/>
        <v>2023</v>
      </c>
      <c r="AA705" t="str">
        <f t="shared" ca="1" si="44"/>
        <v/>
      </c>
    </row>
    <row r="706" spans="1:27" x14ac:dyDescent="0.3">
      <c r="A706" t="s">
        <v>1433</v>
      </c>
      <c r="B706" t="s">
        <v>1434</v>
      </c>
      <c r="C706" t="s">
        <v>36</v>
      </c>
      <c r="D706" t="s">
        <v>62</v>
      </c>
      <c r="E706" s="1">
        <v>45166</v>
      </c>
      <c r="F706" t="s">
        <v>14</v>
      </c>
      <c r="G706">
        <v>13552</v>
      </c>
      <c r="H706">
        <v>9582</v>
      </c>
      <c r="I706">
        <v>2.4300000000000002</v>
      </c>
      <c r="J706">
        <v>10</v>
      </c>
      <c r="P706">
        <f t="shared" ca="1" si="41"/>
        <v>686</v>
      </c>
      <c r="Q706" t="str" cm="1">
        <f t="array" ref="Q706">_xlfn.IFS(I706&gt;=3.5,"Excellent", I706&gt;3,"Good",I706&gt;2,"Average",I706&lt;2,"Poor")</f>
        <v>Average</v>
      </c>
      <c r="S706" t="b">
        <f t="shared" si="42"/>
        <v>1</v>
      </c>
      <c r="U706">
        <f t="shared" si="43"/>
        <v>2023</v>
      </c>
      <c r="AA706" t="str">
        <f t="shared" ca="1" si="44"/>
        <v/>
      </c>
    </row>
    <row r="707" spans="1:27" x14ac:dyDescent="0.3">
      <c r="A707" t="s">
        <v>1435</v>
      </c>
      <c r="B707" t="s">
        <v>1436</v>
      </c>
      <c r="C707" t="s">
        <v>25</v>
      </c>
      <c r="D707" t="s">
        <v>62</v>
      </c>
      <c r="E707" s="1">
        <v>45184</v>
      </c>
      <c r="F707" t="s">
        <v>14</v>
      </c>
      <c r="G707">
        <v>12316</v>
      </c>
      <c r="H707">
        <v>5027</v>
      </c>
      <c r="I707">
        <v>2.77</v>
      </c>
      <c r="J707">
        <v>23</v>
      </c>
      <c r="P707">
        <f t="shared" ref="P707:P770" ca="1" si="45">IF(F707="Enrolled",TODAY()-E707, " ")</f>
        <v>668</v>
      </c>
      <c r="Q707" t="str" cm="1">
        <f t="array" ref="Q707">_xlfn.IFS(I707&gt;=3.5,"Excellent", I707&gt;3,"Good",I707&gt;2,"Average",I707&lt;2,"Poor")</f>
        <v>Average</v>
      </c>
      <c r="S707" t="str">
        <f t="shared" ref="S707:S770" si="46">IF(H707&gt;0.5*G707,TRUE, " " )</f>
        <v xml:space="preserve"> </v>
      </c>
      <c r="U707">
        <f t="shared" ref="U707:U770" si="47">YEAR(E707)</f>
        <v>2023</v>
      </c>
      <c r="AA707" t="str">
        <f t="shared" ref="AA707:AA770" ca="1" si="48">IF(F707="Completed",TODAY()-E707,"")</f>
        <v/>
      </c>
    </row>
    <row r="708" spans="1:27" x14ac:dyDescent="0.3">
      <c r="A708" t="s">
        <v>1437</v>
      </c>
      <c r="B708" t="s">
        <v>1438</v>
      </c>
      <c r="C708" t="s">
        <v>28</v>
      </c>
      <c r="D708" t="s">
        <v>31</v>
      </c>
      <c r="E708" s="1">
        <v>45050</v>
      </c>
      <c r="F708" t="s">
        <v>14</v>
      </c>
      <c r="G708">
        <v>13723</v>
      </c>
      <c r="H708">
        <v>8461</v>
      </c>
      <c r="I708">
        <v>2.46</v>
      </c>
      <c r="J708">
        <v>58</v>
      </c>
      <c r="P708">
        <f t="shared" ca="1" si="45"/>
        <v>802</v>
      </c>
      <c r="Q708" t="str" cm="1">
        <f t="array" ref="Q708">_xlfn.IFS(I708&gt;=3.5,"Excellent", I708&gt;3,"Good",I708&gt;2,"Average",I708&lt;2,"Poor")</f>
        <v>Average</v>
      </c>
      <c r="S708" t="b">
        <f t="shared" si="46"/>
        <v>1</v>
      </c>
      <c r="U708">
        <f t="shared" si="47"/>
        <v>2023</v>
      </c>
      <c r="AA708" t="str">
        <f t="shared" ca="1" si="48"/>
        <v/>
      </c>
    </row>
    <row r="709" spans="1:27" x14ac:dyDescent="0.3">
      <c r="A709" t="s">
        <v>1439</v>
      </c>
      <c r="B709" t="s">
        <v>1440</v>
      </c>
      <c r="C709" t="s">
        <v>12</v>
      </c>
      <c r="D709" t="s">
        <v>13</v>
      </c>
      <c r="E709" s="1">
        <v>44921</v>
      </c>
      <c r="F709" t="s">
        <v>14</v>
      </c>
      <c r="G709">
        <v>7398</v>
      </c>
      <c r="H709">
        <v>5789</v>
      </c>
      <c r="I709">
        <v>3.81</v>
      </c>
      <c r="J709">
        <v>90</v>
      </c>
      <c r="P709">
        <f t="shared" ca="1" si="45"/>
        <v>931</v>
      </c>
      <c r="Q709" t="str" cm="1">
        <f t="array" ref="Q709">_xlfn.IFS(I709&gt;=3.5,"Excellent", I709&gt;3,"Good",I709&gt;2,"Average",I709&lt;2,"Poor")</f>
        <v>Excellent</v>
      </c>
      <c r="S709" t="b">
        <f t="shared" si="46"/>
        <v>1</v>
      </c>
      <c r="U709">
        <f t="shared" si="47"/>
        <v>2022</v>
      </c>
      <c r="AA709" t="str">
        <f t="shared" ca="1" si="48"/>
        <v/>
      </c>
    </row>
    <row r="710" spans="1:27" x14ac:dyDescent="0.3">
      <c r="A710" t="s">
        <v>1441</v>
      </c>
      <c r="B710" t="s">
        <v>1442</v>
      </c>
      <c r="C710" t="s">
        <v>54</v>
      </c>
      <c r="D710" t="s">
        <v>31</v>
      </c>
      <c r="E710" s="1">
        <v>45261</v>
      </c>
      <c r="F710" t="s">
        <v>19</v>
      </c>
      <c r="G710">
        <v>11190</v>
      </c>
      <c r="H710">
        <v>33</v>
      </c>
      <c r="I710">
        <v>2.81</v>
      </c>
      <c r="J710">
        <v>79</v>
      </c>
      <c r="P710" t="str">
        <f t="shared" ca="1" si="45"/>
        <v xml:space="preserve"> </v>
      </c>
      <c r="Q710" t="str" cm="1">
        <f t="array" ref="Q710">_xlfn.IFS(I710&gt;=3.5,"Excellent", I710&gt;3,"Good",I710&gt;2,"Average",I710&lt;2,"Poor")</f>
        <v>Average</v>
      </c>
      <c r="S710" t="str">
        <f t="shared" si="46"/>
        <v xml:space="preserve"> </v>
      </c>
      <c r="U710">
        <f t="shared" si="47"/>
        <v>2023</v>
      </c>
      <c r="AA710">
        <f t="shared" ca="1" si="48"/>
        <v>591</v>
      </c>
    </row>
    <row r="711" spans="1:27" x14ac:dyDescent="0.3">
      <c r="A711" t="s">
        <v>1443</v>
      </c>
      <c r="B711" t="s">
        <v>1444</v>
      </c>
      <c r="C711" t="s">
        <v>57</v>
      </c>
      <c r="D711" t="s">
        <v>18</v>
      </c>
      <c r="E711" s="1">
        <v>44632</v>
      </c>
      <c r="F711" t="s">
        <v>19</v>
      </c>
      <c r="G711">
        <v>11686</v>
      </c>
      <c r="H711">
        <v>869</v>
      </c>
      <c r="I711">
        <v>3.04</v>
      </c>
      <c r="J711">
        <v>25</v>
      </c>
      <c r="P711" t="str">
        <f t="shared" ca="1" si="45"/>
        <v xml:space="preserve"> </v>
      </c>
      <c r="Q711" t="str" cm="1">
        <f t="array" ref="Q711">_xlfn.IFS(I711&gt;=3.5,"Excellent", I711&gt;3,"Good",I711&gt;2,"Average",I711&lt;2,"Poor")</f>
        <v>Good</v>
      </c>
      <c r="S711" t="str">
        <f t="shared" si="46"/>
        <v xml:space="preserve"> </v>
      </c>
      <c r="U711">
        <f t="shared" si="47"/>
        <v>2022</v>
      </c>
      <c r="AA711">
        <f t="shared" ca="1" si="48"/>
        <v>1220</v>
      </c>
    </row>
    <row r="712" spans="1:27" x14ac:dyDescent="0.3">
      <c r="A712" t="s">
        <v>1445</v>
      </c>
      <c r="B712" t="s">
        <v>1446</v>
      </c>
      <c r="C712" t="s">
        <v>28</v>
      </c>
      <c r="D712" t="s">
        <v>31</v>
      </c>
      <c r="E712" s="1">
        <v>45273</v>
      </c>
      <c r="F712" t="s">
        <v>14</v>
      </c>
      <c r="G712">
        <v>10158</v>
      </c>
      <c r="H712">
        <v>9319</v>
      </c>
      <c r="I712">
        <v>3</v>
      </c>
      <c r="J712">
        <v>19</v>
      </c>
      <c r="P712">
        <f t="shared" ca="1" si="45"/>
        <v>579</v>
      </c>
      <c r="Q712" t="str" cm="1">
        <f t="array" ref="Q712">_xlfn.IFS(I712&gt;=3.5,"Excellent", I712&gt;3,"Good",I712&gt;2,"Average",I712&lt;2,"Poor")</f>
        <v>Average</v>
      </c>
      <c r="S712" t="b">
        <f t="shared" si="46"/>
        <v>1</v>
      </c>
      <c r="U712">
        <f t="shared" si="47"/>
        <v>2023</v>
      </c>
      <c r="AA712" t="str">
        <f t="shared" ca="1" si="48"/>
        <v/>
      </c>
    </row>
    <row r="713" spans="1:27" x14ac:dyDescent="0.3">
      <c r="A713" t="s">
        <v>1447</v>
      </c>
      <c r="B713" t="s">
        <v>1448</v>
      </c>
      <c r="C713" t="s">
        <v>25</v>
      </c>
      <c r="D713" t="s">
        <v>13</v>
      </c>
      <c r="E713" s="1">
        <v>44633</v>
      </c>
      <c r="F713" t="s">
        <v>39</v>
      </c>
      <c r="G713">
        <v>3088</v>
      </c>
      <c r="H713">
        <v>2439</v>
      </c>
      <c r="I713">
        <v>2.4700000000000002</v>
      </c>
      <c r="J713">
        <v>113</v>
      </c>
      <c r="P713" t="str">
        <f t="shared" ca="1" si="45"/>
        <v xml:space="preserve"> </v>
      </c>
      <c r="Q713" t="str" cm="1">
        <f t="array" ref="Q713">_xlfn.IFS(I713&gt;=3.5,"Excellent", I713&gt;3,"Good",I713&gt;2,"Average",I713&lt;2,"Poor")</f>
        <v>Average</v>
      </c>
      <c r="S713" t="b">
        <f t="shared" si="46"/>
        <v>1</v>
      </c>
      <c r="U713">
        <f t="shared" si="47"/>
        <v>2022</v>
      </c>
      <c r="AA713" t="str">
        <f t="shared" ca="1" si="48"/>
        <v/>
      </c>
    </row>
    <row r="714" spans="1:27" x14ac:dyDescent="0.3">
      <c r="A714" t="s">
        <v>1449</v>
      </c>
      <c r="B714" t="s">
        <v>1450</v>
      </c>
      <c r="C714" t="s">
        <v>12</v>
      </c>
      <c r="D714" t="s">
        <v>18</v>
      </c>
      <c r="E714" s="1">
        <v>45153</v>
      </c>
      <c r="F714" t="s">
        <v>14</v>
      </c>
      <c r="G714">
        <v>2510</v>
      </c>
      <c r="H714">
        <v>8919</v>
      </c>
      <c r="I714">
        <v>3.72</v>
      </c>
      <c r="J714">
        <v>98</v>
      </c>
      <c r="P714">
        <f t="shared" ca="1" si="45"/>
        <v>699</v>
      </c>
      <c r="Q714" t="str" cm="1">
        <f t="array" ref="Q714">_xlfn.IFS(I714&gt;=3.5,"Excellent", I714&gt;3,"Good",I714&gt;2,"Average",I714&lt;2,"Poor")</f>
        <v>Excellent</v>
      </c>
      <c r="S714" t="b">
        <f t="shared" si="46"/>
        <v>1</v>
      </c>
      <c r="U714">
        <f t="shared" si="47"/>
        <v>2023</v>
      </c>
      <c r="AA714" t="str">
        <f t="shared" ca="1" si="48"/>
        <v/>
      </c>
    </row>
    <row r="715" spans="1:27" x14ac:dyDescent="0.3">
      <c r="A715" t="s">
        <v>1451</v>
      </c>
      <c r="B715" t="s">
        <v>1452</v>
      </c>
      <c r="C715" t="s">
        <v>54</v>
      </c>
      <c r="D715" t="s">
        <v>31</v>
      </c>
      <c r="E715" s="1">
        <v>44921</v>
      </c>
      <c r="F715" t="s">
        <v>39</v>
      </c>
      <c r="G715">
        <v>2925</v>
      </c>
      <c r="H715">
        <v>3209</v>
      </c>
      <c r="I715">
        <v>2.88</v>
      </c>
      <c r="J715">
        <v>59</v>
      </c>
      <c r="P715" t="str">
        <f t="shared" ca="1" si="45"/>
        <v xml:space="preserve"> </v>
      </c>
      <c r="Q715" t="str" cm="1">
        <f t="array" ref="Q715">_xlfn.IFS(I715&gt;=3.5,"Excellent", I715&gt;3,"Good",I715&gt;2,"Average",I715&lt;2,"Poor")</f>
        <v>Average</v>
      </c>
      <c r="S715" t="b">
        <f t="shared" si="46"/>
        <v>1</v>
      </c>
      <c r="U715">
        <f t="shared" si="47"/>
        <v>2022</v>
      </c>
      <c r="AA715" t="str">
        <f t="shared" ca="1" si="48"/>
        <v/>
      </c>
    </row>
    <row r="716" spans="1:27" x14ac:dyDescent="0.3">
      <c r="A716" t="s">
        <v>1453</v>
      </c>
      <c r="B716" t="s">
        <v>1454</v>
      </c>
      <c r="C716" t="s">
        <v>28</v>
      </c>
      <c r="D716" t="s">
        <v>13</v>
      </c>
      <c r="E716" s="1">
        <v>44599</v>
      </c>
      <c r="F716" t="s">
        <v>14</v>
      </c>
      <c r="G716">
        <v>10388</v>
      </c>
      <c r="H716">
        <v>2667</v>
      </c>
      <c r="I716">
        <v>3.62</v>
      </c>
      <c r="J716">
        <v>35</v>
      </c>
      <c r="P716">
        <f t="shared" ca="1" si="45"/>
        <v>1253</v>
      </c>
      <c r="Q716" t="str" cm="1">
        <f t="array" ref="Q716">_xlfn.IFS(I716&gt;=3.5,"Excellent", I716&gt;3,"Good",I716&gt;2,"Average",I716&lt;2,"Poor")</f>
        <v>Excellent</v>
      </c>
      <c r="S716" t="str">
        <f t="shared" si="46"/>
        <v xml:space="preserve"> </v>
      </c>
      <c r="U716">
        <f t="shared" si="47"/>
        <v>2022</v>
      </c>
      <c r="AA716" t="str">
        <f t="shared" ca="1" si="48"/>
        <v/>
      </c>
    </row>
    <row r="717" spans="1:27" x14ac:dyDescent="0.3">
      <c r="A717" t="s">
        <v>1455</v>
      </c>
      <c r="B717" t="s">
        <v>1456</v>
      </c>
      <c r="C717" t="s">
        <v>17</v>
      </c>
      <c r="D717" t="s">
        <v>62</v>
      </c>
      <c r="E717" s="1">
        <v>44880</v>
      </c>
      <c r="F717" t="s">
        <v>19</v>
      </c>
      <c r="G717">
        <v>7318</v>
      </c>
      <c r="H717">
        <v>8381</v>
      </c>
      <c r="I717">
        <v>2.86</v>
      </c>
      <c r="J717">
        <v>88</v>
      </c>
      <c r="P717" t="str">
        <f t="shared" ca="1" si="45"/>
        <v xml:space="preserve"> </v>
      </c>
      <c r="Q717" t="str" cm="1">
        <f t="array" ref="Q717">_xlfn.IFS(I717&gt;=3.5,"Excellent", I717&gt;3,"Good",I717&gt;2,"Average",I717&lt;2,"Poor")</f>
        <v>Average</v>
      </c>
      <c r="S717" t="b">
        <f t="shared" si="46"/>
        <v>1</v>
      </c>
      <c r="U717">
        <f t="shared" si="47"/>
        <v>2022</v>
      </c>
      <c r="AA717">
        <f t="shared" ca="1" si="48"/>
        <v>972</v>
      </c>
    </row>
    <row r="718" spans="1:27" x14ac:dyDescent="0.3">
      <c r="A718" t="s">
        <v>1457</v>
      </c>
      <c r="B718" t="s">
        <v>1458</v>
      </c>
      <c r="C718" t="s">
        <v>36</v>
      </c>
      <c r="D718" t="s">
        <v>31</v>
      </c>
      <c r="E718" s="1">
        <v>45195</v>
      </c>
      <c r="F718" t="s">
        <v>19</v>
      </c>
      <c r="G718">
        <v>9113</v>
      </c>
      <c r="H718">
        <v>5810</v>
      </c>
      <c r="I718">
        <v>3.84</v>
      </c>
      <c r="J718">
        <v>86</v>
      </c>
      <c r="P718" t="str">
        <f t="shared" ca="1" si="45"/>
        <v xml:space="preserve"> </v>
      </c>
      <c r="Q718" t="str" cm="1">
        <f t="array" ref="Q718">_xlfn.IFS(I718&gt;=3.5,"Excellent", I718&gt;3,"Good",I718&gt;2,"Average",I718&lt;2,"Poor")</f>
        <v>Excellent</v>
      </c>
      <c r="S718" t="b">
        <f t="shared" si="46"/>
        <v>1</v>
      </c>
      <c r="U718">
        <f t="shared" si="47"/>
        <v>2023</v>
      </c>
      <c r="AA718">
        <f t="shared" ca="1" si="48"/>
        <v>657</v>
      </c>
    </row>
    <row r="719" spans="1:27" x14ac:dyDescent="0.3">
      <c r="A719" t="s">
        <v>1459</v>
      </c>
      <c r="B719" t="s">
        <v>1460</v>
      </c>
      <c r="C719" t="s">
        <v>36</v>
      </c>
      <c r="D719" t="s">
        <v>62</v>
      </c>
      <c r="E719" s="1">
        <v>44652</v>
      </c>
      <c r="F719" t="s">
        <v>14</v>
      </c>
      <c r="G719">
        <v>6712</v>
      </c>
      <c r="H719">
        <v>1250</v>
      </c>
      <c r="I719">
        <v>2.1800000000000002</v>
      </c>
      <c r="J719">
        <v>10</v>
      </c>
      <c r="P719">
        <f t="shared" ca="1" si="45"/>
        <v>1200</v>
      </c>
      <c r="Q719" t="str" cm="1">
        <f t="array" ref="Q719">_xlfn.IFS(I719&gt;=3.5,"Excellent", I719&gt;3,"Good",I719&gt;2,"Average",I719&lt;2,"Poor")</f>
        <v>Average</v>
      </c>
      <c r="S719" t="str">
        <f t="shared" si="46"/>
        <v xml:space="preserve"> </v>
      </c>
      <c r="U719">
        <f t="shared" si="47"/>
        <v>2022</v>
      </c>
      <c r="AA719" t="str">
        <f t="shared" ca="1" si="48"/>
        <v/>
      </c>
    </row>
    <row r="720" spans="1:27" x14ac:dyDescent="0.3">
      <c r="A720" t="s">
        <v>1461</v>
      </c>
      <c r="B720" t="s">
        <v>1462</v>
      </c>
      <c r="C720" t="s">
        <v>57</v>
      </c>
      <c r="D720" t="s">
        <v>62</v>
      </c>
      <c r="E720" s="1">
        <v>45180</v>
      </c>
      <c r="F720" t="s">
        <v>14</v>
      </c>
      <c r="G720">
        <v>3350</v>
      </c>
      <c r="H720">
        <v>107</v>
      </c>
      <c r="I720">
        <v>2.92</v>
      </c>
      <c r="J720">
        <v>109</v>
      </c>
      <c r="P720">
        <f t="shared" ca="1" si="45"/>
        <v>672</v>
      </c>
      <c r="Q720" t="str" cm="1">
        <f t="array" ref="Q720">_xlfn.IFS(I720&gt;=3.5,"Excellent", I720&gt;3,"Good",I720&gt;2,"Average",I720&lt;2,"Poor")</f>
        <v>Average</v>
      </c>
      <c r="S720" t="str">
        <f t="shared" si="46"/>
        <v xml:space="preserve"> </v>
      </c>
      <c r="U720">
        <f t="shared" si="47"/>
        <v>2023</v>
      </c>
      <c r="AA720" t="str">
        <f t="shared" ca="1" si="48"/>
        <v/>
      </c>
    </row>
    <row r="721" spans="1:27" x14ac:dyDescent="0.3">
      <c r="A721" t="s">
        <v>1463</v>
      </c>
      <c r="B721" t="s">
        <v>1464</v>
      </c>
      <c r="C721" t="s">
        <v>36</v>
      </c>
      <c r="D721" t="s">
        <v>31</v>
      </c>
      <c r="E721" s="1">
        <v>44906</v>
      </c>
      <c r="F721" t="s">
        <v>19</v>
      </c>
      <c r="G721">
        <v>2209</v>
      </c>
      <c r="H721">
        <v>2392</v>
      </c>
      <c r="I721">
        <v>3.49</v>
      </c>
      <c r="J721">
        <v>66</v>
      </c>
      <c r="P721" t="str">
        <f t="shared" ca="1" si="45"/>
        <v xml:space="preserve"> </v>
      </c>
      <c r="Q721" t="str" cm="1">
        <f t="array" ref="Q721">_xlfn.IFS(I721&gt;=3.5,"Excellent", I721&gt;3,"Good",I721&gt;2,"Average",I721&lt;2,"Poor")</f>
        <v>Good</v>
      </c>
      <c r="S721" t="b">
        <f t="shared" si="46"/>
        <v>1</v>
      </c>
      <c r="U721">
        <f t="shared" si="47"/>
        <v>2022</v>
      </c>
      <c r="AA721">
        <f t="shared" ca="1" si="48"/>
        <v>946</v>
      </c>
    </row>
    <row r="722" spans="1:27" x14ac:dyDescent="0.3">
      <c r="A722" t="s">
        <v>1465</v>
      </c>
      <c r="B722" t="s">
        <v>1466</v>
      </c>
      <c r="C722" t="s">
        <v>28</v>
      </c>
      <c r="D722" t="s">
        <v>31</v>
      </c>
      <c r="E722" s="1">
        <v>44828</v>
      </c>
      <c r="F722" t="s">
        <v>14</v>
      </c>
      <c r="G722">
        <v>13928</v>
      </c>
      <c r="H722">
        <v>6933</v>
      </c>
      <c r="I722">
        <v>3.37</v>
      </c>
      <c r="J722">
        <v>64</v>
      </c>
      <c r="P722">
        <f t="shared" ca="1" si="45"/>
        <v>1024</v>
      </c>
      <c r="Q722" t="str" cm="1">
        <f t="array" ref="Q722">_xlfn.IFS(I722&gt;=3.5,"Excellent", I722&gt;3,"Good",I722&gt;2,"Average",I722&lt;2,"Poor")</f>
        <v>Good</v>
      </c>
      <c r="S722" t="str">
        <f t="shared" si="46"/>
        <v xml:space="preserve"> </v>
      </c>
      <c r="U722">
        <f t="shared" si="47"/>
        <v>2022</v>
      </c>
      <c r="AA722" t="str">
        <f t="shared" ca="1" si="48"/>
        <v/>
      </c>
    </row>
    <row r="723" spans="1:27" x14ac:dyDescent="0.3">
      <c r="A723" t="s">
        <v>1467</v>
      </c>
      <c r="B723" t="s">
        <v>1468</v>
      </c>
      <c r="C723" t="s">
        <v>12</v>
      </c>
      <c r="D723" t="s">
        <v>31</v>
      </c>
      <c r="E723" s="1">
        <v>45227</v>
      </c>
      <c r="F723" t="s">
        <v>14</v>
      </c>
      <c r="G723">
        <v>9516</v>
      </c>
      <c r="H723">
        <v>729</v>
      </c>
      <c r="I723">
        <v>3.16</v>
      </c>
      <c r="J723">
        <v>96</v>
      </c>
      <c r="P723">
        <f t="shared" ca="1" si="45"/>
        <v>625</v>
      </c>
      <c r="Q723" t="str" cm="1">
        <f t="array" ref="Q723">_xlfn.IFS(I723&gt;=3.5,"Excellent", I723&gt;3,"Good",I723&gt;2,"Average",I723&lt;2,"Poor")</f>
        <v>Good</v>
      </c>
      <c r="S723" t="str">
        <f t="shared" si="46"/>
        <v xml:space="preserve"> </v>
      </c>
      <c r="U723">
        <f t="shared" si="47"/>
        <v>2023</v>
      </c>
      <c r="AA723" t="str">
        <f t="shared" ca="1" si="48"/>
        <v/>
      </c>
    </row>
    <row r="724" spans="1:27" x14ac:dyDescent="0.3">
      <c r="A724" t="s">
        <v>1469</v>
      </c>
      <c r="B724" t="s">
        <v>1470</v>
      </c>
      <c r="C724" t="s">
        <v>36</v>
      </c>
      <c r="D724" t="s">
        <v>62</v>
      </c>
      <c r="E724" s="1">
        <v>44591</v>
      </c>
      <c r="F724" t="s">
        <v>14</v>
      </c>
      <c r="G724">
        <v>5145</v>
      </c>
      <c r="H724">
        <v>6014</v>
      </c>
      <c r="I724">
        <v>2.98</v>
      </c>
      <c r="J724">
        <v>32</v>
      </c>
      <c r="P724">
        <f t="shared" ca="1" si="45"/>
        <v>1261</v>
      </c>
      <c r="Q724" t="str" cm="1">
        <f t="array" ref="Q724">_xlfn.IFS(I724&gt;=3.5,"Excellent", I724&gt;3,"Good",I724&gt;2,"Average",I724&lt;2,"Poor")</f>
        <v>Average</v>
      </c>
      <c r="S724" t="b">
        <f t="shared" si="46"/>
        <v>1</v>
      </c>
      <c r="U724">
        <f t="shared" si="47"/>
        <v>2022</v>
      </c>
      <c r="AA724" t="str">
        <f t="shared" ca="1" si="48"/>
        <v/>
      </c>
    </row>
    <row r="725" spans="1:27" x14ac:dyDescent="0.3">
      <c r="A725" t="s">
        <v>1471</v>
      </c>
      <c r="B725" t="s">
        <v>1472</v>
      </c>
      <c r="C725" t="s">
        <v>28</v>
      </c>
      <c r="D725" t="s">
        <v>13</v>
      </c>
      <c r="E725" s="1">
        <v>44755</v>
      </c>
      <c r="F725" t="s">
        <v>19</v>
      </c>
      <c r="G725">
        <v>6799</v>
      </c>
      <c r="H725">
        <v>1246</v>
      </c>
      <c r="I725">
        <v>3.07</v>
      </c>
      <c r="J725">
        <v>45</v>
      </c>
      <c r="P725" t="str">
        <f t="shared" ca="1" si="45"/>
        <v xml:space="preserve"> </v>
      </c>
      <c r="Q725" t="str" cm="1">
        <f t="array" ref="Q725">_xlfn.IFS(I725&gt;=3.5,"Excellent", I725&gt;3,"Good",I725&gt;2,"Average",I725&lt;2,"Poor")</f>
        <v>Good</v>
      </c>
      <c r="S725" t="str">
        <f t="shared" si="46"/>
        <v xml:space="preserve"> </v>
      </c>
      <c r="U725">
        <f t="shared" si="47"/>
        <v>2022</v>
      </c>
      <c r="AA725">
        <f t="shared" ca="1" si="48"/>
        <v>1097</v>
      </c>
    </row>
    <row r="726" spans="1:27" x14ac:dyDescent="0.3">
      <c r="A726" t="s">
        <v>1473</v>
      </c>
      <c r="B726" t="s">
        <v>1474</v>
      </c>
      <c r="C726" t="s">
        <v>54</v>
      </c>
      <c r="D726" t="s">
        <v>18</v>
      </c>
      <c r="E726" s="1">
        <v>44956</v>
      </c>
      <c r="F726" t="s">
        <v>14</v>
      </c>
      <c r="G726">
        <v>7388</v>
      </c>
      <c r="H726">
        <v>9272</v>
      </c>
      <c r="I726">
        <v>3.7</v>
      </c>
      <c r="J726">
        <v>118</v>
      </c>
      <c r="P726">
        <f t="shared" ca="1" si="45"/>
        <v>896</v>
      </c>
      <c r="Q726" t="str" cm="1">
        <f t="array" ref="Q726">_xlfn.IFS(I726&gt;=3.5,"Excellent", I726&gt;3,"Good",I726&gt;2,"Average",I726&lt;2,"Poor")</f>
        <v>Excellent</v>
      </c>
      <c r="S726" t="b">
        <f t="shared" si="46"/>
        <v>1</v>
      </c>
      <c r="U726">
        <f t="shared" si="47"/>
        <v>2023</v>
      </c>
      <c r="AA726" t="str">
        <f t="shared" ca="1" si="48"/>
        <v/>
      </c>
    </row>
    <row r="727" spans="1:27" x14ac:dyDescent="0.3">
      <c r="A727" t="s">
        <v>1475</v>
      </c>
      <c r="B727" t="s">
        <v>1476</v>
      </c>
      <c r="C727" t="s">
        <v>12</v>
      </c>
      <c r="D727" t="s">
        <v>31</v>
      </c>
      <c r="E727" s="1">
        <v>45289</v>
      </c>
      <c r="F727" t="s">
        <v>14</v>
      </c>
      <c r="G727">
        <v>2383</v>
      </c>
      <c r="H727">
        <v>1670</v>
      </c>
      <c r="I727">
        <v>2.82</v>
      </c>
      <c r="J727">
        <v>8</v>
      </c>
      <c r="P727">
        <f t="shared" ca="1" si="45"/>
        <v>563</v>
      </c>
      <c r="Q727" t="str" cm="1">
        <f t="array" ref="Q727">_xlfn.IFS(I727&gt;=3.5,"Excellent", I727&gt;3,"Good",I727&gt;2,"Average",I727&lt;2,"Poor")</f>
        <v>Average</v>
      </c>
      <c r="S727" t="b">
        <f t="shared" si="46"/>
        <v>1</v>
      </c>
      <c r="U727">
        <f t="shared" si="47"/>
        <v>2023</v>
      </c>
      <c r="AA727" t="str">
        <f t="shared" ca="1" si="48"/>
        <v/>
      </c>
    </row>
    <row r="728" spans="1:27" x14ac:dyDescent="0.3">
      <c r="A728" t="s">
        <v>1477</v>
      </c>
      <c r="B728" t="s">
        <v>1478</v>
      </c>
      <c r="C728" t="s">
        <v>54</v>
      </c>
      <c r="D728" t="s">
        <v>18</v>
      </c>
      <c r="E728" s="1">
        <v>44605</v>
      </c>
      <c r="F728" t="s">
        <v>19</v>
      </c>
      <c r="G728">
        <v>7853</v>
      </c>
      <c r="H728">
        <v>8847</v>
      </c>
      <c r="I728">
        <v>2.4300000000000002</v>
      </c>
      <c r="J728">
        <v>4</v>
      </c>
      <c r="P728" t="str">
        <f t="shared" ca="1" si="45"/>
        <v xml:space="preserve"> </v>
      </c>
      <c r="Q728" t="str" cm="1">
        <f t="array" ref="Q728">_xlfn.IFS(I728&gt;=3.5,"Excellent", I728&gt;3,"Good",I728&gt;2,"Average",I728&lt;2,"Poor")</f>
        <v>Average</v>
      </c>
      <c r="S728" t="b">
        <f t="shared" si="46"/>
        <v>1</v>
      </c>
      <c r="U728">
        <f t="shared" si="47"/>
        <v>2022</v>
      </c>
      <c r="AA728">
        <f t="shared" ca="1" si="48"/>
        <v>1247</v>
      </c>
    </row>
    <row r="729" spans="1:27" x14ac:dyDescent="0.3">
      <c r="A729" t="s">
        <v>1479</v>
      </c>
      <c r="B729" t="s">
        <v>1480</v>
      </c>
      <c r="C729" t="s">
        <v>36</v>
      </c>
      <c r="D729" t="s">
        <v>13</v>
      </c>
      <c r="E729" s="1">
        <v>45383</v>
      </c>
      <c r="F729" t="s">
        <v>14</v>
      </c>
      <c r="G729">
        <v>12713</v>
      </c>
      <c r="H729">
        <v>352</v>
      </c>
      <c r="I729">
        <v>3.92</v>
      </c>
      <c r="J729">
        <v>95</v>
      </c>
      <c r="P729">
        <f t="shared" ca="1" si="45"/>
        <v>469</v>
      </c>
      <c r="Q729" t="str" cm="1">
        <f t="array" ref="Q729">_xlfn.IFS(I729&gt;=3.5,"Excellent", I729&gt;3,"Good",I729&gt;2,"Average",I729&lt;2,"Poor")</f>
        <v>Excellent</v>
      </c>
      <c r="S729" t="str">
        <f t="shared" si="46"/>
        <v xml:space="preserve"> </v>
      </c>
      <c r="U729">
        <f t="shared" si="47"/>
        <v>2024</v>
      </c>
      <c r="AA729" t="str">
        <f t="shared" ca="1" si="48"/>
        <v/>
      </c>
    </row>
    <row r="730" spans="1:27" x14ac:dyDescent="0.3">
      <c r="A730" t="s">
        <v>1481</v>
      </c>
      <c r="B730" t="s">
        <v>1482</v>
      </c>
      <c r="C730" t="s">
        <v>57</v>
      </c>
      <c r="D730" t="s">
        <v>62</v>
      </c>
      <c r="E730" s="1">
        <v>44821</v>
      </c>
      <c r="F730" t="s">
        <v>19</v>
      </c>
      <c r="G730">
        <v>4256</v>
      </c>
      <c r="H730">
        <v>1159</v>
      </c>
      <c r="I730">
        <v>2.89</v>
      </c>
      <c r="J730">
        <v>32</v>
      </c>
      <c r="P730" t="str">
        <f t="shared" ca="1" si="45"/>
        <v xml:space="preserve"> </v>
      </c>
      <c r="Q730" t="str" cm="1">
        <f t="array" ref="Q730">_xlfn.IFS(I730&gt;=3.5,"Excellent", I730&gt;3,"Good",I730&gt;2,"Average",I730&lt;2,"Poor")</f>
        <v>Average</v>
      </c>
      <c r="S730" t="str">
        <f t="shared" si="46"/>
        <v xml:space="preserve"> </v>
      </c>
      <c r="U730">
        <f t="shared" si="47"/>
        <v>2022</v>
      </c>
      <c r="AA730">
        <f t="shared" ca="1" si="48"/>
        <v>1031</v>
      </c>
    </row>
    <row r="731" spans="1:27" x14ac:dyDescent="0.3">
      <c r="A731" t="s">
        <v>1483</v>
      </c>
      <c r="B731" t="s">
        <v>1484</v>
      </c>
      <c r="C731" t="s">
        <v>36</v>
      </c>
      <c r="D731" t="s">
        <v>31</v>
      </c>
      <c r="E731" s="1">
        <v>44831</v>
      </c>
      <c r="F731" t="s">
        <v>14</v>
      </c>
      <c r="G731">
        <v>9110</v>
      </c>
      <c r="H731">
        <v>7109</v>
      </c>
      <c r="I731">
        <v>3.07</v>
      </c>
      <c r="J731">
        <v>103</v>
      </c>
      <c r="P731">
        <f t="shared" ca="1" si="45"/>
        <v>1021</v>
      </c>
      <c r="Q731" t="str" cm="1">
        <f t="array" ref="Q731">_xlfn.IFS(I731&gt;=3.5,"Excellent", I731&gt;3,"Good",I731&gt;2,"Average",I731&lt;2,"Poor")</f>
        <v>Good</v>
      </c>
      <c r="S731" t="b">
        <f t="shared" si="46"/>
        <v>1</v>
      </c>
      <c r="U731">
        <f t="shared" si="47"/>
        <v>2022</v>
      </c>
      <c r="AA731" t="str">
        <f t="shared" ca="1" si="48"/>
        <v/>
      </c>
    </row>
    <row r="732" spans="1:27" x14ac:dyDescent="0.3">
      <c r="A732" t="s">
        <v>1485</v>
      </c>
      <c r="B732" t="s">
        <v>1486</v>
      </c>
      <c r="C732" t="s">
        <v>28</v>
      </c>
      <c r="D732" t="s">
        <v>18</v>
      </c>
      <c r="E732" s="1">
        <v>44949</v>
      </c>
      <c r="F732" t="s">
        <v>39</v>
      </c>
      <c r="G732">
        <v>3316</v>
      </c>
      <c r="H732">
        <v>7822</v>
      </c>
      <c r="I732">
        <v>2.2799999999999998</v>
      </c>
      <c r="J732">
        <v>110</v>
      </c>
      <c r="P732" t="str">
        <f t="shared" ca="1" si="45"/>
        <v xml:space="preserve"> </v>
      </c>
      <c r="Q732" t="str" cm="1">
        <f t="array" ref="Q732">_xlfn.IFS(I732&gt;=3.5,"Excellent", I732&gt;3,"Good",I732&gt;2,"Average",I732&lt;2,"Poor")</f>
        <v>Average</v>
      </c>
      <c r="S732" t="b">
        <f t="shared" si="46"/>
        <v>1</v>
      </c>
      <c r="U732">
        <f t="shared" si="47"/>
        <v>2023</v>
      </c>
      <c r="AA732" t="str">
        <f t="shared" ca="1" si="48"/>
        <v/>
      </c>
    </row>
    <row r="733" spans="1:27" x14ac:dyDescent="0.3">
      <c r="A733" t="s">
        <v>1487</v>
      </c>
      <c r="B733" t="s">
        <v>1488</v>
      </c>
      <c r="C733" t="s">
        <v>17</v>
      </c>
      <c r="D733" t="s">
        <v>62</v>
      </c>
      <c r="E733" s="1">
        <v>45300</v>
      </c>
      <c r="F733" t="s">
        <v>14</v>
      </c>
      <c r="G733">
        <v>5395</v>
      </c>
      <c r="H733">
        <v>4845</v>
      </c>
      <c r="I733">
        <v>3.29</v>
      </c>
      <c r="J733">
        <v>50</v>
      </c>
      <c r="P733">
        <f t="shared" ca="1" si="45"/>
        <v>552</v>
      </c>
      <c r="Q733" t="str" cm="1">
        <f t="array" ref="Q733">_xlfn.IFS(I733&gt;=3.5,"Excellent", I733&gt;3,"Good",I733&gt;2,"Average",I733&lt;2,"Poor")</f>
        <v>Good</v>
      </c>
      <c r="S733" t="b">
        <f t="shared" si="46"/>
        <v>1</v>
      </c>
      <c r="U733">
        <f t="shared" si="47"/>
        <v>2024</v>
      </c>
      <c r="AA733" t="str">
        <f t="shared" ca="1" si="48"/>
        <v/>
      </c>
    </row>
    <row r="734" spans="1:27" x14ac:dyDescent="0.3">
      <c r="A734" t="s">
        <v>1489</v>
      </c>
      <c r="B734" t="s">
        <v>1490</v>
      </c>
      <c r="C734" t="s">
        <v>12</v>
      </c>
      <c r="D734" t="s">
        <v>62</v>
      </c>
      <c r="E734" s="1">
        <v>45323</v>
      </c>
      <c r="F734" t="s">
        <v>14</v>
      </c>
      <c r="G734">
        <v>13318</v>
      </c>
      <c r="H734">
        <v>4842</v>
      </c>
      <c r="I734">
        <v>3.79</v>
      </c>
      <c r="J734">
        <v>45</v>
      </c>
      <c r="P734">
        <f t="shared" ca="1" si="45"/>
        <v>529</v>
      </c>
      <c r="Q734" t="str" cm="1">
        <f t="array" ref="Q734">_xlfn.IFS(I734&gt;=3.5,"Excellent", I734&gt;3,"Good",I734&gt;2,"Average",I734&lt;2,"Poor")</f>
        <v>Excellent</v>
      </c>
      <c r="S734" t="str">
        <f t="shared" si="46"/>
        <v xml:space="preserve"> </v>
      </c>
      <c r="U734">
        <f t="shared" si="47"/>
        <v>2024</v>
      </c>
      <c r="AA734" t="str">
        <f t="shared" ca="1" si="48"/>
        <v/>
      </c>
    </row>
    <row r="735" spans="1:27" x14ac:dyDescent="0.3">
      <c r="A735" t="s">
        <v>1491</v>
      </c>
      <c r="B735" t="s">
        <v>1492</v>
      </c>
      <c r="C735" t="s">
        <v>28</v>
      </c>
      <c r="D735" t="s">
        <v>13</v>
      </c>
      <c r="E735" s="1">
        <v>44800</v>
      </c>
      <c r="F735" t="s">
        <v>19</v>
      </c>
      <c r="G735">
        <v>6241</v>
      </c>
      <c r="H735">
        <v>5128</v>
      </c>
      <c r="I735">
        <v>3.92</v>
      </c>
      <c r="J735">
        <v>111</v>
      </c>
      <c r="P735" t="str">
        <f t="shared" ca="1" si="45"/>
        <v xml:space="preserve"> </v>
      </c>
      <c r="Q735" t="str" cm="1">
        <f t="array" ref="Q735">_xlfn.IFS(I735&gt;=3.5,"Excellent", I735&gt;3,"Good",I735&gt;2,"Average",I735&lt;2,"Poor")</f>
        <v>Excellent</v>
      </c>
      <c r="S735" t="b">
        <f t="shared" si="46"/>
        <v>1</v>
      </c>
      <c r="U735">
        <f t="shared" si="47"/>
        <v>2022</v>
      </c>
      <c r="AA735">
        <f t="shared" ca="1" si="48"/>
        <v>1052</v>
      </c>
    </row>
    <row r="736" spans="1:27" x14ac:dyDescent="0.3">
      <c r="A736" t="s">
        <v>1493</v>
      </c>
      <c r="B736" t="s">
        <v>1494</v>
      </c>
      <c r="C736" t="s">
        <v>57</v>
      </c>
      <c r="D736" t="s">
        <v>18</v>
      </c>
      <c r="E736" s="1">
        <v>44578</v>
      </c>
      <c r="F736" t="s">
        <v>14</v>
      </c>
      <c r="G736">
        <v>8037</v>
      </c>
      <c r="H736">
        <v>3076</v>
      </c>
      <c r="I736">
        <v>2.75</v>
      </c>
      <c r="J736">
        <v>28</v>
      </c>
      <c r="P736">
        <f t="shared" ca="1" si="45"/>
        <v>1274</v>
      </c>
      <c r="Q736" t="str" cm="1">
        <f t="array" ref="Q736">_xlfn.IFS(I736&gt;=3.5,"Excellent", I736&gt;3,"Good",I736&gt;2,"Average",I736&lt;2,"Poor")</f>
        <v>Average</v>
      </c>
      <c r="S736" t="str">
        <f t="shared" si="46"/>
        <v xml:space="preserve"> </v>
      </c>
      <c r="U736">
        <f t="shared" si="47"/>
        <v>2022</v>
      </c>
      <c r="AA736" t="str">
        <f t="shared" ca="1" si="48"/>
        <v/>
      </c>
    </row>
    <row r="737" spans="1:27" x14ac:dyDescent="0.3">
      <c r="A737" t="s">
        <v>1495</v>
      </c>
      <c r="B737" t="s">
        <v>1496</v>
      </c>
      <c r="C737" t="s">
        <v>54</v>
      </c>
      <c r="D737" t="s">
        <v>18</v>
      </c>
      <c r="E737" s="1">
        <v>44731</v>
      </c>
      <c r="F737" t="s">
        <v>14</v>
      </c>
      <c r="G737">
        <v>10127</v>
      </c>
      <c r="H737">
        <v>4309</v>
      </c>
      <c r="I737">
        <v>3.84</v>
      </c>
      <c r="J737">
        <v>89</v>
      </c>
      <c r="P737">
        <f t="shared" ca="1" si="45"/>
        <v>1121</v>
      </c>
      <c r="Q737" t="str" cm="1">
        <f t="array" ref="Q737">_xlfn.IFS(I737&gt;=3.5,"Excellent", I737&gt;3,"Good",I737&gt;2,"Average",I737&lt;2,"Poor")</f>
        <v>Excellent</v>
      </c>
      <c r="S737" t="str">
        <f t="shared" si="46"/>
        <v xml:space="preserve"> </v>
      </c>
      <c r="U737">
        <f t="shared" si="47"/>
        <v>2022</v>
      </c>
      <c r="AA737" t="str">
        <f t="shared" ca="1" si="48"/>
        <v/>
      </c>
    </row>
    <row r="738" spans="1:27" x14ac:dyDescent="0.3">
      <c r="A738" t="s">
        <v>1497</v>
      </c>
      <c r="B738" t="s">
        <v>1498</v>
      </c>
      <c r="C738" t="s">
        <v>12</v>
      </c>
      <c r="D738" t="s">
        <v>62</v>
      </c>
      <c r="E738" s="1">
        <v>44975</v>
      </c>
      <c r="F738" t="s">
        <v>14</v>
      </c>
      <c r="G738">
        <v>12789</v>
      </c>
      <c r="H738">
        <v>311</v>
      </c>
      <c r="I738">
        <v>2.92</v>
      </c>
      <c r="J738">
        <v>90</v>
      </c>
      <c r="P738">
        <f t="shared" ca="1" si="45"/>
        <v>877</v>
      </c>
      <c r="Q738" t="str" cm="1">
        <f t="array" ref="Q738">_xlfn.IFS(I738&gt;=3.5,"Excellent", I738&gt;3,"Good",I738&gt;2,"Average",I738&lt;2,"Poor")</f>
        <v>Average</v>
      </c>
      <c r="S738" t="str">
        <f t="shared" si="46"/>
        <v xml:space="preserve"> </v>
      </c>
      <c r="U738">
        <f t="shared" si="47"/>
        <v>2023</v>
      </c>
      <c r="AA738" t="str">
        <f t="shared" ca="1" si="48"/>
        <v/>
      </c>
    </row>
    <row r="739" spans="1:27" x14ac:dyDescent="0.3">
      <c r="A739" t="s">
        <v>1499</v>
      </c>
      <c r="B739" t="s">
        <v>1500</v>
      </c>
      <c r="C739" t="s">
        <v>57</v>
      </c>
      <c r="D739" t="s">
        <v>13</v>
      </c>
      <c r="E739" s="1">
        <v>44719</v>
      </c>
      <c r="F739" t="s">
        <v>14</v>
      </c>
      <c r="G739">
        <v>10155</v>
      </c>
      <c r="H739">
        <v>9072</v>
      </c>
      <c r="I739">
        <v>3.99</v>
      </c>
      <c r="J739">
        <v>38</v>
      </c>
      <c r="P739">
        <f t="shared" ca="1" si="45"/>
        <v>1133</v>
      </c>
      <c r="Q739" t="str" cm="1">
        <f t="array" ref="Q739">_xlfn.IFS(I739&gt;=3.5,"Excellent", I739&gt;3,"Good",I739&gt;2,"Average",I739&lt;2,"Poor")</f>
        <v>Excellent</v>
      </c>
      <c r="S739" t="b">
        <f t="shared" si="46"/>
        <v>1</v>
      </c>
      <c r="U739">
        <f t="shared" si="47"/>
        <v>2022</v>
      </c>
      <c r="AA739" t="str">
        <f t="shared" ca="1" si="48"/>
        <v/>
      </c>
    </row>
    <row r="740" spans="1:27" x14ac:dyDescent="0.3">
      <c r="A740" t="s">
        <v>1501</v>
      </c>
      <c r="B740" t="s">
        <v>1502</v>
      </c>
      <c r="C740" t="s">
        <v>57</v>
      </c>
      <c r="D740" t="s">
        <v>31</v>
      </c>
      <c r="E740" s="1">
        <v>44975</v>
      </c>
      <c r="F740" t="s">
        <v>14</v>
      </c>
      <c r="G740">
        <v>6971</v>
      </c>
      <c r="H740">
        <v>6639</v>
      </c>
      <c r="I740">
        <v>2.6</v>
      </c>
      <c r="J740">
        <v>54</v>
      </c>
      <c r="P740">
        <f t="shared" ca="1" si="45"/>
        <v>877</v>
      </c>
      <c r="Q740" t="str" cm="1">
        <f t="array" ref="Q740">_xlfn.IFS(I740&gt;=3.5,"Excellent", I740&gt;3,"Good",I740&gt;2,"Average",I740&lt;2,"Poor")</f>
        <v>Average</v>
      </c>
      <c r="S740" t="b">
        <f t="shared" si="46"/>
        <v>1</v>
      </c>
      <c r="U740">
        <f t="shared" si="47"/>
        <v>2023</v>
      </c>
      <c r="AA740" t="str">
        <f t="shared" ca="1" si="48"/>
        <v/>
      </c>
    </row>
    <row r="741" spans="1:27" x14ac:dyDescent="0.3">
      <c r="A741" t="s">
        <v>1503</v>
      </c>
      <c r="B741" t="s">
        <v>1504</v>
      </c>
      <c r="C741" t="s">
        <v>57</v>
      </c>
      <c r="D741" t="s">
        <v>13</v>
      </c>
      <c r="E741" s="1">
        <v>44596</v>
      </c>
      <c r="F741" t="s">
        <v>14</v>
      </c>
      <c r="G741">
        <v>9877</v>
      </c>
      <c r="H741">
        <v>1236</v>
      </c>
      <c r="I741">
        <v>3.69</v>
      </c>
      <c r="J741">
        <v>25</v>
      </c>
      <c r="P741">
        <f t="shared" ca="1" si="45"/>
        <v>1256</v>
      </c>
      <c r="Q741" t="str" cm="1">
        <f t="array" ref="Q741">_xlfn.IFS(I741&gt;=3.5,"Excellent", I741&gt;3,"Good",I741&gt;2,"Average",I741&lt;2,"Poor")</f>
        <v>Excellent</v>
      </c>
      <c r="S741" t="str">
        <f t="shared" si="46"/>
        <v xml:space="preserve"> </v>
      </c>
      <c r="U741">
        <f t="shared" si="47"/>
        <v>2022</v>
      </c>
      <c r="AA741" t="str">
        <f t="shared" ca="1" si="48"/>
        <v/>
      </c>
    </row>
    <row r="742" spans="1:27" x14ac:dyDescent="0.3">
      <c r="A742" t="s">
        <v>1505</v>
      </c>
      <c r="B742" t="s">
        <v>1506</v>
      </c>
      <c r="C742" t="s">
        <v>17</v>
      </c>
      <c r="D742" t="s">
        <v>18</v>
      </c>
      <c r="E742" s="1">
        <v>45116</v>
      </c>
      <c r="F742" t="s">
        <v>14</v>
      </c>
      <c r="G742">
        <v>9561</v>
      </c>
      <c r="H742">
        <v>5098</v>
      </c>
      <c r="I742">
        <v>3.79</v>
      </c>
      <c r="J742">
        <v>68</v>
      </c>
      <c r="P742">
        <f t="shared" ca="1" si="45"/>
        <v>736</v>
      </c>
      <c r="Q742" t="str" cm="1">
        <f t="array" ref="Q742">_xlfn.IFS(I742&gt;=3.5,"Excellent", I742&gt;3,"Good",I742&gt;2,"Average",I742&lt;2,"Poor")</f>
        <v>Excellent</v>
      </c>
      <c r="S742" t="b">
        <f t="shared" si="46"/>
        <v>1</v>
      </c>
      <c r="U742">
        <f t="shared" si="47"/>
        <v>2023</v>
      </c>
      <c r="AA742" t="str">
        <f t="shared" ca="1" si="48"/>
        <v/>
      </c>
    </row>
    <row r="743" spans="1:27" x14ac:dyDescent="0.3">
      <c r="A743" t="s">
        <v>1507</v>
      </c>
      <c r="B743" t="s">
        <v>1508</v>
      </c>
      <c r="C743" t="s">
        <v>57</v>
      </c>
      <c r="D743" t="s">
        <v>13</v>
      </c>
      <c r="E743" s="1">
        <v>44697</v>
      </c>
      <c r="F743" t="s">
        <v>14</v>
      </c>
      <c r="G743">
        <v>6012</v>
      </c>
      <c r="H743">
        <v>965</v>
      </c>
      <c r="I743">
        <v>2.27</v>
      </c>
      <c r="J743">
        <v>50</v>
      </c>
      <c r="P743">
        <f t="shared" ca="1" si="45"/>
        <v>1155</v>
      </c>
      <c r="Q743" t="str" cm="1">
        <f t="array" ref="Q743">_xlfn.IFS(I743&gt;=3.5,"Excellent", I743&gt;3,"Good",I743&gt;2,"Average",I743&lt;2,"Poor")</f>
        <v>Average</v>
      </c>
      <c r="S743" t="str">
        <f t="shared" si="46"/>
        <v xml:space="preserve"> </v>
      </c>
      <c r="U743">
        <f t="shared" si="47"/>
        <v>2022</v>
      </c>
      <c r="AA743" t="str">
        <f t="shared" ca="1" si="48"/>
        <v/>
      </c>
    </row>
    <row r="744" spans="1:27" x14ac:dyDescent="0.3">
      <c r="A744" t="s">
        <v>1509</v>
      </c>
      <c r="B744" t="s">
        <v>1510</v>
      </c>
      <c r="C744" t="s">
        <v>25</v>
      </c>
      <c r="D744" t="s">
        <v>13</v>
      </c>
      <c r="E744" s="1">
        <v>45148</v>
      </c>
      <c r="F744" t="s">
        <v>14</v>
      </c>
      <c r="G744">
        <v>12717</v>
      </c>
      <c r="H744">
        <v>5005</v>
      </c>
      <c r="I744">
        <v>3.55</v>
      </c>
      <c r="J744">
        <v>61</v>
      </c>
      <c r="P744">
        <f t="shared" ca="1" si="45"/>
        <v>704</v>
      </c>
      <c r="Q744" t="str" cm="1">
        <f t="array" ref="Q744">_xlfn.IFS(I744&gt;=3.5,"Excellent", I744&gt;3,"Good",I744&gt;2,"Average",I744&lt;2,"Poor")</f>
        <v>Excellent</v>
      </c>
      <c r="S744" t="str">
        <f t="shared" si="46"/>
        <v xml:space="preserve"> </v>
      </c>
      <c r="U744">
        <f t="shared" si="47"/>
        <v>2023</v>
      </c>
      <c r="AA744" t="str">
        <f t="shared" ca="1" si="48"/>
        <v/>
      </c>
    </row>
    <row r="745" spans="1:27" x14ac:dyDescent="0.3">
      <c r="A745" t="s">
        <v>1511</v>
      </c>
      <c r="B745" t="s">
        <v>1512</v>
      </c>
      <c r="C745" t="s">
        <v>28</v>
      </c>
      <c r="D745" t="s">
        <v>18</v>
      </c>
      <c r="E745" s="1">
        <v>45062</v>
      </c>
      <c r="F745" t="s">
        <v>14</v>
      </c>
      <c r="G745">
        <v>5344</v>
      </c>
      <c r="H745">
        <v>2596</v>
      </c>
      <c r="I745">
        <v>2.97</v>
      </c>
      <c r="J745">
        <v>108</v>
      </c>
      <c r="P745">
        <f t="shared" ca="1" si="45"/>
        <v>790</v>
      </c>
      <c r="Q745" t="str" cm="1">
        <f t="array" ref="Q745">_xlfn.IFS(I745&gt;=3.5,"Excellent", I745&gt;3,"Good",I745&gt;2,"Average",I745&lt;2,"Poor")</f>
        <v>Average</v>
      </c>
      <c r="S745" t="str">
        <f t="shared" si="46"/>
        <v xml:space="preserve"> </v>
      </c>
      <c r="U745">
        <f t="shared" si="47"/>
        <v>2023</v>
      </c>
      <c r="AA745" t="str">
        <f t="shared" ca="1" si="48"/>
        <v/>
      </c>
    </row>
    <row r="746" spans="1:27" x14ac:dyDescent="0.3">
      <c r="A746" t="s">
        <v>1513</v>
      </c>
      <c r="B746" t="s">
        <v>1514</v>
      </c>
      <c r="C746" t="s">
        <v>54</v>
      </c>
      <c r="D746" t="s">
        <v>62</v>
      </c>
      <c r="E746" s="1">
        <v>44804</v>
      </c>
      <c r="F746" t="s">
        <v>14</v>
      </c>
      <c r="G746">
        <v>2025</v>
      </c>
      <c r="H746">
        <v>1760</v>
      </c>
      <c r="I746">
        <v>3.27</v>
      </c>
      <c r="J746">
        <v>23</v>
      </c>
      <c r="P746">
        <f t="shared" ca="1" si="45"/>
        <v>1048</v>
      </c>
      <c r="Q746" t="str" cm="1">
        <f t="array" ref="Q746">_xlfn.IFS(I746&gt;=3.5,"Excellent", I746&gt;3,"Good",I746&gt;2,"Average",I746&lt;2,"Poor")</f>
        <v>Good</v>
      </c>
      <c r="S746" t="b">
        <f t="shared" si="46"/>
        <v>1</v>
      </c>
      <c r="U746">
        <f t="shared" si="47"/>
        <v>2022</v>
      </c>
      <c r="AA746" t="str">
        <f t="shared" ca="1" si="48"/>
        <v/>
      </c>
    </row>
    <row r="747" spans="1:27" x14ac:dyDescent="0.3">
      <c r="A747" t="s">
        <v>1515</v>
      </c>
      <c r="B747" t="s">
        <v>1516</v>
      </c>
      <c r="C747" t="s">
        <v>17</v>
      </c>
      <c r="D747" t="s">
        <v>31</v>
      </c>
      <c r="E747" s="1">
        <v>44851</v>
      </c>
      <c r="F747" t="s">
        <v>14</v>
      </c>
      <c r="G747">
        <v>13185</v>
      </c>
      <c r="H747">
        <v>8241</v>
      </c>
      <c r="I747">
        <v>3.51</v>
      </c>
      <c r="J747">
        <v>55</v>
      </c>
      <c r="P747">
        <f t="shared" ca="1" si="45"/>
        <v>1001</v>
      </c>
      <c r="Q747" t="str" cm="1">
        <f t="array" ref="Q747">_xlfn.IFS(I747&gt;=3.5,"Excellent", I747&gt;3,"Good",I747&gt;2,"Average",I747&lt;2,"Poor")</f>
        <v>Excellent</v>
      </c>
      <c r="S747" t="b">
        <f t="shared" si="46"/>
        <v>1</v>
      </c>
      <c r="U747">
        <f t="shared" si="47"/>
        <v>2022</v>
      </c>
      <c r="AA747" t="str">
        <f t="shared" ca="1" si="48"/>
        <v/>
      </c>
    </row>
    <row r="748" spans="1:27" x14ac:dyDescent="0.3">
      <c r="A748" t="s">
        <v>1517</v>
      </c>
      <c r="B748" t="s">
        <v>1518</v>
      </c>
      <c r="C748" t="s">
        <v>57</v>
      </c>
      <c r="D748" t="s">
        <v>13</v>
      </c>
      <c r="E748" s="1">
        <v>45369</v>
      </c>
      <c r="F748" t="s">
        <v>14</v>
      </c>
      <c r="G748">
        <v>3683</v>
      </c>
      <c r="H748">
        <v>377</v>
      </c>
      <c r="I748">
        <v>2.8</v>
      </c>
      <c r="J748">
        <v>9</v>
      </c>
      <c r="P748">
        <f t="shared" ca="1" si="45"/>
        <v>483</v>
      </c>
      <c r="Q748" t="str" cm="1">
        <f t="array" ref="Q748">_xlfn.IFS(I748&gt;=3.5,"Excellent", I748&gt;3,"Good",I748&gt;2,"Average",I748&lt;2,"Poor")</f>
        <v>Average</v>
      </c>
      <c r="S748" t="str">
        <f t="shared" si="46"/>
        <v xml:space="preserve"> </v>
      </c>
      <c r="U748">
        <f t="shared" si="47"/>
        <v>2024</v>
      </c>
      <c r="AA748" t="str">
        <f t="shared" ca="1" si="48"/>
        <v/>
      </c>
    </row>
    <row r="749" spans="1:27" x14ac:dyDescent="0.3">
      <c r="A749" t="s">
        <v>1519</v>
      </c>
      <c r="B749" t="s">
        <v>1520</v>
      </c>
      <c r="C749" t="s">
        <v>17</v>
      </c>
      <c r="D749" t="s">
        <v>62</v>
      </c>
      <c r="E749" s="1">
        <v>45087</v>
      </c>
      <c r="F749" t="s">
        <v>14</v>
      </c>
      <c r="G749">
        <v>6337</v>
      </c>
      <c r="H749">
        <v>3748</v>
      </c>
      <c r="I749">
        <v>2.79</v>
      </c>
      <c r="J749">
        <v>38</v>
      </c>
      <c r="P749">
        <f t="shared" ca="1" si="45"/>
        <v>765</v>
      </c>
      <c r="Q749" t="str" cm="1">
        <f t="array" ref="Q749">_xlfn.IFS(I749&gt;=3.5,"Excellent", I749&gt;3,"Good",I749&gt;2,"Average",I749&lt;2,"Poor")</f>
        <v>Average</v>
      </c>
      <c r="S749" t="b">
        <f t="shared" si="46"/>
        <v>1</v>
      </c>
      <c r="U749">
        <f t="shared" si="47"/>
        <v>2023</v>
      </c>
      <c r="AA749" t="str">
        <f t="shared" ca="1" si="48"/>
        <v/>
      </c>
    </row>
    <row r="750" spans="1:27" x14ac:dyDescent="0.3">
      <c r="A750" t="s">
        <v>1521</v>
      </c>
      <c r="B750" t="s">
        <v>1522</v>
      </c>
      <c r="C750" t="s">
        <v>28</v>
      </c>
      <c r="D750" t="s">
        <v>13</v>
      </c>
      <c r="E750" s="1">
        <v>44824</v>
      </c>
      <c r="F750" t="s">
        <v>14</v>
      </c>
      <c r="G750">
        <v>10576</v>
      </c>
      <c r="H750">
        <v>4900</v>
      </c>
      <c r="I750">
        <v>3.87</v>
      </c>
      <c r="J750">
        <v>12</v>
      </c>
      <c r="P750">
        <f t="shared" ca="1" si="45"/>
        <v>1028</v>
      </c>
      <c r="Q750" t="str" cm="1">
        <f t="array" ref="Q750">_xlfn.IFS(I750&gt;=3.5,"Excellent", I750&gt;3,"Good",I750&gt;2,"Average",I750&lt;2,"Poor")</f>
        <v>Excellent</v>
      </c>
      <c r="S750" t="str">
        <f t="shared" si="46"/>
        <v xml:space="preserve"> </v>
      </c>
      <c r="U750">
        <f t="shared" si="47"/>
        <v>2022</v>
      </c>
      <c r="AA750" t="str">
        <f t="shared" ca="1" si="48"/>
        <v/>
      </c>
    </row>
    <row r="751" spans="1:27" x14ac:dyDescent="0.3">
      <c r="A751" t="s">
        <v>1523</v>
      </c>
      <c r="B751" t="s">
        <v>1524</v>
      </c>
      <c r="C751" t="s">
        <v>57</v>
      </c>
      <c r="D751" t="s">
        <v>31</v>
      </c>
      <c r="E751" s="1">
        <v>45082</v>
      </c>
      <c r="F751" t="s">
        <v>19</v>
      </c>
      <c r="G751">
        <v>13691</v>
      </c>
      <c r="H751">
        <v>883</v>
      </c>
      <c r="I751">
        <v>2.06</v>
      </c>
      <c r="J751">
        <v>76</v>
      </c>
      <c r="P751" t="str">
        <f t="shared" ca="1" si="45"/>
        <v xml:space="preserve"> </v>
      </c>
      <c r="Q751" t="str" cm="1">
        <f t="array" ref="Q751">_xlfn.IFS(I751&gt;=3.5,"Excellent", I751&gt;3,"Good",I751&gt;2,"Average",I751&lt;2,"Poor")</f>
        <v>Average</v>
      </c>
      <c r="S751" t="str">
        <f t="shared" si="46"/>
        <v xml:space="preserve"> </v>
      </c>
      <c r="U751">
        <f t="shared" si="47"/>
        <v>2023</v>
      </c>
      <c r="AA751">
        <f t="shared" ca="1" si="48"/>
        <v>770</v>
      </c>
    </row>
    <row r="752" spans="1:27" x14ac:dyDescent="0.3">
      <c r="A752" t="s">
        <v>1525</v>
      </c>
      <c r="B752" t="s">
        <v>1526</v>
      </c>
      <c r="C752" t="s">
        <v>57</v>
      </c>
      <c r="D752" t="s">
        <v>18</v>
      </c>
      <c r="E752" s="1">
        <v>45379</v>
      </c>
      <c r="F752" t="s">
        <v>14</v>
      </c>
      <c r="G752">
        <v>10341</v>
      </c>
      <c r="H752">
        <v>7548</v>
      </c>
      <c r="I752">
        <v>2.59</v>
      </c>
      <c r="J752">
        <v>55</v>
      </c>
      <c r="P752">
        <f t="shared" ca="1" si="45"/>
        <v>473</v>
      </c>
      <c r="Q752" t="str" cm="1">
        <f t="array" ref="Q752">_xlfn.IFS(I752&gt;=3.5,"Excellent", I752&gt;3,"Good",I752&gt;2,"Average",I752&lt;2,"Poor")</f>
        <v>Average</v>
      </c>
      <c r="S752" t="b">
        <f t="shared" si="46"/>
        <v>1</v>
      </c>
      <c r="U752">
        <f t="shared" si="47"/>
        <v>2024</v>
      </c>
      <c r="AA752" t="str">
        <f t="shared" ca="1" si="48"/>
        <v/>
      </c>
    </row>
    <row r="753" spans="1:27" x14ac:dyDescent="0.3">
      <c r="A753" t="s">
        <v>1527</v>
      </c>
      <c r="B753" t="s">
        <v>1528</v>
      </c>
      <c r="C753" t="s">
        <v>57</v>
      </c>
      <c r="D753" t="s">
        <v>18</v>
      </c>
      <c r="E753" s="1">
        <v>44573</v>
      </c>
      <c r="F753" t="s">
        <v>14</v>
      </c>
      <c r="G753">
        <v>6833</v>
      </c>
      <c r="H753">
        <v>3054</v>
      </c>
      <c r="I753">
        <v>3.59</v>
      </c>
      <c r="J753">
        <v>100</v>
      </c>
      <c r="P753">
        <f t="shared" ca="1" si="45"/>
        <v>1279</v>
      </c>
      <c r="Q753" t="str" cm="1">
        <f t="array" ref="Q753">_xlfn.IFS(I753&gt;=3.5,"Excellent", I753&gt;3,"Good",I753&gt;2,"Average",I753&lt;2,"Poor")</f>
        <v>Excellent</v>
      </c>
      <c r="S753" t="str">
        <f t="shared" si="46"/>
        <v xml:space="preserve"> </v>
      </c>
      <c r="U753">
        <f t="shared" si="47"/>
        <v>2022</v>
      </c>
      <c r="AA753" t="str">
        <f t="shared" ca="1" si="48"/>
        <v/>
      </c>
    </row>
    <row r="754" spans="1:27" x14ac:dyDescent="0.3">
      <c r="A754" t="s">
        <v>1529</v>
      </c>
      <c r="B754" t="s">
        <v>1530</v>
      </c>
      <c r="C754" t="s">
        <v>22</v>
      </c>
      <c r="D754" t="s">
        <v>62</v>
      </c>
      <c r="E754" s="1">
        <v>45300</v>
      </c>
      <c r="F754" t="s">
        <v>14</v>
      </c>
      <c r="G754">
        <v>11055</v>
      </c>
      <c r="H754">
        <v>9037</v>
      </c>
      <c r="I754">
        <v>3.57</v>
      </c>
      <c r="J754">
        <v>60</v>
      </c>
      <c r="P754">
        <f t="shared" ca="1" si="45"/>
        <v>552</v>
      </c>
      <c r="Q754" t="str" cm="1">
        <f t="array" ref="Q754">_xlfn.IFS(I754&gt;=3.5,"Excellent", I754&gt;3,"Good",I754&gt;2,"Average",I754&lt;2,"Poor")</f>
        <v>Excellent</v>
      </c>
      <c r="S754" t="b">
        <f t="shared" si="46"/>
        <v>1</v>
      </c>
      <c r="U754">
        <f t="shared" si="47"/>
        <v>2024</v>
      </c>
      <c r="AA754" t="str">
        <f t="shared" ca="1" si="48"/>
        <v/>
      </c>
    </row>
    <row r="755" spans="1:27" x14ac:dyDescent="0.3">
      <c r="A755" t="s">
        <v>1531</v>
      </c>
      <c r="B755" t="s">
        <v>1532</v>
      </c>
      <c r="C755" t="s">
        <v>57</v>
      </c>
      <c r="D755" t="s">
        <v>62</v>
      </c>
      <c r="E755" s="1">
        <v>44895</v>
      </c>
      <c r="F755" t="s">
        <v>14</v>
      </c>
      <c r="G755">
        <v>4932</v>
      </c>
      <c r="H755">
        <v>5140</v>
      </c>
      <c r="I755">
        <v>2.15</v>
      </c>
      <c r="J755">
        <v>16</v>
      </c>
      <c r="P755">
        <f t="shared" ca="1" si="45"/>
        <v>957</v>
      </c>
      <c r="Q755" t="str" cm="1">
        <f t="array" ref="Q755">_xlfn.IFS(I755&gt;=3.5,"Excellent", I755&gt;3,"Good",I755&gt;2,"Average",I755&lt;2,"Poor")</f>
        <v>Average</v>
      </c>
      <c r="S755" t="b">
        <f t="shared" si="46"/>
        <v>1</v>
      </c>
      <c r="U755">
        <f t="shared" si="47"/>
        <v>2022</v>
      </c>
      <c r="AA755" t="str">
        <f t="shared" ca="1" si="48"/>
        <v/>
      </c>
    </row>
    <row r="756" spans="1:27" x14ac:dyDescent="0.3">
      <c r="A756" t="s">
        <v>1533</v>
      </c>
      <c r="B756" t="s">
        <v>1534</v>
      </c>
      <c r="C756" t="s">
        <v>22</v>
      </c>
      <c r="D756" t="s">
        <v>62</v>
      </c>
      <c r="E756" s="1">
        <v>45444</v>
      </c>
      <c r="F756" t="s">
        <v>14</v>
      </c>
      <c r="G756">
        <v>11129</v>
      </c>
      <c r="H756">
        <v>7535</v>
      </c>
      <c r="I756">
        <v>2.5499999999999998</v>
      </c>
      <c r="J756">
        <v>103</v>
      </c>
      <c r="P756">
        <f t="shared" ca="1" si="45"/>
        <v>408</v>
      </c>
      <c r="Q756" t="str" cm="1">
        <f t="array" ref="Q756">_xlfn.IFS(I756&gt;=3.5,"Excellent", I756&gt;3,"Good",I756&gt;2,"Average",I756&lt;2,"Poor")</f>
        <v>Average</v>
      </c>
      <c r="S756" t="b">
        <f t="shared" si="46"/>
        <v>1</v>
      </c>
      <c r="U756">
        <f t="shared" si="47"/>
        <v>2024</v>
      </c>
      <c r="AA756" t="str">
        <f t="shared" ca="1" si="48"/>
        <v/>
      </c>
    </row>
    <row r="757" spans="1:27" x14ac:dyDescent="0.3">
      <c r="A757" t="s">
        <v>1535</v>
      </c>
      <c r="B757" t="s">
        <v>1536</v>
      </c>
      <c r="C757" t="s">
        <v>28</v>
      </c>
      <c r="D757" t="s">
        <v>13</v>
      </c>
      <c r="E757" s="1">
        <v>44862</v>
      </c>
      <c r="F757" t="s">
        <v>39</v>
      </c>
      <c r="G757">
        <v>6819</v>
      </c>
      <c r="H757">
        <v>1912</v>
      </c>
      <c r="I757">
        <v>3.5</v>
      </c>
      <c r="J757">
        <v>106</v>
      </c>
      <c r="P757" t="str">
        <f t="shared" ca="1" si="45"/>
        <v xml:space="preserve"> </v>
      </c>
      <c r="Q757" t="str" cm="1">
        <f t="array" ref="Q757">_xlfn.IFS(I757&gt;=3.5,"Excellent", I757&gt;3,"Good",I757&gt;2,"Average",I757&lt;2,"Poor")</f>
        <v>Excellent</v>
      </c>
      <c r="S757" t="str">
        <f t="shared" si="46"/>
        <v xml:space="preserve"> </v>
      </c>
      <c r="U757">
        <f t="shared" si="47"/>
        <v>2022</v>
      </c>
      <c r="AA757" t="str">
        <f t="shared" ca="1" si="48"/>
        <v/>
      </c>
    </row>
    <row r="758" spans="1:27" x14ac:dyDescent="0.3">
      <c r="A758" t="s">
        <v>1537</v>
      </c>
      <c r="B758" t="s">
        <v>1538</v>
      </c>
      <c r="C758" t="s">
        <v>28</v>
      </c>
      <c r="D758" t="s">
        <v>13</v>
      </c>
      <c r="E758" s="1">
        <v>44843</v>
      </c>
      <c r="F758" t="s">
        <v>19</v>
      </c>
      <c r="G758">
        <v>2016</v>
      </c>
      <c r="H758">
        <v>3726</v>
      </c>
      <c r="I758">
        <v>2.34</v>
      </c>
      <c r="J758">
        <v>68</v>
      </c>
      <c r="P758" t="str">
        <f t="shared" ca="1" si="45"/>
        <v xml:space="preserve"> </v>
      </c>
      <c r="Q758" t="str" cm="1">
        <f t="array" ref="Q758">_xlfn.IFS(I758&gt;=3.5,"Excellent", I758&gt;3,"Good",I758&gt;2,"Average",I758&lt;2,"Poor")</f>
        <v>Average</v>
      </c>
      <c r="S758" t="b">
        <f t="shared" si="46"/>
        <v>1</v>
      </c>
      <c r="U758">
        <f t="shared" si="47"/>
        <v>2022</v>
      </c>
      <c r="AA758">
        <f t="shared" ca="1" si="48"/>
        <v>1009</v>
      </c>
    </row>
    <row r="759" spans="1:27" x14ac:dyDescent="0.3">
      <c r="A759" t="s">
        <v>1539</v>
      </c>
      <c r="B759" t="s">
        <v>1540</v>
      </c>
      <c r="C759" t="s">
        <v>57</v>
      </c>
      <c r="D759" t="s">
        <v>31</v>
      </c>
      <c r="E759" s="1">
        <v>44686</v>
      </c>
      <c r="F759" t="s">
        <v>19</v>
      </c>
      <c r="G759">
        <v>4792</v>
      </c>
      <c r="H759">
        <v>8258</v>
      </c>
      <c r="I759">
        <v>2.34</v>
      </c>
      <c r="J759">
        <v>62</v>
      </c>
      <c r="P759" t="str">
        <f t="shared" ca="1" si="45"/>
        <v xml:space="preserve"> </v>
      </c>
      <c r="Q759" t="str" cm="1">
        <f t="array" ref="Q759">_xlfn.IFS(I759&gt;=3.5,"Excellent", I759&gt;3,"Good",I759&gt;2,"Average",I759&lt;2,"Poor")</f>
        <v>Average</v>
      </c>
      <c r="S759" t="b">
        <f t="shared" si="46"/>
        <v>1</v>
      </c>
      <c r="U759">
        <f t="shared" si="47"/>
        <v>2022</v>
      </c>
      <c r="AA759">
        <f t="shared" ca="1" si="48"/>
        <v>1166</v>
      </c>
    </row>
    <row r="760" spans="1:27" x14ac:dyDescent="0.3">
      <c r="A760" t="s">
        <v>1541</v>
      </c>
      <c r="B760" t="s">
        <v>1542</v>
      </c>
      <c r="C760" t="s">
        <v>57</v>
      </c>
      <c r="D760" t="s">
        <v>31</v>
      </c>
      <c r="E760" s="1">
        <v>44713</v>
      </c>
      <c r="F760" t="s">
        <v>19</v>
      </c>
      <c r="G760">
        <v>11623</v>
      </c>
      <c r="H760">
        <v>4266</v>
      </c>
      <c r="I760">
        <v>2.66</v>
      </c>
      <c r="J760">
        <v>104</v>
      </c>
      <c r="P760" t="str">
        <f t="shared" ca="1" si="45"/>
        <v xml:space="preserve"> </v>
      </c>
      <c r="Q760" t="str" cm="1">
        <f t="array" ref="Q760">_xlfn.IFS(I760&gt;=3.5,"Excellent", I760&gt;3,"Good",I760&gt;2,"Average",I760&lt;2,"Poor")</f>
        <v>Average</v>
      </c>
      <c r="S760" t="str">
        <f t="shared" si="46"/>
        <v xml:space="preserve"> </v>
      </c>
      <c r="U760">
        <f t="shared" si="47"/>
        <v>2022</v>
      </c>
      <c r="AA760">
        <f t="shared" ca="1" si="48"/>
        <v>1139</v>
      </c>
    </row>
    <row r="761" spans="1:27" x14ac:dyDescent="0.3">
      <c r="A761" t="s">
        <v>1543</v>
      </c>
      <c r="B761" t="s">
        <v>1544</v>
      </c>
      <c r="C761" t="s">
        <v>25</v>
      </c>
      <c r="D761" t="s">
        <v>31</v>
      </c>
      <c r="E761" s="1">
        <v>44912</v>
      </c>
      <c r="F761" t="s">
        <v>14</v>
      </c>
      <c r="G761">
        <v>8319</v>
      </c>
      <c r="H761">
        <v>8308</v>
      </c>
      <c r="I761">
        <v>2.27</v>
      </c>
      <c r="J761">
        <v>50</v>
      </c>
      <c r="P761">
        <f t="shared" ca="1" si="45"/>
        <v>940</v>
      </c>
      <c r="Q761" t="str" cm="1">
        <f t="array" ref="Q761">_xlfn.IFS(I761&gt;=3.5,"Excellent", I761&gt;3,"Good",I761&gt;2,"Average",I761&lt;2,"Poor")</f>
        <v>Average</v>
      </c>
      <c r="S761" t="b">
        <f t="shared" si="46"/>
        <v>1</v>
      </c>
      <c r="U761">
        <f t="shared" si="47"/>
        <v>2022</v>
      </c>
      <c r="AA761" t="str">
        <f t="shared" ca="1" si="48"/>
        <v/>
      </c>
    </row>
    <row r="762" spans="1:27" x14ac:dyDescent="0.3">
      <c r="A762" t="s">
        <v>1545</v>
      </c>
      <c r="B762" t="s">
        <v>1546</v>
      </c>
      <c r="C762" t="s">
        <v>12</v>
      </c>
      <c r="D762" t="s">
        <v>13</v>
      </c>
      <c r="E762" s="1">
        <v>45045</v>
      </c>
      <c r="F762" t="s">
        <v>14</v>
      </c>
      <c r="G762">
        <v>8191</v>
      </c>
      <c r="H762">
        <v>3306</v>
      </c>
      <c r="I762">
        <v>2.2400000000000002</v>
      </c>
      <c r="J762">
        <v>73</v>
      </c>
      <c r="P762">
        <f t="shared" ca="1" si="45"/>
        <v>807</v>
      </c>
      <c r="Q762" t="str" cm="1">
        <f t="array" ref="Q762">_xlfn.IFS(I762&gt;=3.5,"Excellent", I762&gt;3,"Good",I762&gt;2,"Average",I762&lt;2,"Poor")</f>
        <v>Average</v>
      </c>
      <c r="S762" t="str">
        <f t="shared" si="46"/>
        <v xml:space="preserve"> </v>
      </c>
      <c r="U762">
        <f t="shared" si="47"/>
        <v>2023</v>
      </c>
      <c r="AA762" t="str">
        <f t="shared" ca="1" si="48"/>
        <v/>
      </c>
    </row>
    <row r="763" spans="1:27" x14ac:dyDescent="0.3">
      <c r="A763" t="s">
        <v>1547</v>
      </c>
      <c r="B763" t="s">
        <v>1548</v>
      </c>
      <c r="C763" t="s">
        <v>22</v>
      </c>
      <c r="D763" t="s">
        <v>13</v>
      </c>
      <c r="E763" s="1">
        <v>44802</v>
      </c>
      <c r="F763" t="s">
        <v>14</v>
      </c>
      <c r="G763">
        <v>7244</v>
      </c>
      <c r="H763">
        <v>2886</v>
      </c>
      <c r="I763">
        <v>3.52</v>
      </c>
      <c r="J763">
        <v>57</v>
      </c>
      <c r="P763">
        <f t="shared" ca="1" si="45"/>
        <v>1050</v>
      </c>
      <c r="Q763" t="str" cm="1">
        <f t="array" ref="Q763">_xlfn.IFS(I763&gt;=3.5,"Excellent", I763&gt;3,"Good",I763&gt;2,"Average",I763&lt;2,"Poor")</f>
        <v>Excellent</v>
      </c>
      <c r="S763" t="str">
        <f t="shared" si="46"/>
        <v xml:space="preserve"> </v>
      </c>
      <c r="U763">
        <f t="shared" si="47"/>
        <v>2022</v>
      </c>
      <c r="AA763" t="str">
        <f t="shared" ca="1" si="48"/>
        <v/>
      </c>
    </row>
    <row r="764" spans="1:27" x14ac:dyDescent="0.3">
      <c r="A764" t="s">
        <v>1549</v>
      </c>
      <c r="B764" t="s">
        <v>1550</v>
      </c>
      <c r="C764" t="s">
        <v>25</v>
      </c>
      <c r="D764" t="s">
        <v>13</v>
      </c>
      <c r="E764" s="1">
        <v>44787</v>
      </c>
      <c r="F764" t="s">
        <v>14</v>
      </c>
      <c r="G764">
        <v>9367</v>
      </c>
      <c r="H764">
        <v>4635</v>
      </c>
      <c r="I764">
        <v>3.44</v>
      </c>
      <c r="J764">
        <v>74</v>
      </c>
      <c r="P764">
        <f t="shared" ca="1" si="45"/>
        <v>1065</v>
      </c>
      <c r="Q764" t="str" cm="1">
        <f t="array" ref="Q764">_xlfn.IFS(I764&gt;=3.5,"Excellent", I764&gt;3,"Good",I764&gt;2,"Average",I764&lt;2,"Poor")</f>
        <v>Good</v>
      </c>
      <c r="S764" t="str">
        <f t="shared" si="46"/>
        <v xml:space="preserve"> </v>
      </c>
      <c r="U764">
        <f t="shared" si="47"/>
        <v>2022</v>
      </c>
      <c r="AA764" t="str">
        <f t="shared" ca="1" si="48"/>
        <v/>
      </c>
    </row>
    <row r="765" spans="1:27" x14ac:dyDescent="0.3">
      <c r="A765" t="s">
        <v>1551</v>
      </c>
      <c r="B765" t="s">
        <v>1552</v>
      </c>
      <c r="C765" t="s">
        <v>25</v>
      </c>
      <c r="D765" t="s">
        <v>13</v>
      </c>
      <c r="E765" s="1">
        <v>45311</v>
      </c>
      <c r="F765" t="s">
        <v>14</v>
      </c>
      <c r="G765">
        <v>10808</v>
      </c>
      <c r="H765">
        <v>7607</v>
      </c>
      <c r="I765">
        <v>3.05</v>
      </c>
      <c r="J765">
        <v>0</v>
      </c>
      <c r="P765">
        <f t="shared" ca="1" si="45"/>
        <v>541</v>
      </c>
      <c r="Q765" t="str" cm="1">
        <f t="array" ref="Q765">_xlfn.IFS(I765&gt;=3.5,"Excellent", I765&gt;3,"Good",I765&gt;2,"Average",I765&lt;2,"Poor")</f>
        <v>Good</v>
      </c>
      <c r="S765" t="b">
        <f t="shared" si="46"/>
        <v>1</v>
      </c>
      <c r="U765">
        <f t="shared" si="47"/>
        <v>2024</v>
      </c>
      <c r="AA765" t="str">
        <f t="shared" ca="1" si="48"/>
        <v/>
      </c>
    </row>
    <row r="766" spans="1:27" x14ac:dyDescent="0.3">
      <c r="A766" t="s">
        <v>1553</v>
      </c>
      <c r="B766" t="s">
        <v>1554</v>
      </c>
      <c r="C766" t="s">
        <v>28</v>
      </c>
      <c r="D766" t="s">
        <v>13</v>
      </c>
      <c r="E766" s="1">
        <v>45003</v>
      </c>
      <c r="F766" t="s">
        <v>14</v>
      </c>
      <c r="G766">
        <v>8446</v>
      </c>
      <c r="H766">
        <v>1368</v>
      </c>
      <c r="I766">
        <v>2.1</v>
      </c>
      <c r="J766">
        <v>112</v>
      </c>
      <c r="P766">
        <f t="shared" ca="1" si="45"/>
        <v>849</v>
      </c>
      <c r="Q766" t="str" cm="1">
        <f t="array" ref="Q766">_xlfn.IFS(I766&gt;=3.5,"Excellent", I766&gt;3,"Good",I766&gt;2,"Average",I766&lt;2,"Poor")</f>
        <v>Average</v>
      </c>
      <c r="S766" t="str">
        <f t="shared" si="46"/>
        <v xml:space="preserve"> </v>
      </c>
      <c r="U766">
        <f t="shared" si="47"/>
        <v>2023</v>
      </c>
      <c r="AA766" t="str">
        <f t="shared" ca="1" si="48"/>
        <v/>
      </c>
    </row>
    <row r="767" spans="1:27" x14ac:dyDescent="0.3">
      <c r="A767" t="s">
        <v>1555</v>
      </c>
      <c r="B767" t="s">
        <v>1556</v>
      </c>
      <c r="C767" t="s">
        <v>28</v>
      </c>
      <c r="D767" t="s">
        <v>13</v>
      </c>
      <c r="E767" s="1">
        <v>45285</v>
      </c>
      <c r="F767" t="s">
        <v>14</v>
      </c>
      <c r="G767">
        <v>2490</v>
      </c>
      <c r="H767">
        <v>8720</v>
      </c>
      <c r="I767">
        <v>2.14</v>
      </c>
      <c r="J767">
        <v>12</v>
      </c>
      <c r="P767">
        <f t="shared" ca="1" si="45"/>
        <v>567</v>
      </c>
      <c r="Q767" t="str" cm="1">
        <f t="array" ref="Q767">_xlfn.IFS(I767&gt;=3.5,"Excellent", I767&gt;3,"Good",I767&gt;2,"Average",I767&lt;2,"Poor")</f>
        <v>Average</v>
      </c>
      <c r="S767" t="b">
        <f t="shared" si="46"/>
        <v>1</v>
      </c>
      <c r="U767">
        <f t="shared" si="47"/>
        <v>2023</v>
      </c>
      <c r="AA767" t="str">
        <f t="shared" ca="1" si="48"/>
        <v/>
      </c>
    </row>
    <row r="768" spans="1:27" x14ac:dyDescent="0.3">
      <c r="A768" t="s">
        <v>1557</v>
      </c>
      <c r="B768" t="s">
        <v>1558</v>
      </c>
      <c r="C768" t="s">
        <v>22</v>
      </c>
      <c r="D768" t="s">
        <v>31</v>
      </c>
      <c r="E768" s="1">
        <v>44728</v>
      </c>
      <c r="F768" t="s">
        <v>19</v>
      </c>
      <c r="G768">
        <v>11291</v>
      </c>
      <c r="H768">
        <v>3997</v>
      </c>
      <c r="I768">
        <v>2.1</v>
      </c>
      <c r="J768">
        <v>74</v>
      </c>
      <c r="P768" t="str">
        <f t="shared" ca="1" si="45"/>
        <v xml:space="preserve"> </v>
      </c>
      <c r="Q768" t="str" cm="1">
        <f t="array" ref="Q768">_xlfn.IFS(I768&gt;=3.5,"Excellent", I768&gt;3,"Good",I768&gt;2,"Average",I768&lt;2,"Poor")</f>
        <v>Average</v>
      </c>
      <c r="S768" t="str">
        <f t="shared" si="46"/>
        <v xml:space="preserve"> </v>
      </c>
      <c r="U768">
        <f t="shared" si="47"/>
        <v>2022</v>
      </c>
      <c r="AA768">
        <f t="shared" ca="1" si="48"/>
        <v>1124</v>
      </c>
    </row>
    <row r="769" spans="1:27" x14ac:dyDescent="0.3">
      <c r="A769" t="s">
        <v>1559</v>
      </c>
      <c r="B769" t="s">
        <v>1560</v>
      </c>
      <c r="C769" t="s">
        <v>28</v>
      </c>
      <c r="D769" t="s">
        <v>18</v>
      </c>
      <c r="E769" s="1">
        <v>44824</v>
      </c>
      <c r="F769" t="s">
        <v>14</v>
      </c>
      <c r="G769">
        <v>4470</v>
      </c>
      <c r="H769">
        <v>5720</v>
      </c>
      <c r="I769">
        <v>2.62</v>
      </c>
      <c r="J769">
        <v>24</v>
      </c>
      <c r="P769">
        <f t="shared" ca="1" si="45"/>
        <v>1028</v>
      </c>
      <c r="Q769" t="str" cm="1">
        <f t="array" ref="Q769">_xlfn.IFS(I769&gt;=3.5,"Excellent", I769&gt;3,"Good",I769&gt;2,"Average",I769&lt;2,"Poor")</f>
        <v>Average</v>
      </c>
      <c r="S769" t="b">
        <f t="shared" si="46"/>
        <v>1</v>
      </c>
      <c r="U769">
        <f t="shared" si="47"/>
        <v>2022</v>
      </c>
      <c r="AA769" t="str">
        <f t="shared" ca="1" si="48"/>
        <v/>
      </c>
    </row>
    <row r="770" spans="1:27" x14ac:dyDescent="0.3">
      <c r="A770" t="s">
        <v>1561</v>
      </c>
      <c r="B770" t="s">
        <v>1562</v>
      </c>
      <c r="C770" t="s">
        <v>22</v>
      </c>
      <c r="D770" t="s">
        <v>62</v>
      </c>
      <c r="E770" s="1">
        <v>45036</v>
      </c>
      <c r="F770" t="s">
        <v>39</v>
      </c>
      <c r="G770">
        <v>8068</v>
      </c>
      <c r="H770">
        <v>1190</v>
      </c>
      <c r="I770">
        <v>3.28</v>
      </c>
      <c r="J770">
        <v>39</v>
      </c>
      <c r="P770" t="str">
        <f t="shared" ca="1" si="45"/>
        <v xml:space="preserve"> </v>
      </c>
      <c r="Q770" t="str" cm="1">
        <f t="array" ref="Q770">_xlfn.IFS(I770&gt;=3.5,"Excellent", I770&gt;3,"Good",I770&gt;2,"Average",I770&lt;2,"Poor")</f>
        <v>Good</v>
      </c>
      <c r="S770" t="str">
        <f t="shared" si="46"/>
        <v xml:space="preserve"> </v>
      </c>
      <c r="U770">
        <f t="shared" si="47"/>
        <v>2023</v>
      </c>
      <c r="AA770" t="str">
        <f t="shared" ca="1" si="48"/>
        <v/>
      </c>
    </row>
    <row r="771" spans="1:27" x14ac:dyDescent="0.3">
      <c r="A771" t="s">
        <v>1563</v>
      </c>
      <c r="B771" t="s">
        <v>1564</v>
      </c>
      <c r="C771" t="s">
        <v>54</v>
      </c>
      <c r="D771" t="s">
        <v>18</v>
      </c>
      <c r="E771" s="1">
        <v>44765</v>
      </c>
      <c r="F771" t="s">
        <v>19</v>
      </c>
      <c r="G771">
        <v>2556</v>
      </c>
      <c r="H771">
        <v>3049</v>
      </c>
      <c r="I771">
        <v>3.23</v>
      </c>
      <c r="J771">
        <v>66</v>
      </c>
      <c r="P771" t="str">
        <f t="shared" ref="P771:P834" ca="1" si="49">IF(F771="Enrolled",TODAY()-E771, " ")</f>
        <v xml:space="preserve"> </v>
      </c>
      <c r="Q771" t="str" cm="1">
        <f t="array" ref="Q771">_xlfn.IFS(I771&gt;=3.5,"Excellent", I771&gt;3,"Good",I771&gt;2,"Average",I771&lt;2,"Poor")</f>
        <v>Good</v>
      </c>
      <c r="S771" t="b">
        <f t="shared" ref="S771:S834" si="50">IF(H771&gt;0.5*G771,TRUE, " " )</f>
        <v>1</v>
      </c>
      <c r="U771">
        <f t="shared" ref="U771:U834" si="51">YEAR(E771)</f>
        <v>2022</v>
      </c>
      <c r="AA771">
        <f t="shared" ref="AA771:AA834" ca="1" si="52">IF(F771="Completed",TODAY()-E771,"")</f>
        <v>1087</v>
      </c>
    </row>
    <row r="772" spans="1:27" x14ac:dyDescent="0.3">
      <c r="A772" t="s">
        <v>1565</v>
      </c>
      <c r="B772" t="s">
        <v>1566</v>
      </c>
      <c r="C772" t="s">
        <v>17</v>
      </c>
      <c r="D772" t="s">
        <v>31</v>
      </c>
      <c r="E772" s="1">
        <v>45205</v>
      </c>
      <c r="F772" t="s">
        <v>19</v>
      </c>
      <c r="G772">
        <v>13388</v>
      </c>
      <c r="H772">
        <v>4708</v>
      </c>
      <c r="I772">
        <v>2.65</v>
      </c>
      <c r="J772">
        <v>114</v>
      </c>
      <c r="P772" t="str">
        <f t="shared" ca="1" si="49"/>
        <v xml:space="preserve"> </v>
      </c>
      <c r="Q772" t="str" cm="1">
        <f t="array" ref="Q772">_xlfn.IFS(I772&gt;=3.5,"Excellent", I772&gt;3,"Good",I772&gt;2,"Average",I772&lt;2,"Poor")</f>
        <v>Average</v>
      </c>
      <c r="S772" t="str">
        <f t="shared" si="50"/>
        <v xml:space="preserve"> </v>
      </c>
      <c r="U772">
        <f t="shared" si="51"/>
        <v>2023</v>
      </c>
      <c r="AA772">
        <f t="shared" ca="1" si="52"/>
        <v>647</v>
      </c>
    </row>
    <row r="773" spans="1:27" x14ac:dyDescent="0.3">
      <c r="A773" t="s">
        <v>1567</v>
      </c>
      <c r="B773" t="s">
        <v>1568</v>
      </c>
      <c r="C773" t="s">
        <v>22</v>
      </c>
      <c r="D773" t="s">
        <v>13</v>
      </c>
      <c r="E773" s="1">
        <v>45350</v>
      </c>
      <c r="F773" t="s">
        <v>14</v>
      </c>
      <c r="G773">
        <v>8490</v>
      </c>
      <c r="H773">
        <v>5406</v>
      </c>
      <c r="I773">
        <v>3.29</v>
      </c>
      <c r="J773">
        <v>51</v>
      </c>
      <c r="P773">
        <f t="shared" ca="1" si="49"/>
        <v>502</v>
      </c>
      <c r="Q773" t="str" cm="1">
        <f t="array" ref="Q773">_xlfn.IFS(I773&gt;=3.5,"Excellent", I773&gt;3,"Good",I773&gt;2,"Average",I773&lt;2,"Poor")</f>
        <v>Good</v>
      </c>
      <c r="S773" t="b">
        <f t="shared" si="50"/>
        <v>1</v>
      </c>
      <c r="U773">
        <f t="shared" si="51"/>
        <v>2024</v>
      </c>
      <c r="AA773" t="str">
        <f t="shared" ca="1" si="52"/>
        <v/>
      </c>
    </row>
    <row r="774" spans="1:27" x14ac:dyDescent="0.3">
      <c r="A774" t="s">
        <v>1569</v>
      </c>
      <c r="B774" t="s">
        <v>1570</v>
      </c>
      <c r="C774" t="s">
        <v>17</v>
      </c>
      <c r="D774" t="s">
        <v>31</v>
      </c>
      <c r="E774" s="1">
        <v>45355</v>
      </c>
      <c r="F774" t="s">
        <v>14</v>
      </c>
      <c r="G774">
        <v>5597</v>
      </c>
      <c r="H774">
        <v>449</v>
      </c>
      <c r="I774">
        <v>3.8</v>
      </c>
      <c r="J774">
        <v>106</v>
      </c>
      <c r="P774">
        <f t="shared" ca="1" si="49"/>
        <v>497</v>
      </c>
      <c r="Q774" t="str" cm="1">
        <f t="array" ref="Q774">_xlfn.IFS(I774&gt;=3.5,"Excellent", I774&gt;3,"Good",I774&gt;2,"Average",I774&lt;2,"Poor")</f>
        <v>Excellent</v>
      </c>
      <c r="S774" t="str">
        <f t="shared" si="50"/>
        <v xml:space="preserve"> </v>
      </c>
      <c r="U774">
        <f t="shared" si="51"/>
        <v>2024</v>
      </c>
      <c r="AA774" t="str">
        <f t="shared" ca="1" si="52"/>
        <v/>
      </c>
    </row>
    <row r="775" spans="1:27" x14ac:dyDescent="0.3">
      <c r="A775" t="s">
        <v>1571</v>
      </c>
      <c r="B775" t="s">
        <v>1572</v>
      </c>
      <c r="C775" t="s">
        <v>36</v>
      </c>
      <c r="D775" t="s">
        <v>18</v>
      </c>
      <c r="E775" s="1">
        <v>44735</v>
      </c>
      <c r="F775" t="s">
        <v>19</v>
      </c>
      <c r="G775">
        <v>3334</v>
      </c>
      <c r="H775">
        <v>4265</v>
      </c>
      <c r="I775">
        <v>2.79</v>
      </c>
      <c r="J775">
        <v>49</v>
      </c>
      <c r="P775" t="str">
        <f t="shared" ca="1" si="49"/>
        <v xml:space="preserve"> </v>
      </c>
      <c r="Q775" t="str" cm="1">
        <f t="array" ref="Q775">_xlfn.IFS(I775&gt;=3.5,"Excellent", I775&gt;3,"Good",I775&gt;2,"Average",I775&lt;2,"Poor")</f>
        <v>Average</v>
      </c>
      <c r="S775" t="b">
        <f t="shared" si="50"/>
        <v>1</v>
      </c>
      <c r="U775">
        <f t="shared" si="51"/>
        <v>2022</v>
      </c>
      <c r="AA775">
        <f t="shared" ca="1" si="52"/>
        <v>1117</v>
      </c>
    </row>
    <row r="776" spans="1:27" x14ac:dyDescent="0.3">
      <c r="A776" t="s">
        <v>1573</v>
      </c>
      <c r="B776" t="s">
        <v>1574</v>
      </c>
      <c r="C776" t="s">
        <v>25</v>
      </c>
      <c r="D776" t="s">
        <v>62</v>
      </c>
      <c r="E776" s="1">
        <v>44982</v>
      </c>
      <c r="F776" t="s">
        <v>14</v>
      </c>
      <c r="G776">
        <v>5127</v>
      </c>
      <c r="H776">
        <v>1138</v>
      </c>
      <c r="I776">
        <v>2.08</v>
      </c>
      <c r="J776">
        <v>109</v>
      </c>
      <c r="P776">
        <f t="shared" ca="1" si="49"/>
        <v>870</v>
      </c>
      <c r="Q776" t="str" cm="1">
        <f t="array" ref="Q776">_xlfn.IFS(I776&gt;=3.5,"Excellent", I776&gt;3,"Good",I776&gt;2,"Average",I776&lt;2,"Poor")</f>
        <v>Average</v>
      </c>
      <c r="S776" t="str">
        <f t="shared" si="50"/>
        <v xml:space="preserve"> </v>
      </c>
      <c r="U776">
        <f t="shared" si="51"/>
        <v>2023</v>
      </c>
      <c r="AA776" t="str">
        <f t="shared" ca="1" si="52"/>
        <v/>
      </c>
    </row>
    <row r="777" spans="1:27" x14ac:dyDescent="0.3">
      <c r="A777" t="s">
        <v>1575</v>
      </c>
      <c r="B777" t="s">
        <v>1576</v>
      </c>
      <c r="C777" t="s">
        <v>17</v>
      </c>
      <c r="D777" t="s">
        <v>18</v>
      </c>
      <c r="E777" s="1">
        <v>45230</v>
      </c>
      <c r="F777" t="s">
        <v>19</v>
      </c>
      <c r="G777">
        <v>5285</v>
      </c>
      <c r="H777">
        <v>116</v>
      </c>
      <c r="I777">
        <v>2.82</v>
      </c>
      <c r="J777">
        <v>96</v>
      </c>
      <c r="P777" t="str">
        <f t="shared" ca="1" si="49"/>
        <v xml:space="preserve"> </v>
      </c>
      <c r="Q777" t="str" cm="1">
        <f t="array" ref="Q777">_xlfn.IFS(I777&gt;=3.5,"Excellent", I777&gt;3,"Good",I777&gt;2,"Average",I777&lt;2,"Poor")</f>
        <v>Average</v>
      </c>
      <c r="S777" t="str">
        <f t="shared" si="50"/>
        <v xml:space="preserve"> </v>
      </c>
      <c r="U777">
        <f t="shared" si="51"/>
        <v>2023</v>
      </c>
      <c r="AA777">
        <f t="shared" ca="1" si="52"/>
        <v>622</v>
      </c>
    </row>
    <row r="778" spans="1:27" x14ac:dyDescent="0.3">
      <c r="A778" t="s">
        <v>1577</v>
      </c>
      <c r="B778" t="s">
        <v>1578</v>
      </c>
      <c r="C778" t="s">
        <v>36</v>
      </c>
      <c r="D778" t="s">
        <v>13</v>
      </c>
      <c r="E778" s="1">
        <v>44622</v>
      </c>
      <c r="F778" t="s">
        <v>19</v>
      </c>
      <c r="G778">
        <v>13700</v>
      </c>
      <c r="H778">
        <v>9745</v>
      </c>
      <c r="I778">
        <v>3.99</v>
      </c>
      <c r="J778">
        <v>32</v>
      </c>
      <c r="P778" t="str">
        <f t="shared" ca="1" si="49"/>
        <v xml:space="preserve"> </v>
      </c>
      <c r="Q778" t="str" cm="1">
        <f t="array" ref="Q778">_xlfn.IFS(I778&gt;=3.5,"Excellent", I778&gt;3,"Good",I778&gt;2,"Average",I778&lt;2,"Poor")</f>
        <v>Excellent</v>
      </c>
      <c r="S778" t="b">
        <f t="shared" si="50"/>
        <v>1</v>
      </c>
      <c r="U778">
        <f t="shared" si="51"/>
        <v>2022</v>
      </c>
      <c r="AA778">
        <f t="shared" ca="1" si="52"/>
        <v>1230</v>
      </c>
    </row>
    <row r="779" spans="1:27" x14ac:dyDescent="0.3">
      <c r="A779" t="s">
        <v>1579</v>
      </c>
      <c r="B779" t="s">
        <v>1580</v>
      </c>
      <c r="C779" t="s">
        <v>36</v>
      </c>
      <c r="D779" t="s">
        <v>31</v>
      </c>
      <c r="E779" s="1">
        <v>45248</v>
      </c>
      <c r="F779" t="s">
        <v>19</v>
      </c>
      <c r="G779">
        <v>5236</v>
      </c>
      <c r="H779">
        <v>2559</v>
      </c>
      <c r="I779">
        <v>2.0299999999999998</v>
      </c>
      <c r="J779">
        <v>28</v>
      </c>
      <c r="P779" t="str">
        <f t="shared" ca="1" si="49"/>
        <v xml:space="preserve"> </v>
      </c>
      <c r="Q779" t="str" cm="1">
        <f t="array" ref="Q779">_xlfn.IFS(I779&gt;=3.5,"Excellent", I779&gt;3,"Good",I779&gt;2,"Average",I779&lt;2,"Poor")</f>
        <v>Average</v>
      </c>
      <c r="S779" t="str">
        <f t="shared" si="50"/>
        <v xml:space="preserve"> </v>
      </c>
      <c r="U779">
        <f t="shared" si="51"/>
        <v>2023</v>
      </c>
      <c r="AA779">
        <f t="shared" ca="1" si="52"/>
        <v>604</v>
      </c>
    </row>
    <row r="780" spans="1:27" x14ac:dyDescent="0.3">
      <c r="A780" t="s">
        <v>1581</v>
      </c>
      <c r="B780" t="s">
        <v>1582</v>
      </c>
      <c r="C780" t="s">
        <v>28</v>
      </c>
      <c r="D780" t="s">
        <v>62</v>
      </c>
      <c r="E780" s="1">
        <v>44818</v>
      </c>
      <c r="F780" t="s">
        <v>14</v>
      </c>
      <c r="G780">
        <v>14446</v>
      </c>
      <c r="H780">
        <v>6710</v>
      </c>
      <c r="I780">
        <v>3.67</v>
      </c>
      <c r="J780">
        <v>20</v>
      </c>
      <c r="P780">
        <f t="shared" ca="1" si="49"/>
        <v>1034</v>
      </c>
      <c r="Q780" t="str" cm="1">
        <f t="array" ref="Q780">_xlfn.IFS(I780&gt;=3.5,"Excellent", I780&gt;3,"Good",I780&gt;2,"Average",I780&lt;2,"Poor")</f>
        <v>Excellent</v>
      </c>
      <c r="S780" t="str">
        <f t="shared" si="50"/>
        <v xml:space="preserve"> </v>
      </c>
      <c r="U780">
        <f t="shared" si="51"/>
        <v>2022</v>
      </c>
      <c r="AA780" t="str">
        <f t="shared" ca="1" si="52"/>
        <v/>
      </c>
    </row>
    <row r="781" spans="1:27" x14ac:dyDescent="0.3">
      <c r="A781" t="s">
        <v>1583</v>
      </c>
      <c r="B781" t="s">
        <v>1584</v>
      </c>
      <c r="C781" t="s">
        <v>12</v>
      </c>
      <c r="D781" t="s">
        <v>31</v>
      </c>
      <c r="E781" s="1">
        <v>45293</v>
      </c>
      <c r="F781" t="s">
        <v>14</v>
      </c>
      <c r="G781">
        <v>9347</v>
      </c>
      <c r="H781">
        <v>931</v>
      </c>
      <c r="I781">
        <v>2.48</v>
      </c>
      <c r="J781">
        <v>77</v>
      </c>
      <c r="P781">
        <f t="shared" ca="1" si="49"/>
        <v>559</v>
      </c>
      <c r="Q781" t="str" cm="1">
        <f t="array" ref="Q781">_xlfn.IFS(I781&gt;=3.5,"Excellent", I781&gt;3,"Good",I781&gt;2,"Average",I781&lt;2,"Poor")</f>
        <v>Average</v>
      </c>
      <c r="S781" t="str">
        <f t="shared" si="50"/>
        <v xml:space="preserve"> </v>
      </c>
      <c r="U781">
        <f t="shared" si="51"/>
        <v>2024</v>
      </c>
      <c r="AA781" t="str">
        <f t="shared" ca="1" si="52"/>
        <v/>
      </c>
    </row>
    <row r="782" spans="1:27" x14ac:dyDescent="0.3">
      <c r="A782" t="s">
        <v>1585</v>
      </c>
      <c r="B782" t="s">
        <v>1586</v>
      </c>
      <c r="C782" t="s">
        <v>25</v>
      </c>
      <c r="D782" t="s">
        <v>31</v>
      </c>
      <c r="E782" s="1">
        <v>44844</v>
      </c>
      <c r="F782" t="s">
        <v>14</v>
      </c>
      <c r="G782">
        <v>7036</v>
      </c>
      <c r="H782">
        <v>8702</v>
      </c>
      <c r="I782">
        <v>2.81</v>
      </c>
      <c r="J782">
        <v>92</v>
      </c>
      <c r="P782">
        <f t="shared" ca="1" si="49"/>
        <v>1008</v>
      </c>
      <c r="Q782" t="str" cm="1">
        <f t="array" ref="Q782">_xlfn.IFS(I782&gt;=3.5,"Excellent", I782&gt;3,"Good",I782&gt;2,"Average",I782&lt;2,"Poor")</f>
        <v>Average</v>
      </c>
      <c r="S782" t="b">
        <f t="shared" si="50"/>
        <v>1</v>
      </c>
      <c r="U782">
        <f t="shared" si="51"/>
        <v>2022</v>
      </c>
      <c r="AA782" t="str">
        <f t="shared" ca="1" si="52"/>
        <v/>
      </c>
    </row>
    <row r="783" spans="1:27" x14ac:dyDescent="0.3">
      <c r="A783" t="s">
        <v>1587</v>
      </c>
      <c r="B783" t="s">
        <v>1588</v>
      </c>
      <c r="C783" t="s">
        <v>17</v>
      </c>
      <c r="D783" t="s">
        <v>13</v>
      </c>
      <c r="E783" s="1">
        <v>45196</v>
      </c>
      <c r="F783" t="s">
        <v>39</v>
      </c>
      <c r="G783">
        <v>2807</v>
      </c>
      <c r="H783">
        <v>4412</v>
      </c>
      <c r="I783">
        <v>2.1</v>
      </c>
      <c r="J783">
        <v>17</v>
      </c>
      <c r="P783" t="str">
        <f t="shared" ca="1" si="49"/>
        <v xml:space="preserve"> </v>
      </c>
      <c r="Q783" t="str" cm="1">
        <f t="array" ref="Q783">_xlfn.IFS(I783&gt;=3.5,"Excellent", I783&gt;3,"Good",I783&gt;2,"Average",I783&lt;2,"Poor")</f>
        <v>Average</v>
      </c>
      <c r="S783" t="b">
        <f t="shared" si="50"/>
        <v>1</v>
      </c>
      <c r="U783">
        <f t="shared" si="51"/>
        <v>2023</v>
      </c>
      <c r="AA783" t="str">
        <f t="shared" ca="1" si="52"/>
        <v/>
      </c>
    </row>
    <row r="784" spans="1:27" x14ac:dyDescent="0.3">
      <c r="A784" t="s">
        <v>1589</v>
      </c>
      <c r="B784" t="s">
        <v>1590</v>
      </c>
      <c r="C784" t="s">
        <v>54</v>
      </c>
      <c r="D784" t="s">
        <v>62</v>
      </c>
      <c r="E784" s="1">
        <v>44572</v>
      </c>
      <c r="F784" t="s">
        <v>19</v>
      </c>
      <c r="G784">
        <v>4713</v>
      </c>
      <c r="H784">
        <v>2905</v>
      </c>
      <c r="I784">
        <v>2.68</v>
      </c>
      <c r="J784">
        <v>83</v>
      </c>
      <c r="P784" t="str">
        <f t="shared" ca="1" si="49"/>
        <v xml:space="preserve"> </v>
      </c>
      <c r="Q784" t="str" cm="1">
        <f t="array" ref="Q784">_xlfn.IFS(I784&gt;=3.5,"Excellent", I784&gt;3,"Good",I784&gt;2,"Average",I784&lt;2,"Poor")</f>
        <v>Average</v>
      </c>
      <c r="S784" t="b">
        <f t="shared" si="50"/>
        <v>1</v>
      </c>
      <c r="U784">
        <f t="shared" si="51"/>
        <v>2022</v>
      </c>
      <c r="AA784">
        <f t="shared" ca="1" si="52"/>
        <v>1280</v>
      </c>
    </row>
    <row r="785" spans="1:27" x14ac:dyDescent="0.3">
      <c r="A785" t="s">
        <v>1591</v>
      </c>
      <c r="B785" t="s">
        <v>1592</v>
      </c>
      <c r="C785" t="s">
        <v>22</v>
      </c>
      <c r="D785" t="s">
        <v>62</v>
      </c>
      <c r="E785" s="1">
        <v>45100</v>
      </c>
      <c r="F785" t="s">
        <v>14</v>
      </c>
      <c r="G785">
        <v>8738</v>
      </c>
      <c r="H785">
        <v>8784</v>
      </c>
      <c r="I785">
        <v>3.88</v>
      </c>
      <c r="J785">
        <v>29</v>
      </c>
      <c r="P785">
        <f t="shared" ca="1" si="49"/>
        <v>752</v>
      </c>
      <c r="Q785" t="str" cm="1">
        <f t="array" ref="Q785">_xlfn.IFS(I785&gt;=3.5,"Excellent", I785&gt;3,"Good",I785&gt;2,"Average",I785&lt;2,"Poor")</f>
        <v>Excellent</v>
      </c>
      <c r="S785" t="b">
        <f t="shared" si="50"/>
        <v>1</v>
      </c>
      <c r="U785">
        <f t="shared" si="51"/>
        <v>2023</v>
      </c>
      <c r="AA785" t="str">
        <f t="shared" ca="1" si="52"/>
        <v/>
      </c>
    </row>
    <row r="786" spans="1:27" x14ac:dyDescent="0.3">
      <c r="A786" t="s">
        <v>1593</v>
      </c>
      <c r="B786" t="s">
        <v>1594</v>
      </c>
      <c r="C786" t="s">
        <v>25</v>
      </c>
      <c r="D786" t="s">
        <v>31</v>
      </c>
      <c r="E786" s="1">
        <v>45218</v>
      </c>
      <c r="F786" t="s">
        <v>14</v>
      </c>
      <c r="G786">
        <v>5873</v>
      </c>
      <c r="H786">
        <v>6663</v>
      </c>
      <c r="I786">
        <v>2.68</v>
      </c>
      <c r="J786">
        <v>60</v>
      </c>
      <c r="P786">
        <f t="shared" ca="1" si="49"/>
        <v>634</v>
      </c>
      <c r="Q786" t="str" cm="1">
        <f t="array" ref="Q786">_xlfn.IFS(I786&gt;=3.5,"Excellent", I786&gt;3,"Good",I786&gt;2,"Average",I786&lt;2,"Poor")</f>
        <v>Average</v>
      </c>
      <c r="S786" t="b">
        <f t="shared" si="50"/>
        <v>1</v>
      </c>
      <c r="U786">
        <f t="shared" si="51"/>
        <v>2023</v>
      </c>
      <c r="AA786" t="str">
        <f t="shared" ca="1" si="52"/>
        <v/>
      </c>
    </row>
    <row r="787" spans="1:27" x14ac:dyDescent="0.3">
      <c r="A787" t="s">
        <v>1595</v>
      </c>
      <c r="B787" t="s">
        <v>1596</v>
      </c>
      <c r="C787" t="s">
        <v>22</v>
      </c>
      <c r="D787" t="s">
        <v>62</v>
      </c>
      <c r="E787" s="1">
        <v>45152</v>
      </c>
      <c r="F787" t="s">
        <v>14</v>
      </c>
      <c r="G787">
        <v>2955</v>
      </c>
      <c r="H787">
        <v>3577</v>
      </c>
      <c r="I787">
        <v>3.87</v>
      </c>
      <c r="J787">
        <v>92</v>
      </c>
      <c r="P787">
        <f t="shared" ca="1" si="49"/>
        <v>700</v>
      </c>
      <c r="Q787" t="str" cm="1">
        <f t="array" ref="Q787">_xlfn.IFS(I787&gt;=3.5,"Excellent", I787&gt;3,"Good",I787&gt;2,"Average",I787&lt;2,"Poor")</f>
        <v>Excellent</v>
      </c>
      <c r="S787" t="b">
        <f t="shared" si="50"/>
        <v>1</v>
      </c>
      <c r="U787">
        <f t="shared" si="51"/>
        <v>2023</v>
      </c>
      <c r="AA787" t="str">
        <f t="shared" ca="1" si="52"/>
        <v/>
      </c>
    </row>
    <row r="788" spans="1:27" x14ac:dyDescent="0.3">
      <c r="A788" t="s">
        <v>1597</v>
      </c>
      <c r="B788" t="s">
        <v>1598</v>
      </c>
      <c r="C788" t="s">
        <v>12</v>
      </c>
      <c r="D788" t="s">
        <v>13</v>
      </c>
      <c r="E788" s="1">
        <v>45189</v>
      </c>
      <c r="F788" t="s">
        <v>19</v>
      </c>
      <c r="G788">
        <v>14511</v>
      </c>
      <c r="H788">
        <v>7022</v>
      </c>
      <c r="I788">
        <v>3.28</v>
      </c>
      <c r="J788">
        <v>66</v>
      </c>
      <c r="P788" t="str">
        <f t="shared" ca="1" si="49"/>
        <v xml:space="preserve"> </v>
      </c>
      <c r="Q788" t="str" cm="1">
        <f t="array" ref="Q788">_xlfn.IFS(I788&gt;=3.5,"Excellent", I788&gt;3,"Good",I788&gt;2,"Average",I788&lt;2,"Poor")</f>
        <v>Good</v>
      </c>
      <c r="S788" t="str">
        <f t="shared" si="50"/>
        <v xml:space="preserve"> </v>
      </c>
      <c r="U788">
        <f t="shared" si="51"/>
        <v>2023</v>
      </c>
      <c r="AA788">
        <f t="shared" ca="1" si="52"/>
        <v>663</v>
      </c>
    </row>
    <row r="789" spans="1:27" x14ac:dyDescent="0.3">
      <c r="A789" t="s">
        <v>1599</v>
      </c>
      <c r="B789" t="s">
        <v>1600</v>
      </c>
      <c r="C789" t="s">
        <v>28</v>
      </c>
      <c r="D789" t="s">
        <v>13</v>
      </c>
      <c r="E789" s="1">
        <v>45379</v>
      </c>
      <c r="F789" t="s">
        <v>14</v>
      </c>
      <c r="G789">
        <v>5957</v>
      </c>
      <c r="H789">
        <v>5173</v>
      </c>
      <c r="I789">
        <v>2.11</v>
      </c>
      <c r="J789">
        <v>76</v>
      </c>
      <c r="P789">
        <f t="shared" ca="1" si="49"/>
        <v>473</v>
      </c>
      <c r="Q789" t="str" cm="1">
        <f t="array" ref="Q789">_xlfn.IFS(I789&gt;=3.5,"Excellent", I789&gt;3,"Good",I789&gt;2,"Average",I789&lt;2,"Poor")</f>
        <v>Average</v>
      </c>
      <c r="S789" t="b">
        <f t="shared" si="50"/>
        <v>1</v>
      </c>
      <c r="U789">
        <f t="shared" si="51"/>
        <v>2024</v>
      </c>
      <c r="AA789" t="str">
        <f t="shared" ca="1" si="52"/>
        <v/>
      </c>
    </row>
    <row r="790" spans="1:27" x14ac:dyDescent="0.3">
      <c r="A790" t="s">
        <v>1601</v>
      </c>
      <c r="B790" t="s">
        <v>1602</v>
      </c>
      <c r="C790" t="s">
        <v>36</v>
      </c>
      <c r="D790" t="s">
        <v>18</v>
      </c>
      <c r="E790" s="1">
        <v>45205</v>
      </c>
      <c r="F790" t="s">
        <v>14</v>
      </c>
      <c r="G790">
        <v>12871</v>
      </c>
      <c r="H790">
        <v>6263</v>
      </c>
      <c r="I790">
        <v>2.78</v>
      </c>
      <c r="J790">
        <v>55</v>
      </c>
      <c r="P790">
        <f t="shared" ca="1" si="49"/>
        <v>647</v>
      </c>
      <c r="Q790" t="str" cm="1">
        <f t="array" ref="Q790">_xlfn.IFS(I790&gt;=3.5,"Excellent", I790&gt;3,"Good",I790&gt;2,"Average",I790&lt;2,"Poor")</f>
        <v>Average</v>
      </c>
      <c r="S790" t="str">
        <f t="shared" si="50"/>
        <v xml:space="preserve"> </v>
      </c>
      <c r="U790">
        <f t="shared" si="51"/>
        <v>2023</v>
      </c>
      <c r="AA790" t="str">
        <f t="shared" ca="1" si="52"/>
        <v/>
      </c>
    </row>
    <row r="791" spans="1:27" x14ac:dyDescent="0.3">
      <c r="A791" t="s">
        <v>1603</v>
      </c>
      <c r="B791" t="s">
        <v>1604</v>
      </c>
      <c r="C791" t="s">
        <v>25</v>
      </c>
      <c r="D791" t="s">
        <v>13</v>
      </c>
      <c r="E791" s="1">
        <v>45265</v>
      </c>
      <c r="F791" t="s">
        <v>14</v>
      </c>
      <c r="G791">
        <v>10218</v>
      </c>
      <c r="H791">
        <v>2605</v>
      </c>
      <c r="I791">
        <v>2.38</v>
      </c>
      <c r="J791">
        <v>103</v>
      </c>
      <c r="P791">
        <f t="shared" ca="1" si="49"/>
        <v>587</v>
      </c>
      <c r="Q791" t="str" cm="1">
        <f t="array" ref="Q791">_xlfn.IFS(I791&gt;=3.5,"Excellent", I791&gt;3,"Good",I791&gt;2,"Average",I791&lt;2,"Poor")</f>
        <v>Average</v>
      </c>
      <c r="S791" t="str">
        <f t="shared" si="50"/>
        <v xml:space="preserve"> </v>
      </c>
      <c r="U791">
        <f t="shared" si="51"/>
        <v>2023</v>
      </c>
      <c r="AA791" t="str">
        <f t="shared" ca="1" si="52"/>
        <v/>
      </c>
    </row>
    <row r="792" spans="1:27" x14ac:dyDescent="0.3">
      <c r="A792" t="s">
        <v>1605</v>
      </c>
      <c r="B792" t="s">
        <v>1606</v>
      </c>
      <c r="C792" t="s">
        <v>17</v>
      </c>
      <c r="D792" t="s">
        <v>13</v>
      </c>
      <c r="E792" s="1">
        <v>45233</v>
      </c>
      <c r="F792" t="s">
        <v>19</v>
      </c>
      <c r="G792">
        <v>6960</v>
      </c>
      <c r="H792">
        <v>7251</v>
      </c>
      <c r="I792">
        <v>3.64</v>
      </c>
      <c r="J792">
        <v>23</v>
      </c>
      <c r="P792" t="str">
        <f t="shared" ca="1" si="49"/>
        <v xml:space="preserve"> </v>
      </c>
      <c r="Q792" t="str" cm="1">
        <f t="array" ref="Q792">_xlfn.IFS(I792&gt;=3.5,"Excellent", I792&gt;3,"Good",I792&gt;2,"Average",I792&lt;2,"Poor")</f>
        <v>Excellent</v>
      </c>
      <c r="S792" t="b">
        <f t="shared" si="50"/>
        <v>1</v>
      </c>
      <c r="U792">
        <f t="shared" si="51"/>
        <v>2023</v>
      </c>
      <c r="AA792">
        <f t="shared" ca="1" si="52"/>
        <v>619</v>
      </c>
    </row>
    <row r="793" spans="1:27" x14ac:dyDescent="0.3">
      <c r="A793" t="s">
        <v>1607</v>
      </c>
      <c r="B793" t="s">
        <v>1608</v>
      </c>
      <c r="C793" t="s">
        <v>28</v>
      </c>
      <c r="D793" t="s">
        <v>31</v>
      </c>
      <c r="E793" s="1">
        <v>44808</v>
      </c>
      <c r="F793" t="s">
        <v>14</v>
      </c>
      <c r="G793">
        <v>6829</v>
      </c>
      <c r="H793">
        <v>4244</v>
      </c>
      <c r="I793">
        <v>3.45</v>
      </c>
      <c r="J793">
        <v>39</v>
      </c>
      <c r="P793">
        <f t="shared" ca="1" si="49"/>
        <v>1044</v>
      </c>
      <c r="Q793" t="str" cm="1">
        <f t="array" ref="Q793">_xlfn.IFS(I793&gt;=3.5,"Excellent", I793&gt;3,"Good",I793&gt;2,"Average",I793&lt;2,"Poor")</f>
        <v>Good</v>
      </c>
      <c r="S793" t="b">
        <f t="shared" si="50"/>
        <v>1</v>
      </c>
      <c r="U793">
        <f t="shared" si="51"/>
        <v>2022</v>
      </c>
      <c r="AA793" t="str">
        <f t="shared" ca="1" si="52"/>
        <v/>
      </c>
    </row>
    <row r="794" spans="1:27" x14ac:dyDescent="0.3">
      <c r="A794" t="s">
        <v>1609</v>
      </c>
      <c r="B794" t="s">
        <v>1610</v>
      </c>
      <c r="C794" t="s">
        <v>54</v>
      </c>
      <c r="D794" t="s">
        <v>18</v>
      </c>
      <c r="E794" s="1">
        <v>45444</v>
      </c>
      <c r="F794" t="s">
        <v>14</v>
      </c>
      <c r="G794">
        <v>9470</v>
      </c>
      <c r="H794">
        <v>8209</v>
      </c>
      <c r="I794">
        <v>2.23</v>
      </c>
      <c r="J794">
        <v>17</v>
      </c>
      <c r="P794">
        <f t="shared" ca="1" si="49"/>
        <v>408</v>
      </c>
      <c r="Q794" t="str" cm="1">
        <f t="array" ref="Q794">_xlfn.IFS(I794&gt;=3.5,"Excellent", I794&gt;3,"Good",I794&gt;2,"Average",I794&lt;2,"Poor")</f>
        <v>Average</v>
      </c>
      <c r="S794" t="b">
        <f t="shared" si="50"/>
        <v>1</v>
      </c>
      <c r="U794">
        <f t="shared" si="51"/>
        <v>2024</v>
      </c>
      <c r="AA794" t="str">
        <f t="shared" ca="1" si="52"/>
        <v/>
      </c>
    </row>
    <row r="795" spans="1:27" x14ac:dyDescent="0.3">
      <c r="A795" t="s">
        <v>1611</v>
      </c>
      <c r="B795" t="s">
        <v>1612</v>
      </c>
      <c r="C795" t="s">
        <v>57</v>
      </c>
      <c r="D795" t="s">
        <v>18</v>
      </c>
      <c r="E795" s="1">
        <v>44845</v>
      </c>
      <c r="F795" t="s">
        <v>19</v>
      </c>
      <c r="G795">
        <v>11385</v>
      </c>
      <c r="H795">
        <v>4400</v>
      </c>
      <c r="I795">
        <v>3.13</v>
      </c>
      <c r="J795">
        <v>103</v>
      </c>
      <c r="P795" t="str">
        <f t="shared" ca="1" si="49"/>
        <v xml:space="preserve"> </v>
      </c>
      <c r="Q795" t="str" cm="1">
        <f t="array" ref="Q795">_xlfn.IFS(I795&gt;=3.5,"Excellent", I795&gt;3,"Good",I795&gt;2,"Average",I795&lt;2,"Poor")</f>
        <v>Good</v>
      </c>
      <c r="S795" t="str">
        <f t="shared" si="50"/>
        <v xml:space="preserve"> </v>
      </c>
      <c r="U795">
        <f t="shared" si="51"/>
        <v>2022</v>
      </c>
      <c r="AA795">
        <f t="shared" ca="1" si="52"/>
        <v>1007</v>
      </c>
    </row>
    <row r="796" spans="1:27" x14ac:dyDescent="0.3">
      <c r="A796" t="s">
        <v>1613</v>
      </c>
      <c r="B796" t="s">
        <v>1614</v>
      </c>
      <c r="C796" t="s">
        <v>57</v>
      </c>
      <c r="D796" t="s">
        <v>62</v>
      </c>
      <c r="E796" s="1">
        <v>45325</v>
      </c>
      <c r="F796" t="s">
        <v>39</v>
      </c>
      <c r="G796">
        <v>6371</v>
      </c>
      <c r="H796">
        <v>1413</v>
      </c>
      <c r="I796">
        <v>2.0299999999999998</v>
      </c>
      <c r="J796">
        <v>9</v>
      </c>
      <c r="P796" t="str">
        <f t="shared" ca="1" si="49"/>
        <v xml:space="preserve"> </v>
      </c>
      <c r="Q796" t="str" cm="1">
        <f t="array" ref="Q796">_xlfn.IFS(I796&gt;=3.5,"Excellent", I796&gt;3,"Good",I796&gt;2,"Average",I796&lt;2,"Poor")</f>
        <v>Average</v>
      </c>
      <c r="S796" t="str">
        <f t="shared" si="50"/>
        <v xml:space="preserve"> </v>
      </c>
      <c r="U796">
        <f t="shared" si="51"/>
        <v>2024</v>
      </c>
      <c r="AA796" t="str">
        <f t="shared" ca="1" si="52"/>
        <v/>
      </c>
    </row>
    <row r="797" spans="1:27" x14ac:dyDescent="0.3">
      <c r="A797" t="s">
        <v>1615</v>
      </c>
      <c r="B797" t="s">
        <v>1616</v>
      </c>
      <c r="C797" t="s">
        <v>57</v>
      </c>
      <c r="D797" t="s">
        <v>13</v>
      </c>
      <c r="E797" s="1">
        <v>45188</v>
      </c>
      <c r="F797" t="s">
        <v>14</v>
      </c>
      <c r="G797">
        <v>12348</v>
      </c>
      <c r="H797">
        <v>7249</v>
      </c>
      <c r="I797">
        <v>3.99</v>
      </c>
      <c r="J797">
        <v>86</v>
      </c>
      <c r="P797">
        <f t="shared" ca="1" si="49"/>
        <v>664</v>
      </c>
      <c r="Q797" t="str" cm="1">
        <f t="array" ref="Q797">_xlfn.IFS(I797&gt;=3.5,"Excellent", I797&gt;3,"Good",I797&gt;2,"Average",I797&lt;2,"Poor")</f>
        <v>Excellent</v>
      </c>
      <c r="S797" t="b">
        <f t="shared" si="50"/>
        <v>1</v>
      </c>
      <c r="U797">
        <f t="shared" si="51"/>
        <v>2023</v>
      </c>
      <c r="AA797" t="str">
        <f t="shared" ca="1" si="52"/>
        <v/>
      </c>
    </row>
    <row r="798" spans="1:27" x14ac:dyDescent="0.3">
      <c r="A798" t="s">
        <v>1617</v>
      </c>
      <c r="B798" t="s">
        <v>1618</v>
      </c>
      <c r="C798" t="s">
        <v>25</v>
      </c>
      <c r="D798" t="s">
        <v>13</v>
      </c>
      <c r="E798" s="1">
        <v>45068</v>
      </c>
      <c r="F798" t="s">
        <v>19</v>
      </c>
      <c r="G798">
        <v>11630</v>
      </c>
      <c r="H798">
        <v>4125</v>
      </c>
      <c r="I798">
        <v>2.97</v>
      </c>
      <c r="J798">
        <v>1</v>
      </c>
      <c r="P798" t="str">
        <f t="shared" ca="1" si="49"/>
        <v xml:space="preserve"> </v>
      </c>
      <c r="Q798" t="str" cm="1">
        <f t="array" ref="Q798">_xlfn.IFS(I798&gt;=3.5,"Excellent", I798&gt;3,"Good",I798&gt;2,"Average",I798&lt;2,"Poor")</f>
        <v>Average</v>
      </c>
      <c r="S798" t="str">
        <f t="shared" si="50"/>
        <v xml:space="preserve"> </v>
      </c>
      <c r="U798">
        <f t="shared" si="51"/>
        <v>2023</v>
      </c>
      <c r="AA798">
        <f t="shared" ca="1" si="52"/>
        <v>784</v>
      </c>
    </row>
    <row r="799" spans="1:27" x14ac:dyDescent="0.3">
      <c r="A799" t="s">
        <v>1619</v>
      </c>
      <c r="B799" t="s">
        <v>1620</v>
      </c>
      <c r="C799" t="s">
        <v>25</v>
      </c>
      <c r="D799" t="s">
        <v>13</v>
      </c>
      <c r="E799" s="1">
        <v>45433</v>
      </c>
      <c r="F799" t="s">
        <v>14</v>
      </c>
      <c r="G799">
        <v>8458</v>
      </c>
      <c r="H799">
        <v>2663</v>
      </c>
      <c r="I799">
        <v>3.13</v>
      </c>
      <c r="J799">
        <v>103</v>
      </c>
      <c r="P799">
        <f t="shared" ca="1" si="49"/>
        <v>419</v>
      </c>
      <c r="Q799" t="str" cm="1">
        <f t="array" ref="Q799">_xlfn.IFS(I799&gt;=3.5,"Excellent", I799&gt;3,"Good",I799&gt;2,"Average",I799&lt;2,"Poor")</f>
        <v>Good</v>
      </c>
      <c r="S799" t="str">
        <f t="shared" si="50"/>
        <v xml:space="preserve"> </v>
      </c>
      <c r="U799">
        <f t="shared" si="51"/>
        <v>2024</v>
      </c>
      <c r="AA799" t="str">
        <f t="shared" ca="1" si="52"/>
        <v/>
      </c>
    </row>
    <row r="800" spans="1:27" x14ac:dyDescent="0.3">
      <c r="A800" t="s">
        <v>1621</v>
      </c>
      <c r="B800" t="s">
        <v>1622</v>
      </c>
      <c r="C800" t="s">
        <v>28</v>
      </c>
      <c r="D800" t="s">
        <v>62</v>
      </c>
      <c r="E800" s="1">
        <v>45258</v>
      </c>
      <c r="F800" t="s">
        <v>14</v>
      </c>
      <c r="G800">
        <v>5481</v>
      </c>
      <c r="H800">
        <v>3750</v>
      </c>
      <c r="I800">
        <v>2.04</v>
      </c>
      <c r="J800">
        <v>99</v>
      </c>
      <c r="P800">
        <f t="shared" ca="1" si="49"/>
        <v>594</v>
      </c>
      <c r="Q800" t="str" cm="1">
        <f t="array" ref="Q800">_xlfn.IFS(I800&gt;=3.5,"Excellent", I800&gt;3,"Good",I800&gt;2,"Average",I800&lt;2,"Poor")</f>
        <v>Average</v>
      </c>
      <c r="S800" t="b">
        <f t="shared" si="50"/>
        <v>1</v>
      </c>
      <c r="U800">
        <f t="shared" si="51"/>
        <v>2023</v>
      </c>
      <c r="AA800" t="str">
        <f t="shared" ca="1" si="52"/>
        <v/>
      </c>
    </row>
    <row r="801" spans="1:27" x14ac:dyDescent="0.3">
      <c r="A801" t="s">
        <v>1623</v>
      </c>
      <c r="B801" t="s">
        <v>1624</v>
      </c>
      <c r="C801" t="s">
        <v>57</v>
      </c>
      <c r="D801" t="s">
        <v>18</v>
      </c>
      <c r="E801" s="1">
        <v>44956</v>
      </c>
      <c r="F801" t="s">
        <v>14</v>
      </c>
      <c r="G801">
        <v>9827</v>
      </c>
      <c r="H801">
        <v>3072</v>
      </c>
      <c r="I801">
        <v>3.6</v>
      </c>
      <c r="J801">
        <v>9</v>
      </c>
      <c r="P801">
        <f t="shared" ca="1" si="49"/>
        <v>896</v>
      </c>
      <c r="Q801" t="str" cm="1">
        <f t="array" ref="Q801">_xlfn.IFS(I801&gt;=3.5,"Excellent", I801&gt;3,"Good",I801&gt;2,"Average",I801&lt;2,"Poor")</f>
        <v>Excellent</v>
      </c>
      <c r="S801" t="str">
        <f t="shared" si="50"/>
        <v xml:space="preserve"> </v>
      </c>
      <c r="U801">
        <f t="shared" si="51"/>
        <v>2023</v>
      </c>
      <c r="AA801" t="str">
        <f t="shared" ca="1" si="52"/>
        <v/>
      </c>
    </row>
    <row r="802" spans="1:27" x14ac:dyDescent="0.3">
      <c r="A802" t="s">
        <v>1625</v>
      </c>
      <c r="B802" t="s">
        <v>1626</v>
      </c>
      <c r="C802" t="s">
        <v>25</v>
      </c>
      <c r="D802" t="s">
        <v>13</v>
      </c>
      <c r="E802" s="1">
        <v>45213</v>
      </c>
      <c r="F802" t="s">
        <v>14</v>
      </c>
      <c r="G802">
        <v>9017</v>
      </c>
      <c r="H802">
        <v>2433</v>
      </c>
      <c r="I802">
        <v>2.5</v>
      </c>
      <c r="J802">
        <v>104</v>
      </c>
      <c r="P802">
        <f t="shared" ca="1" si="49"/>
        <v>639</v>
      </c>
      <c r="Q802" t="str" cm="1">
        <f t="array" ref="Q802">_xlfn.IFS(I802&gt;=3.5,"Excellent", I802&gt;3,"Good",I802&gt;2,"Average",I802&lt;2,"Poor")</f>
        <v>Average</v>
      </c>
      <c r="S802" t="str">
        <f t="shared" si="50"/>
        <v xml:space="preserve"> </v>
      </c>
      <c r="U802">
        <f t="shared" si="51"/>
        <v>2023</v>
      </c>
      <c r="AA802" t="str">
        <f t="shared" ca="1" si="52"/>
        <v/>
      </c>
    </row>
    <row r="803" spans="1:27" x14ac:dyDescent="0.3">
      <c r="A803" t="s">
        <v>1627</v>
      </c>
      <c r="B803" t="s">
        <v>1628</v>
      </c>
      <c r="C803" t="s">
        <v>12</v>
      </c>
      <c r="D803" t="s">
        <v>31</v>
      </c>
      <c r="E803" s="1">
        <v>44979</v>
      </c>
      <c r="F803" t="s">
        <v>14</v>
      </c>
      <c r="G803">
        <v>7088</v>
      </c>
      <c r="H803">
        <v>1865</v>
      </c>
      <c r="I803">
        <v>3.1</v>
      </c>
      <c r="J803">
        <v>13</v>
      </c>
      <c r="P803">
        <f t="shared" ca="1" si="49"/>
        <v>873</v>
      </c>
      <c r="Q803" t="str" cm="1">
        <f t="array" ref="Q803">_xlfn.IFS(I803&gt;=3.5,"Excellent", I803&gt;3,"Good",I803&gt;2,"Average",I803&lt;2,"Poor")</f>
        <v>Good</v>
      </c>
      <c r="S803" t="str">
        <f t="shared" si="50"/>
        <v xml:space="preserve"> </v>
      </c>
      <c r="U803">
        <f t="shared" si="51"/>
        <v>2023</v>
      </c>
      <c r="AA803" t="str">
        <f t="shared" ca="1" si="52"/>
        <v/>
      </c>
    </row>
    <row r="804" spans="1:27" x14ac:dyDescent="0.3">
      <c r="A804" t="s">
        <v>1629</v>
      </c>
      <c r="B804" t="s">
        <v>1630</v>
      </c>
      <c r="C804" t="s">
        <v>57</v>
      </c>
      <c r="D804" t="s">
        <v>18</v>
      </c>
      <c r="E804" s="1">
        <v>45219</v>
      </c>
      <c r="F804" t="s">
        <v>14</v>
      </c>
      <c r="G804">
        <v>6708</v>
      </c>
      <c r="H804">
        <v>3378</v>
      </c>
      <c r="I804">
        <v>2.4500000000000002</v>
      </c>
      <c r="J804">
        <v>116</v>
      </c>
      <c r="P804">
        <f t="shared" ca="1" si="49"/>
        <v>633</v>
      </c>
      <c r="Q804" t="str" cm="1">
        <f t="array" ref="Q804">_xlfn.IFS(I804&gt;=3.5,"Excellent", I804&gt;3,"Good",I804&gt;2,"Average",I804&lt;2,"Poor")</f>
        <v>Average</v>
      </c>
      <c r="S804" t="b">
        <f t="shared" si="50"/>
        <v>1</v>
      </c>
      <c r="U804">
        <f t="shared" si="51"/>
        <v>2023</v>
      </c>
      <c r="AA804" t="str">
        <f t="shared" ca="1" si="52"/>
        <v/>
      </c>
    </row>
    <row r="805" spans="1:27" x14ac:dyDescent="0.3">
      <c r="A805" t="s">
        <v>1631</v>
      </c>
      <c r="B805" t="s">
        <v>1632</v>
      </c>
      <c r="C805" t="s">
        <v>57</v>
      </c>
      <c r="D805" t="s">
        <v>62</v>
      </c>
      <c r="E805" s="1">
        <v>44854</v>
      </c>
      <c r="F805" t="s">
        <v>14</v>
      </c>
      <c r="G805">
        <v>8649</v>
      </c>
      <c r="H805">
        <v>259</v>
      </c>
      <c r="I805">
        <v>3.8</v>
      </c>
      <c r="J805">
        <v>104</v>
      </c>
      <c r="P805">
        <f t="shared" ca="1" si="49"/>
        <v>998</v>
      </c>
      <c r="Q805" t="str" cm="1">
        <f t="array" ref="Q805">_xlfn.IFS(I805&gt;=3.5,"Excellent", I805&gt;3,"Good",I805&gt;2,"Average",I805&lt;2,"Poor")</f>
        <v>Excellent</v>
      </c>
      <c r="S805" t="str">
        <f t="shared" si="50"/>
        <v xml:space="preserve"> </v>
      </c>
      <c r="U805">
        <f t="shared" si="51"/>
        <v>2022</v>
      </c>
      <c r="AA805" t="str">
        <f t="shared" ca="1" si="52"/>
        <v/>
      </c>
    </row>
    <row r="806" spans="1:27" x14ac:dyDescent="0.3">
      <c r="A806" t="s">
        <v>1633</v>
      </c>
      <c r="B806" t="s">
        <v>1634</v>
      </c>
      <c r="C806" t="s">
        <v>28</v>
      </c>
      <c r="D806" t="s">
        <v>13</v>
      </c>
      <c r="E806" s="1">
        <v>45034</v>
      </c>
      <c r="F806" t="s">
        <v>14</v>
      </c>
      <c r="G806">
        <v>14403</v>
      </c>
      <c r="H806">
        <v>6794</v>
      </c>
      <c r="I806">
        <v>3.08</v>
      </c>
      <c r="J806">
        <v>12</v>
      </c>
      <c r="P806">
        <f t="shared" ca="1" si="49"/>
        <v>818</v>
      </c>
      <c r="Q806" t="str" cm="1">
        <f t="array" ref="Q806">_xlfn.IFS(I806&gt;=3.5,"Excellent", I806&gt;3,"Good",I806&gt;2,"Average",I806&lt;2,"Poor")</f>
        <v>Good</v>
      </c>
      <c r="S806" t="str">
        <f t="shared" si="50"/>
        <v xml:space="preserve"> </v>
      </c>
      <c r="U806">
        <f t="shared" si="51"/>
        <v>2023</v>
      </c>
      <c r="AA806" t="str">
        <f t="shared" ca="1" si="52"/>
        <v/>
      </c>
    </row>
    <row r="807" spans="1:27" x14ac:dyDescent="0.3">
      <c r="A807" t="s">
        <v>1635</v>
      </c>
      <c r="B807" t="s">
        <v>1636</v>
      </c>
      <c r="C807" t="s">
        <v>25</v>
      </c>
      <c r="D807" t="s">
        <v>31</v>
      </c>
      <c r="E807" s="1">
        <v>45314</v>
      </c>
      <c r="F807" t="s">
        <v>14</v>
      </c>
      <c r="G807">
        <v>6558</v>
      </c>
      <c r="H807">
        <v>1313</v>
      </c>
      <c r="I807">
        <v>3.07</v>
      </c>
      <c r="J807">
        <v>41</v>
      </c>
      <c r="P807">
        <f t="shared" ca="1" si="49"/>
        <v>538</v>
      </c>
      <c r="Q807" t="str" cm="1">
        <f t="array" ref="Q807">_xlfn.IFS(I807&gt;=3.5,"Excellent", I807&gt;3,"Good",I807&gt;2,"Average",I807&lt;2,"Poor")</f>
        <v>Good</v>
      </c>
      <c r="S807" t="str">
        <f t="shared" si="50"/>
        <v xml:space="preserve"> </v>
      </c>
      <c r="U807">
        <f t="shared" si="51"/>
        <v>2024</v>
      </c>
      <c r="AA807" t="str">
        <f t="shared" ca="1" si="52"/>
        <v/>
      </c>
    </row>
    <row r="808" spans="1:27" x14ac:dyDescent="0.3">
      <c r="A808" t="s">
        <v>1637</v>
      </c>
      <c r="B808" t="s">
        <v>1638</v>
      </c>
      <c r="C808" t="s">
        <v>57</v>
      </c>
      <c r="D808" t="s">
        <v>31</v>
      </c>
      <c r="E808" s="1">
        <v>44871</v>
      </c>
      <c r="F808" t="s">
        <v>14</v>
      </c>
      <c r="G808">
        <v>9997</v>
      </c>
      <c r="H808">
        <v>9046</v>
      </c>
      <c r="I808">
        <v>3.18</v>
      </c>
      <c r="J808">
        <v>31</v>
      </c>
      <c r="P808">
        <f t="shared" ca="1" si="49"/>
        <v>981</v>
      </c>
      <c r="Q808" t="str" cm="1">
        <f t="array" ref="Q808">_xlfn.IFS(I808&gt;=3.5,"Excellent", I808&gt;3,"Good",I808&gt;2,"Average",I808&lt;2,"Poor")</f>
        <v>Good</v>
      </c>
      <c r="S808" t="b">
        <f t="shared" si="50"/>
        <v>1</v>
      </c>
      <c r="U808">
        <f t="shared" si="51"/>
        <v>2022</v>
      </c>
      <c r="AA808" t="str">
        <f t="shared" ca="1" si="52"/>
        <v/>
      </c>
    </row>
    <row r="809" spans="1:27" x14ac:dyDescent="0.3">
      <c r="A809" t="s">
        <v>1639</v>
      </c>
      <c r="B809" t="s">
        <v>1640</v>
      </c>
      <c r="C809" t="s">
        <v>28</v>
      </c>
      <c r="D809" t="s">
        <v>62</v>
      </c>
      <c r="E809" s="1">
        <v>45381</v>
      </c>
      <c r="F809" t="s">
        <v>14</v>
      </c>
      <c r="G809">
        <v>2195</v>
      </c>
      <c r="H809">
        <v>5801</v>
      </c>
      <c r="I809">
        <v>3.09</v>
      </c>
      <c r="J809">
        <v>29</v>
      </c>
      <c r="P809">
        <f t="shared" ca="1" si="49"/>
        <v>471</v>
      </c>
      <c r="Q809" t="str" cm="1">
        <f t="array" ref="Q809">_xlfn.IFS(I809&gt;=3.5,"Excellent", I809&gt;3,"Good",I809&gt;2,"Average",I809&lt;2,"Poor")</f>
        <v>Good</v>
      </c>
      <c r="S809" t="b">
        <f t="shared" si="50"/>
        <v>1</v>
      </c>
      <c r="U809">
        <f t="shared" si="51"/>
        <v>2024</v>
      </c>
      <c r="AA809" t="str">
        <f t="shared" ca="1" si="52"/>
        <v/>
      </c>
    </row>
    <row r="810" spans="1:27" x14ac:dyDescent="0.3">
      <c r="A810" t="s">
        <v>1641</v>
      </c>
      <c r="B810" t="s">
        <v>1642</v>
      </c>
      <c r="C810" t="s">
        <v>22</v>
      </c>
      <c r="D810" t="s">
        <v>13</v>
      </c>
      <c r="E810" s="1">
        <v>44579</v>
      </c>
      <c r="F810" t="s">
        <v>14</v>
      </c>
      <c r="G810">
        <v>5342</v>
      </c>
      <c r="H810">
        <v>8331</v>
      </c>
      <c r="I810">
        <v>2.34</v>
      </c>
      <c r="J810">
        <v>28</v>
      </c>
      <c r="P810">
        <f t="shared" ca="1" si="49"/>
        <v>1273</v>
      </c>
      <c r="Q810" t="str" cm="1">
        <f t="array" ref="Q810">_xlfn.IFS(I810&gt;=3.5,"Excellent", I810&gt;3,"Good",I810&gt;2,"Average",I810&lt;2,"Poor")</f>
        <v>Average</v>
      </c>
      <c r="S810" t="b">
        <f t="shared" si="50"/>
        <v>1</v>
      </c>
      <c r="U810">
        <f t="shared" si="51"/>
        <v>2022</v>
      </c>
      <c r="AA810" t="str">
        <f t="shared" ca="1" si="52"/>
        <v/>
      </c>
    </row>
    <row r="811" spans="1:27" x14ac:dyDescent="0.3">
      <c r="A811" t="s">
        <v>1643</v>
      </c>
      <c r="B811" t="s">
        <v>1644</v>
      </c>
      <c r="C811" t="s">
        <v>57</v>
      </c>
      <c r="D811" t="s">
        <v>13</v>
      </c>
      <c r="E811" s="1">
        <v>44631</v>
      </c>
      <c r="F811" t="s">
        <v>19</v>
      </c>
      <c r="G811">
        <v>8312</v>
      </c>
      <c r="H811">
        <v>1608</v>
      </c>
      <c r="I811">
        <v>2.66</v>
      </c>
      <c r="J811">
        <v>60</v>
      </c>
      <c r="P811" t="str">
        <f t="shared" ca="1" si="49"/>
        <v xml:space="preserve"> </v>
      </c>
      <c r="Q811" t="str" cm="1">
        <f t="array" ref="Q811">_xlfn.IFS(I811&gt;=3.5,"Excellent", I811&gt;3,"Good",I811&gt;2,"Average",I811&lt;2,"Poor")</f>
        <v>Average</v>
      </c>
      <c r="S811" t="str">
        <f t="shared" si="50"/>
        <v xml:space="preserve"> </v>
      </c>
      <c r="U811">
        <f t="shared" si="51"/>
        <v>2022</v>
      </c>
      <c r="AA811">
        <f t="shared" ca="1" si="52"/>
        <v>1221</v>
      </c>
    </row>
    <row r="812" spans="1:27" x14ac:dyDescent="0.3">
      <c r="A812" t="s">
        <v>1645</v>
      </c>
      <c r="B812" t="s">
        <v>1646</v>
      </c>
      <c r="C812" t="s">
        <v>25</v>
      </c>
      <c r="D812" t="s">
        <v>13</v>
      </c>
      <c r="E812" s="1">
        <v>44781</v>
      </c>
      <c r="F812" t="s">
        <v>14</v>
      </c>
      <c r="G812">
        <v>11533</v>
      </c>
      <c r="H812">
        <v>3137</v>
      </c>
      <c r="I812">
        <v>3.99</v>
      </c>
      <c r="J812">
        <v>102</v>
      </c>
      <c r="P812">
        <f t="shared" ca="1" si="49"/>
        <v>1071</v>
      </c>
      <c r="Q812" t="str" cm="1">
        <f t="array" ref="Q812">_xlfn.IFS(I812&gt;=3.5,"Excellent", I812&gt;3,"Good",I812&gt;2,"Average",I812&lt;2,"Poor")</f>
        <v>Excellent</v>
      </c>
      <c r="S812" t="str">
        <f t="shared" si="50"/>
        <v xml:space="preserve"> </v>
      </c>
      <c r="U812">
        <f t="shared" si="51"/>
        <v>2022</v>
      </c>
      <c r="AA812" t="str">
        <f t="shared" ca="1" si="52"/>
        <v/>
      </c>
    </row>
    <row r="813" spans="1:27" x14ac:dyDescent="0.3">
      <c r="A813" t="s">
        <v>1647</v>
      </c>
      <c r="B813" t="s">
        <v>1648</v>
      </c>
      <c r="C813" t="s">
        <v>12</v>
      </c>
      <c r="D813" t="s">
        <v>18</v>
      </c>
      <c r="E813" s="1">
        <v>44922</v>
      </c>
      <c r="F813" t="s">
        <v>14</v>
      </c>
      <c r="G813">
        <v>13511</v>
      </c>
      <c r="H813">
        <v>5464</v>
      </c>
      <c r="I813">
        <v>3.98</v>
      </c>
      <c r="J813">
        <v>28</v>
      </c>
      <c r="P813">
        <f t="shared" ca="1" si="49"/>
        <v>930</v>
      </c>
      <c r="Q813" t="str" cm="1">
        <f t="array" ref="Q813">_xlfn.IFS(I813&gt;=3.5,"Excellent", I813&gt;3,"Good",I813&gt;2,"Average",I813&lt;2,"Poor")</f>
        <v>Excellent</v>
      </c>
      <c r="S813" t="str">
        <f t="shared" si="50"/>
        <v xml:space="preserve"> </v>
      </c>
      <c r="U813">
        <f t="shared" si="51"/>
        <v>2022</v>
      </c>
      <c r="AA813" t="str">
        <f t="shared" ca="1" si="52"/>
        <v/>
      </c>
    </row>
    <row r="814" spans="1:27" x14ac:dyDescent="0.3">
      <c r="A814" t="s">
        <v>1649</v>
      </c>
      <c r="B814" t="s">
        <v>1650</v>
      </c>
      <c r="C814" t="s">
        <v>22</v>
      </c>
      <c r="D814" t="s">
        <v>18</v>
      </c>
      <c r="E814" s="1">
        <v>44898</v>
      </c>
      <c r="F814" t="s">
        <v>14</v>
      </c>
      <c r="G814">
        <v>14695</v>
      </c>
      <c r="H814">
        <v>6199</v>
      </c>
      <c r="I814">
        <v>3.67</v>
      </c>
      <c r="J814">
        <v>22</v>
      </c>
      <c r="P814">
        <f t="shared" ca="1" si="49"/>
        <v>954</v>
      </c>
      <c r="Q814" t="str" cm="1">
        <f t="array" ref="Q814">_xlfn.IFS(I814&gt;=3.5,"Excellent", I814&gt;3,"Good",I814&gt;2,"Average",I814&lt;2,"Poor")</f>
        <v>Excellent</v>
      </c>
      <c r="S814" t="str">
        <f t="shared" si="50"/>
        <v xml:space="preserve"> </v>
      </c>
      <c r="U814">
        <f t="shared" si="51"/>
        <v>2022</v>
      </c>
      <c r="AA814" t="str">
        <f t="shared" ca="1" si="52"/>
        <v/>
      </c>
    </row>
    <row r="815" spans="1:27" x14ac:dyDescent="0.3">
      <c r="A815" t="s">
        <v>1651</v>
      </c>
      <c r="B815" t="s">
        <v>1652</v>
      </c>
      <c r="C815" t="s">
        <v>36</v>
      </c>
      <c r="D815" t="s">
        <v>31</v>
      </c>
      <c r="E815" s="1">
        <v>44810</v>
      </c>
      <c r="F815" t="s">
        <v>14</v>
      </c>
      <c r="G815">
        <v>4571</v>
      </c>
      <c r="H815">
        <v>8871</v>
      </c>
      <c r="I815">
        <v>2.04</v>
      </c>
      <c r="J815">
        <v>94</v>
      </c>
      <c r="P815">
        <f t="shared" ca="1" si="49"/>
        <v>1042</v>
      </c>
      <c r="Q815" t="str" cm="1">
        <f t="array" ref="Q815">_xlfn.IFS(I815&gt;=3.5,"Excellent", I815&gt;3,"Good",I815&gt;2,"Average",I815&lt;2,"Poor")</f>
        <v>Average</v>
      </c>
      <c r="S815" t="b">
        <f t="shared" si="50"/>
        <v>1</v>
      </c>
      <c r="U815">
        <f t="shared" si="51"/>
        <v>2022</v>
      </c>
      <c r="AA815" t="str">
        <f t="shared" ca="1" si="52"/>
        <v/>
      </c>
    </row>
    <row r="816" spans="1:27" x14ac:dyDescent="0.3">
      <c r="A816" t="s">
        <v>1653</v>
      </c>
      <c r="B816" t="s">
        <v>1654</v>
      </c>
      <c r="C816" t="s">
        <v>12</v>
      </c>
      <c r="D816" t="s">
        <v>31</v>
      </c>
      <c r="E816" s="1">
        <v>44644</v>
      </c>
      <c r="F816" t="s">
        <v>19</v>
      </c>
      <c r="G816">
        <v>12837</v>
      </c>
      <c r="H816">
        <v>5084</v>
      </c>
      <c r="I816">
        <v>3.1</v>
      </c>
      <c r="J816">
        <v>37</v>
      </c>
      <c r="P816" t="str">
        <f t="shared" ca="1" si="49"/>
        <v xml:space="preserve"> </v>
      </c>
      <c r="Q816" t="str" cm="1">
        <f t="array" ref="Q816">_xlfn.IFS(I816&gt;=3.5,"Excellent", I816&gt;3,"Good",I816&gt;2,"Average",I816&lt;2,"Poor")</f>
        <v>Good</v>
      </c>
      <c r="S816" t="str">
        <f t="shared" si="50"/>
        <v xml:space="preserve"> </v>
      </c>
      <c r="U816">
        <f t="shared" si="51"/>
        <v>2022</v>
      </c>
      <c r="AA816">
        <f t="shared" ca="1" si="52"/>
        <v>1208</v>
      </c>
    </row>
    <row r="817" spans="1:27" x14ac:dyDescent="0.3">
      <c r="A817" t="s">
        <v>1655</v>
      </c>
      <c r="B817" t="s">
        <v>1656</v>
      </c>
      <c r="C817" t="s">
        <v>28</v>
      </c>
      <c r="D817" t="s">
        <v>13</v>
      </c>
      <c r="E817" s="1">
        <v>45434</v>
      </c>
      <c r="F817" t="s">
        <v>19</v>
      </c>
      <c r="G817">
        <v>3199</v>
      </c>
      <c r="H817">
        <v>5772</v>
      </c>
      <c r="I817">
        <v>2.14</v>
      </c>
      <c r="J817">
        <v>5</v>
      </c>
      <c r="P817" t="str">
        <f t="shared" ca="1" si="49"/>
        <v xml:space="preserve"> </v>
      </c>
      <c r="Q817" t="str" cm="1">
        <f t="array" ref="Q817">_xlfn.IFS(I817&gt;=3.5,"Excellent", I817&gt;3,"Good",I817&gt;2,"Average",I817&lt;2,"Poor")</f>
        <v>Average</v>
      </c>
      <c r="S817" t="b">
        <f t="shared" si="50"/>
        <v>1</v>
      </c>
      <c r="U817">
        <f t="shared" si="51"/>
        <v>2024</v>
      </c>
      <c r="AA817">
        <f t="shared" ca="1" si="52"/>
        <v>418</v>
      </c>
    </row>
    <row r="818" spans="1:27" x14ac:dyDescent="0.3">
      <c r="A818" t="s">
        <v>1657</v>
      </c>
      <c r="B818" t="s">
        <v>1658</v>
      </c>
      <c r="C818" t="s">
        <v>12</v>
      </c>
      <c r="D818" t="s">
        <v>31</v>
      </c>
      <c r="E818" s="1">
        <v>45414</v>
      </c>
      <c r="F818" t="s">
        <v>19</v>
      </c>
      <c r="G818">
        <v>2199</v>
      </c>
      <c r="H818">
        <v>5986</v>
      </c>
      <c r="I818">
        <v>3.13</v>
      </c>
      <c r="J818">
        <v>33</v>
      </c>
      <c r="P818" t="str">
        <f t="shared" ca="1" si="49"/>
        <v xml:space="preserve"> </v>
      </c>
      <c r="Q818" t="str" cm="1">
        <f t="array" ref="Q818">_xlfn.IFS(I818&gt;=3.5,"Excellent", I818&gt;3,"Good",I818&gt;2,"Average",I818&lt;2,"Poor")</f>
        <v>Good</v>
      </c>
      <c r="S818" t="b">
        <f t="shared" si="50"/>
        <v>1</v>
      </c>
      <c r="U818">
        <f t="shared" si="51"/>
        <v>2024</v>
      </c>
      <c r="AA818">
        <f t="shared" ca="1" si="52"/>
        <v>438</v>
      </c>
    </row>
    <row r="819" spans="1:27" x14ac:dyDescent="0.3">
      <c r="A819" t="s">
        <v>1659</v>
      </c>
      <c r="B819" t="s">
        <v>1660</v>
      </c>
      <c r="C819" t="s">
        <v>28</v>
      </c>
      <c r="D819" t="s">
        <v>31</v>
      </c>
      <c r="E819" s="1">
        <v>45384</v>
      </c>
      <c r="F819" t="s">
        <v>19</v>
      </c>
      <c r="G819">
        <v>2150</v>
      </c>
      <c r="H819">
        <v>6873</v>
      </c>
      <c r="I819">
        <v>2.11</v>
      </c>
      <c r="J819">
        <v>23</v>
      </c>
      <c r="P819" t="str">
        <f t="shared" ca="1" si="49"/>
        <v xml:space="preserve"> </v>
      </c>
      <c r="Q819" t="str" cm="1">
        <f t="array" ref="Q819">_xlfn.IFS(I819&gt;=3.5,"Excellent", I819&gt;3,"Good",I819&gt;2,"Average",I819&lt;2,"Poor")</f>
        <v>Average</v>
      </c>
      <c r="S819" t="b">
        <f t="shared" si="50"/>
        <v>1</v>
      </c>
      <c r="U819">
        <f t="shared" si="51"/>
        <v>2024</v>
      </c>
      <c r="AA819">
        <f t="shared" ca="1" si="52"/>
        <v>468</v>
      </c>
    </row>
    <row r="820" spans="1:27" x14ac:dyDescent="0.3">
      <c r="A820" t="s">
        <v>1661</v>
      </c>
      <c r="B820" t="s">
        <v>1662</v>
      </c>
      <c r="C820" t="s">
        <v>17</v>
      </c>
      <c r="D820" t="s">
        <v>62</v>
      </c>
      <c r="E820" s="1">
        <v>45461</v>
      </c>
      <c r="F820" t="s">
        <v>39</v>
      </c>
      <c r="G820">
        <v>9905</v>
      </c>
      <c r="H820">
        <v>6715</v>
      </c>
      <c r="I820">
        <v>2.12</v>
      </c>
      <c r="J820">
        <v>101</v>
      </c>
      <c r="P820" t="str">
        <f t="shared" ca="1" si="49"/>
        <v xml:space="preserve"> </v>
      </c>
      <c r="Q820" t="str" cm="1">
        <f t="array" ref="Q820">_xlfn.IFS(I820&gt;=3.5,"Excellent", I820&gt;3,"Good",I820&gt;2,"Average",I820&lt;2,"Poor")</f>
        <v>Average</v>
      </c>
      <c r="S820" t="b">
        <f t="shared" si="50"/>
        <v>1</v>
      </c>
      <c r="U820">
        <f t="shared" si="51"/>
        <v>2024</v>
      </c>
      <c r="AA820" t="str">
        <f t="shared" ca="1" si="52"/>
        <v/>
      </c>
    </row>
    <row r="821" spans="1:27" x14ac:dyDescent="0.3">
      <c r="A821" t="s">
        <v>1663</v>
      </c>
      <c r="B821" t="s">
        <v>1664</v>
      </c>
      <c r="C821" t="s">
        <v>12</v>
      </c>
      <c r="D821" t="s">
        <v>62</v>
      </c>
      <c r="E821" s="1">
        <v>44841</v>
      </c>
      <c r="F821" t="s">
        <v>14</v>
      </c>
      <c r="G821">
        <v>2124</v>
      </c>
      <c r="H821">
        <v>464</v>
      </c>
      <c r="I821">
        <v>3.19</v>
      </c>
      <c r="J821">
        <v>39</v>
      </c>
      <c r="P821">
        <f t="shared" ca="1" si="49"/>
        <v>1011</v>
      </c>
      <c r="Q821" t="str" cm="1">
        <f t="array" ref="Q821">_xlfn.IFS(I821&gt;=3.5,"Excellent", I821&gt;3,"Good",I821&gt;2,"Average",I821&lt;2,"Poor")</f>
        <v>Good</v>
      </c>
      <c r="S821" t="str">
        <f t="shared" si="50"/>
        <v xml:space="preserve"> </v>
      </c>
      <c r="U821">
        <f t="shared" si="51"/>
        <v>2022</v>
      </c>
      <c r="AA821" t="str">
        <f t="shared" ca="1" si="52"/>
        <v/>
      </c>
    </row>
    <row r="822" spans="1:27" x14ac:dyDescent="0.3">
      <c r="A822" t="s">
        <v>1665</v>
      </c>
      <c r="B822" t="s">
        <v>1666</v>
      </c>
      <c r="C822" t="s">
        <v>57</v>
      </c>
      <c r="D822" t="s">
        <v>13</v>
      </c>
      <c r="E822" s="1">
        <v>45432</v>
      </c>
      <c r="F822" t="s">
        <v>14</v>
      </c>
      <c r="G822">
        <v>2690</v>
      </c>
      <c r="H822">
        <v>7185</v>
      </c>
      <c r="I822">
        <v>2.06</v>
      </c>
      <c r="J822">
        <v>15</v>
      </c>
      <c r="P822">
        <f t="shared" ca="1" si="49"/>
        <v>420</v>
      </c>
      <c r="Q822" t="str" cm="1">
        <f t="array" ref="Q822">_xlfn.IFS(I822&gt;=3.5,"Excellent", I822&gt;3,"Good",I822&gt;2,"Average",I822&lt;2,"Poor")</f>
        <v>Average</v>
      </c>
      <c r="S822" t="b">
        <f t="shared" si="50"/>
        <v>1</v>
      </c>
      <c r="U822">
        <f t="shared" si="51"/>
        <v>2024</v>
      </c>
      <c r="AA822" t="str">
        <f t="shared" ca="1" si="52"/>
        <v/>
      </c>
    </row>
    <row r="823" spans="1:27" x14ac:dyDescent="0.3">
      <c r="A823" t="s">
        <v>1667</v>
      </c>
      <c r="B823" t="s">
        <v>1668</v>
      </c>
      <c r="C823" t="s">
        <v>57</v>
      </c>
      <c r="D823" t="s">
        <v>62</v>
      </c>
      <c r="E823" s="1">
        <v>44770</v>
      </c>
      <c r="F823" t="s">
        <v>14</v>
      </c>
      <c r="G823">
        <v>13523</v>
      </c>
      <c r="H823">
        <v>1946</v>
      </c>
      <c r="I823">
        <v>2.35</v>
      </c>
      <c r="J823">
        <v>2</v>
      </c>
      <c r="P823">
        <f t="shared" ca="1" si="49"/>
        <v>1082</v>
      </c>
      <c r="Q823" t="str" cm="1">
        <f t="array" ref="Q823">_xlfn.IFS(I823&gt;=3.5,"Excellent", I823&gt;3,"Good",I823&gt;2,"Average",I823&lt;2,"Poor")</f>
        <v>Average</v>
      </c>
      <c r="S823" t="str">
        <f t="shared" si="50"/>
        <v xml:space="preserve"> </v>
      </c>
      <c r="U823">
        <f t="shared" si="51"/>
        <v>2022</v>
      </c>
      <c r="AA823" t="str">
        <f t="shared" ca="1" si="52"/>
        <v/>
      </c>
    </row>
    <row r="824" spans="1:27" x14ac:dyDescent="0.3">
      <c r="A824" t="s">
        <v>1669</v>
      </c>
      <c r="B824" t="s">
        <v>1670</v>
      </c>
      <c r="C824" t="s">
        <v>22</v>
      </c>
      <c r="D824" t="s">
        <v>31</v>
      </c>
      <c r="E824" s="1">
        <v>44631</v>
      </c>
      <c r="F824" t="s">
        <v>14</v>
      </c>
      <c r="G824">
        <v>13442</v>
      </c>
      <c r="H824">
        <v>1267</v>
      </c>
      <c r="I824">
        <v>3.66</v>
      </c>
      <c r="J824">
        <v>72</v>
      </c>
      <c r="P824">
        <f t="shared" ca="1" si="49"/>
        <v>1221</v>
      </c>
      <c r="Q824" t="str" cm="1">
        <f t="array" ref="Q824">_xlfn.IFS(I824&gt;=3.5,"Excellent", I824&gt;3,"Good",I824&gt;2,"Average",I824&lt;2,"Poor")</f>
        <v>Excellent</v>
      </c>
      <c r="S824" t="str">
        <f t="shared" si="50"/>
        <v xml:space="preserve"> </v>
      </c>
      <c r="U824">
        <f t="shared" si="51"/>
        <v>2022</v>
      </c>
      <c r="AA824" t="str">
        <f t="shared" ca="1" si="52"/>
        <v/>
      </c>
    </row>
    <row r="825" spans="1:27" x14ac:dyDescent="0.3">
      <c r="A825" t="s">
        <v>1671</v>
      </c>
      <c r="B825" t="s">
        <v>1672</v>
      </c>
      <c r="C825" t="s">
        <v>25</v>
      </c>
      <c r="D825" t="s">
        <v>18</v>
      </c>
      <c r="E825" s="1">
        <v>45327</v>
      </c>
      <c r="F825" t="s">
        <v>19</v>
      </c>
      <c r="G825">
        <v>6885</v>
      </c>
      <c r="H825">
        <v>386</v>
      </c>
      <c r="I825">
        <v>2.57</v>
      </c>
      <c r="J825">
        <v>111</v>
      </c>
      <c r="P825" t="str">
        <f t="shared" ca="1" si="49"/>
        <v xml:space="preserve"> </v>
      </c>
      <c r="Q825" t="str" cm="1">
        <f t="array" ref="Q825">_xlfn.IFS(I825&gt;=3.5,"Excellent", I825&gt;3,"Good",I825&gt;2,"Average",I825&lt;2,"Poor")</f>
        <v>Average</v>
      </c>
      <c r="S825" t="str">
        <f t="shared" si="50"/>
        <v xml:space="preserve"> </v>
      </c>
      <c r="U825">
        <f t="shared" si="51"/>
        <v>2024</v>
      </c>
      <c r="AA825">
        <f t="shared" ca="1" si="52"/>
        <v>525</v>
      </c>
    </row>
    <row r="826" spans="1:27" x14ac:dyDescent="0.3">
      <c r="A826" t="s">
        <v>1673</v>
      </c>
      <c r="B826" t="s">
        <v>1674</v>
      </c>
      <c r="C826" t="s">
        <v>36</v>
      </c>
      <c r="D826" t="s">
        <v>62</v>
      </c>
      <c r="E826" s="1">
        <v>44618</v>
      </c>
      <c r="F826" t="s">
        <v>19</v>
      </c>
      <c r="G826">
        <v>5021</v>
      </c>
      <c r="H826">
        <v>5227</v>
      </c>
      <c r="I826">
        <v>3.65</v>
      </c>
      <c r="J826">
        <v>97</v>
      </c>
      <c r="P826" t="str">
        <f t="shared" ca="1" si="49"/>
        <v xml:space="preserve"> </v>
      </c>
      <c r="Q826" t="str" cm="1">
        <f t="array" ref="Q826">_xlfn.IFS(I826&gt;=3.5,"Excellent", I826&gt;3,"Good",I826&gt;2,"Average",I826&lt;2,"Poor")</f>
        <v>Excellent</v>
      </c>
      <c r="S826" t="b">
        <f t="shared" si="50"/>
        <v>1</v>
      </c>
      <c r="U826">
        <f t="shared" si="51"/>
        <v>2022</v>
      </c>
      <c r="AA826">
        <f t="shared" ca="1" si="52"/>
        <v>1234</v>
      </c>
    </row>
    <row r="827" spans="1:27" x14ac:dyDescent="0.3">
      <c r="A827" t="s">
        <v>1675</v>
      </c>
      <c r="B827" t="s">
        <v>1676</v>
      </c>
      <c r="C827" t="s">
        <v>17</v>
      </c>
      <c r="D827" t="s">
        <v>31</v>
      </c>
      <c r="E827" s="1">
        <v>44613</v>
      </c>
      <c r="F827" t="s">
        <v>14</v>
      </c>
      <c r="G827">
        <v>7061</v>
      </c>
      <c r="H827">
        <v>7017</v>
      </c>
      <c r="I827">
        <v>3.69</v>
      </c>
      <c r="J827">
        <v>26</v>
      </c>
      <c r="P827">
        <f t="shared" ca="1" si="49"/>
        <v>1239</v>
      </c>
      <c r="Q827" t="str" cm="1">
        <f t="array" ref="Q827">_xlfn.IFS(I827&gt;=3.5,"Excellent", I827&gt;3,"Good",I827&gt;2,"Average",I827&lt;2,"Poor")</f>
        <v>Excellent</v>
      </c>
      <c r="S827" t="b">
        <f t="shared" si="50"/>
        <v>1</v>
      </c>
      <c r="U827">
        <f t="shared" si="51"/>
        <v>2022</v>
      </c>
      <c r="AA827" t="str">
        <f t="shared" ca="1" si="52"/>
        <v/>
      </c>
    </row>
    <row r="828" spans="1:27" x14ac:dyDescent="0.3">
      <c r="A828" t="s">
        <v>1677</v>
      </c>
      <c r="B828" t="s">
        <v>1678</v>
      </c>
      <c r="C828" t="s">
        <v>12</v>
      </c>
      <c r="D828" t="s">
        <v>62</v>
      </c>
      <c r="E828" s="1">
        <v>45409</v>
      </c>
      <c r="F828" t="s">
        <v>19</v>
      </c>
      <c r="G828">
        <v>7729</v>
      </c>
      <c r="H828">
        <v>3775</v>
      </c>
      <c r="I828">
        <v>2.08</v>
      </c>
      <c r="J828">
        <v>59</v>
      </c>
      <c r="P828" t="str">
        <f t="shared" ca="1" si="49"/>
        <v xml:space="preserve"> </v>
      </c>
      <c r="Q828" t="str" cm="1">
        <f t="array" ref="Q828">_xlfn.IFS(I828&gt;=3.5,"Excellent", I828&gt;3,"Good",I828&gt;2,"Average",I828&lt;2,"Poor")</f>
        <v>Average</v>
      </c>
      <c r="S828" t="str">
        <f t="shared" si="50"/>
        <v xml:space="preserve"> </v>
      </c>
      <c r="U828">
        <f t="shared" si="51"/>
        <v>2024</v>
      </c>
      <c r="AA828">
        <f t="shared" ca="1" si="52"/>
        <v>443</v>
      </c>
    </row>
    <row r="829" spans="1:27" x14ac:dyDescent="0.3">
      <c r="A829" t="s">
        <v>1679</v>
      </c>
      <c r="B829" t="s">
        <v>1680</v>
      </c>
      <c r="C829" t="s">
        <v>54</v>
      </c>
      <c r="D829" t="s">
        <v>18</v>
      </c>
      <c r="E829" s="1">
        <v>44638</v>
      </c>
      <c r="F829" t="s">
        <v>19</v>
      </c>
      <c r="G829">
        <v>12330</v>
      </c>
      <c r="H829">
        <v>3766</v>
      </c>
      <c r="I829">
        <v>3.85</v>
      </c>
      <c r="J829">
        <v>59</v>
      </c>
      <c r="P829" t="str">
        <f t="shared" ca="1" si="49"/>
        <v xml:space="preserve"> </v>
      </c>
      <c r="Q829" t="str" cm="1">
        <f t="array" ref="Q829">_xlfn.IFS(I829&gt;=3.5,"Excellent", I829&gt;3,"Good",I829&gt;2,"Average",I829&lt;2,"Poor")</f>
        <v>Excellent</v>
      </c>
      <c r="S829" t="str">
        <f t="shared" si="50"/>
        <v xml:space="preserve"> </v>
      </c>
      <c r="U829">
        <f t="shared" si="51"/>
        <v>2022</v>
      </c>
      <c r="AA829">
        <f t="shared" ca="1" si="52"/>
        <v>1214</v>
      </c>
    </row>
    <row r="830" spans="1:27" x14ac:dyDescent="0.3">
      <c r="A830" t="s">
        <v>1681</v>
      </c>
      <c r="B830" t="s">
        <v>1682</v>
      </c>
      <c r="C830" t="s">
        <v>22</v>
      </c>
      <c r="D830" t="s">
        <v>31</v>
      </c>
      <c r="E830" s="1">
        <v>44649</v>
      </c>
      <c r="F830" t="s">
        <v>19</v>
      </c>
      <c r="G830">
        <v>11714</v>
      </c>
      <c r="H830">
        <v>8902</v>
      </c>
      <c r="I830">
        <v>2.66</v>
      </c>
      <c r="J830">
        <v>87</v>
      </c>
      <c r="P830" t="str">
        <f t="shared" ca="1" si="49"/>
        <v xml:space="preserve"> </v>
      </c>
      <c r="Q830" t="str" cm="1">
        <f t="array" ref="Q830">_xlfn.IFS(I830&gt;=3.5,"Excellent", I830&gt;3,"Good",I830&gt;2,"Average",I830&lt;2,"Poor")</f>
        <v>Average</v>
      </c>
      <c r="S830" t="b">
        <f t="shared" si="50"/>
        <v>1</v>
      </c>
      <c r="U830">
        <f t="shared" si="51"/>
        <v>2022</v>
      </c>
      <c r="AA830">
        <f t="shared" ca="1" si="52"/>
        <v>1203</v>
      </c>
    </row>
    <row r="831" spans="1:27" x14ac:dyDescent="0.3">
      <c r="A831" t="s">
        <v>1683</v>
      </c>
      <c r="B831" t="s">
        <v>1684</v>
      </c>
      <c r="C831" t="s">
        <v>12</v>
      </c>
      <c r="D831" t="s">
        <v>18</v>
      </c>
      <c r="E831" s="1">
        <v>44641</v>
      </c>
      <c r="F831" t="s">
        <v>19</v>
      </c>
      <c r="G831">
        <v>11559</v>
      </c>
      <c r="H831">
        <v>7261</v>
      </c>
      <c r="I831">
        <v>3.35</v>
      </c>
      <c r="J831">
        <v>13</v>
      </c>
      <c r="P831" t="str">
        <f t="shared" ca="1" si="49"/>
        <v xml:space="preserve"> </v>
      </c>
      <c r="Q831" t="str" cm="1">
        <f t="array" ref="Q831">_xlfn.IFS(I831&gt;=3.5,"Excellent", I831&gt;3,"Good",I831&gt;2,"Average",I831&lt;2,"Poor")</f>
        <v>Good</v>
      </c>
      <c r="S831" t="b">
        <f t="shared" si="50"/>
        <v>1</v>
      </c>
      <c r="U831">
        <f t="shared" si="51"/>
        <v>2022</v>
      </c>
      <c r="AA831">
        <f t="shared" ca="1" si="52"/>
        <v>1211</v>
      </c>
    </row>
    <row r="832" spans="1:27" x14ac:dyDescent="0.3">
      <c r="A832" t="s">
        <v>1685</v>
      </c>
      <c r="B832" t="s">
        <v>1686</v>
      </c>
      <c r="C832" t="s">
        <v>57</v>
      </c>
      <c r="D832" t="s">
        <v>62</v>
      </c>
      <c r="E832" s="1">
        <v>45345</v>
      </c>
      <c r="F832" t="s">
        <v>14</v>
      </c>
      <c r="G832">
        <v>14978</v>
      </c>
      <c r="H832">
        <v>1326</v>
      </c>
      <c r="I832">
        <v>2.2400000000000002</v>
      </c>
      <c r="J832">
        <v>12</v>
      </c>
      <c r="P832">
        <f t="shared" ca="1" si="49"/>
        <v>507</v>
      </c>
      <c r="Q832" t="str" cm="1">
        <f t="array" ref="Q832">_xlfn.IFS(I832&gt;=3.5,"Excellent", I832&gt;3,"Good",I832&gt;2,"Average",I832&lt;2,"Poor")</f>
        <v>Average</v>
      </c>
      <c r="S832" t="str">
        <f t="shared" si="50"/>
        <v xml:space="preserve"> </v>
      </c>
      <c r="U832">
        <f t="shared" si="51"/>
        <v>2024</v>
      </c>
      <c r="AA832" t="str">
        <f t="shared" ca="1" si="52"/>
        <v/>
      </c>
    </row>
    <row r="833" spans="1:27" x14ac:dyDescent="0.3">
      <c r="A833" t="s">
        <v>1687</v>
      </c>
      <c r="B833" t="s">
        <v>1688</v>
      </c>
      <c r="C833" t="s">
        <v>54</v>
      </c>
      <c r="D833" t="s">
        <v>13</v>
      </c>
      <c r="E833" s="1">
        <v>44615</v>
      </c>
      <c r="F833" t="s">
        <v>14</v>
      </c>
      <c r="G833">
        <v>11976</v>
      </c>
      <c r="H833">
        <v>1826</v>
      </c>
      <c r="I833">
        <v>2.2200000000000002</v>
      </c>
      <c r="J833">
        <v>10</v>
      </c>
      <c r="P833">
        <f t="shared" ca="1" si="49"/>
        <v>1237</v>
      </c>
      <c r="Q833" t="str" cm="1">
        <f t="array" ref="Q833">_xlfn.IFS(I833&gt;=3.5,"Excellent", I833&gt;3,"Good",I833&gt;2,"Average",I833&lt;2,"Poor")</f>
        <v>Average</v>
      </c>
      <c r="S833" t="str">
        <f t="shared" si="50"/>
        <v xml:space="preserve"> </v>
      </c>
      <c r="U833">
        <f t="shared" si="51"/>
        <v>2022</v>
      </c>
      <c r="AA833" t="str">
        <f t="shared" ca="1" si="52"/>
        <v/>
      </c>
    </row>
    <row r="834" spans="1:27" x14ac:dyDescent="0.3">
      <c r="A834" t="s">
        <v>1689</v>
      </c>
      <c r="B834" t="s">
        <v>1690</v>
      </c>
      <c r="C834" t="s">
        <v>22</v>
      </c>
      <c r="D834" t="s">
        <v>18</v>
      </c>
      <c r="E834" s="1">
        <v>44930</v>
      </c>
      <c r="F834" t="s">
        <v>14</v>
      </c>
      <c r="G834">
        <v>14178</v>
      </c>
      <c r="H834">
        <v>2222</v>
      </c>
      <c r="I834">
        <v>3.45</v>
      </c>
      <c r="J834">
        <v>91</v>
      </c>
      <c r="P834">
        <f t="shared" ca="1" si="49"/>
        <v>922</v>
      </c>
      <c r="Q834" t="str" cm="1">
        <f t="array" ref="Q834">_xlfn.IFS(I834&gt;=3.5,"Excellent", I834&gt;3,"Good",I834&gt;2,"Average",I834&lt;2,"Poor")</f>
        <v>Good</v>
      </c>
      <c r="S834" t="str">
        <f t="shared" si="50"/>
        <v xml:space="preserve"> </v>
      </c>
      <c r="U834">
        <f t="shared" si="51"/>
        <v>2023</v>
      </c>
      <c r="AA834" t="str">
        <f t="shared" ca="1" si="52"/>
        <v/>
      </c>
    </row>
    <row r="835" spans="1:27" x14ac:dyDescent="0.3">
      <c r="A835" t="s">
        <v>1691</v>
      </c>
      <c r="B835" t="s">
        <v>1692</v>
      </c>
      <c r="C835" t="s">
        <v>17</v>
      </c>
      <c r="D835" t="s">
        <v>13</v>
      </c>
      <c r="E835" s="1">
        <v>44611</v>
      </c>
      <c r="F835" t="s">
        <v>14</v>
      </c>
      <c r="G835">
        <v>12592</v>
      </c>
      <c r="H835">
        <v>161</v>
      </c>
      <c r="I835">
        <v>2.27</v>
      </c>
      <c r="J835">
        <v>68</v>
      </c>
      <c r="P835">
        <f t="shared" ref="P835:P898" ca="1" si="53">IF(F835="Enrolled",TODAY()-E835, " ")</f>
        <v>1241</v>
      </c>
      <c r="Q835" t="str" cm="1">
        <f t="array" ref="Q835">_xlfn.IFS(I835&gt;=3.5,"Excellent", I835&gt;3,"Good",I835&gt;2,"Average",I835&lt;2,"Poor")</f>
        <v>Average</v>
      </c>
      <c r="S835" t="str">
        <f t="shared" ref="S835:S898" si="54">IF(H835&gt;0.5*G835,TRUE, " " )</f>
        <v xml:space="preserve"> </v>
      </c>
      <c r="U835">
        <f t="shared" ref="U835:U898" si="55">YEAR(E835)</f>
        <v>2022</v>
      </c>
      <c r="AA835" t="str">
        <f t="shared" ref="AA835:AA898" ca="1" si="56">IF(F835="Completed",TODAY()-E835,"")</f>
        <v/>
      </c>
    </row>
    <row r="836" spans="1:27" x14ac:dyDescent="0.3">
      <c r="A836" t="s">
        <v>1693</v>
      </c>
      <c r="B836" t="s">
        <v>1694</v>
      </c>
      <c r="C836" t="s">
        <v>22</v>
      </c>
      <c r="D836" t="s">
        <v>18</v>
      </c>
      <c r="E836" s="1">
        <v>44964</v>
      </c>
      <c r="F836" t="s">
        <v>19</v>
      </c>
      <c r="G836">
        <v>2380</v>
      </c>
      <c r="H836">
        <v>9095</v>
      </c>
      <c r="I836">
        <v>2.41</v>
      </c>
      <c r="J836">
        <v>3</v>
      </c>
      <c r="P836" t="str">
        <f t="shared" ca="1" si="53"/>
        <v xml:space="preserve"> </v>
      </c>
      <c r="Q836" t="str" cm="1">
        <f t="array" ref="Q836">_xlfn.IFS(I836&gt;=3.5,"Excellent", I836&gt;3,"Good",I836&gt;2,"Average",I836&lt;2,"Poor")</f>
        <v>Average</v>
      </c>
      <c r="S836" t="b">
        <f t="shared" si="54"/>
        <v>1</v>
      </c>
      <c r="U836">
        <f t="shared" si="55"/>
        <v>2023</v>
      </c>
      <c r="AA836">
        <f t="shared" ca="1" si="56"/>
        <v>888</v>
      </c>
    </row>
    <row r="837" spans="1:27" x14ac:dyDescent="0.3">
      <c r="A837" t="s">
        <v>1695</v>
      </c>
      <c r="B837" t="s">
        <v>1696</v>
      </c>
      <c r="C837" t="s">
        <v>12</v>
      </c>
      <c r="D837" t="s">
        <v>31</v>
      </c>
      <c r="E837" s="1">
        <v>44987</v>
      </c>
      <c r="F837" t="s">
        <v>14</v>
      </c>
      <c r="G837">
        <v>3078</v>
      </c>
      <c r="H837">
        <v>3622</v>
      </c>
      <c r="I837">
        <v>3.39</v>
      </c>
      <c r="J837">
        <v>72</v>
      </c>
      <c r="P837">
        <f t="shared" ca="1" si="53"/>
        <v>865</v>
      </c>
      <c r="Q837" t="str" cm="1">
        <f t="array" ref="Q837">_xlfn.IFS(I837&gt;=3.5,"Excellent", I837&gt;3,"Good",I837&gt;2,"Average",I837&lt;2,"Poor")</f>
        <v>Good</v>
      </c>
      <c r="S837" t="b">
        <f t="shared" si="54"/>
        <v>1</v>
      </c>
      <c r="U837">
        <f t="shared" si="55"/>
        <v>2023</v>
      </c>
      <c r="AA837" t="str">
        <f t="shared" ca="1" si="56"/>
        <v/>
      </c>
    </row>
    <row r="838" spans="1:27" x14ac:dyDescent="0.3">
      <c r="A838" t="s">
        <v>1697</v>
      </c>
      <c r="B838" t="s">
        <v>1698</v>
      </c>
      <c r="C838" t="s">
        <v>36</v>
      </c>
      <c r="D838" t="s">
        <v>31</v>
      </c>
      <c r="E838" s="1">
        <v>45321</v>
      </c>
      <c r="F838" t="s">
        <v>39</v>
      </c>
      <c r="G838">
        <v>6374</v>
      </c>
      <c r="H838">
        <v>1397</v>
      </c>
      <c r="I838">
        <v>2.91</v>
      </c>
      <c r="J838">
        <v>52</v>
      </c>
      <c r="P838" t="str">
        <f t="shared" ca="1" si="53"/>
        <v xml:space="preserve"> </v>
      </c>
      <c r="Q838" t="str" cm="1">
        <f t="array" ref="Q838">_xlfn.IFS(I838&gt;=3.5,"Excellent", I838&gt;3,"Good",I838&gt;2,"Average",I838&lt;2,"Poor")</f>
        <v>Average</v>
      </c>
      <c r="S838" t="str">
        <f t="shared" si="54"/>
        <v xml:space="preserve"> </v>
      </c>
      <c r="U838">
        <f t="shared" si="55"/>
        <v>2024</v>
      </c>
      <c r="AA838" t="str">
        <f t="shared" ca="1" si="56"/>
        <v/>
      </c>
    </row>
    <row r="839" spans="1:27" x14ac:dyDescent="0.3">
      <c r="A839" t="s">
        <v>1699</v>
      </c>
      <c r="B839" t="s">
        <v>1700</v>
      </c>
      <c r="C839" t="s">
        <v>36</v>
      </c>
      <c r="D839" t="s">
        <v>18</v>
      </c>
      <c r="E839" s="1">
        <v>45202</v>
      </c>
      <c r="F839" t="s">
        <v>19</v>
      </c>
      <c r="G839">
        <v>3040</v>
      </c>
      <c r="H839">
        <v>5676</v>
      </c>
      <c r="I839">
        <v>3.86</v>
      </c>
      <c r="J839">
        <v>92</v>
      </c>
      <c r="P839" t="str">
        <f t="shared" ca="1" si="53"/>
        <v xml:space="preserve"> </v>
      </c>
      <c r="Q839" t="str" cm="1">
        <f t="array" ref="Q839">_xlfn.IFS(I839&gt;=3.5,"Excellent", I839&gt;3,"Good",I839&gt;2,"Average",I839&lt;2,"Poor")</f>
        <v>Excellent</v>
      </c>
      <c r="S839" t="b">
        <f t="shared" si="54"/>
        <v>1</v>
      </c>
      <c r="U839">
        <f t="shared" si="55"/>
        <v>2023</v>
      </c>
      <c r="AA839">
        <f t="shared" ca="1" si="56"/>
        <v>650</v>
      </c>
    </row>
    <row r="840" spans="1:27" x14ac:dyDescent="0.3">
      <c r="A840" t="s">
        <v>1701</v>
      </c>
      <c r="B840" t="s">
        <v>1702</v>
      </c>
      <c r="C840" t="s">
        <v>12</v>
      </c>
      <c r="D840" t="s">
        <v>31</v>
      </c>
      <c r="E840" s="1">
        <v>44725</v>
      </c>
      <c r="F840" t="s">
        <v>19</v>
      </c>
      <c r="G840">
        <v>13689</v>
      </c>
      <c r="H840">
        <v>313</v>
      </c>
      <c r="I840">
        <v>3.95</v>
      </c>
      <c r="J840">
        <v>78</v>
      </c>
      <c r="P840" t="str">
        <f t="shared" ca="1" si="53"/>
        <v xml:space="preserve"> </v>
      </c>
      <c r="Q840" t="str" cm="1">
        <f t="array" ref="Q840">_xlfn.IFS(I840&gt;=3.5,"Excellent", I840&gt;3,"Good",I840&gt;2,"Average",I840&lt;2,"Poor")</f>
        <v>Excellent</v>
      </c>
      <c r="S840" t="str">
        <f t="shared" si="54"/>
        <v xml:space="preserve"> </v>
      </c>
      <c r="U840">
        <f t="shared" si="55"/>
        <v>2022</v>
      </c>
      <c r="AA840">
        <f t="shared" ca="1" si="56"/>
        <v>1127</v>
      </c>
    </row>
    <row r="841" spans="1:27" x14ac:dyDescent="0.3">
      <c r="A841" t="s">
        <v>1703</v>
      </c>
      <c r="B841" t="s">
        <v>1704</v>
      </c>
      <c r="C841" t="s">
        <v>12</v>
      </c>
      <c r="D841" t="s">
        <v>18</v>
      </c>
      <c r="E841" s="1">
        <v>44958</v>
      </c>
      <c r="F841" t="s">
        <v>14</v>
      </c>
      <c r="G841">
        <v>6036</v>
      </c>
      <c r="H841">
        <v>6021</v>
      </c>
      <c r="I841">
        <v>2.17</v>
      </c>
      <c r="J841">
        <v>39</v>
      </c>
      <c r="P841">
        <f t="shared" ca="1" si="53"/>
        <v>894</v>
      </c>
      <c r="Q841" t="str" cm="1">
        <f t="array" ref="Q841">_xlfn.IFS(I841&gt;=3.5,"Excellent", I841&gt;3,"Good",I841&gt;2,"Average",I841&lt;2,"Poor")</f>
        <v>Average</v>
      </c>
      <c r="S841" t="b">
        <f t="shared" si="54"/>
        <v>1</v>
      </c>
      <c r="U841">
        <f t="shared" si="55"/>
        <v>2023</v>
      </c>
      <c r="AA841" t="str">
        <f t="shared" ca="1" si="56"/>
        <v/>
      </c>
    </row>
    <row r="842" spans="1:27" x14ac:dyDescent="0.3">
      <c r="A842" t="s">
        <v>1705</v>
      </c>
      <c r="B842" t="s">
        <v>1706</v>
      </c>
      <c r="C842" t="s">
        <v>28</v>
      </c>
      <c r="D842" t="s">
        <v>18</v>
      </c>
      <c r="E842" s="1">
        <v>45340</v>
      </c>
      <c r="F842" t="s">
        <v>19</v>
      </c>
      <c r="G842">
        <v>9926</v>
      </c>
      <c r="H842">
        <v>7453</v>
      </c>
      <c r="I842">
        <v>3.31</v>
      </c>
      <c r="J842">
        <v>7</v>
      </c>
      <c r="P842" t="str">
        <f t="shared" ca="1" si="53"/>
        <v xml:space="preserve"> </v>
      </c>
      <c r="Q842" t="str" cm="1">
        <f t="array" ref="Q842">_xlfn.IFS(I842&gt;=3.5,"Excellent", I842&gt;3,"Good",I842&gt;2,"Average",I842&lt;2,"Poor")</f>
        <v>Good</v>
      </c>
      <c r="S842" t="b">
        <f t="shared" si="54"/>
        <v>1</v>
      </c>
      <c r="U842">
        <f t="shared" si="55"/>
        <v>2024</v>
      </c>
      <c r="AA842">
        <f t="shared" ca="1" si="56"/>
        <v>512</v>
      </c>
    </row>
    <row r="843" spans="1:27" x14ac:dyDescent="0.3">
      <c r="A843" t="s">
        <v>1707</v>
      </c>
      <c r="B843" t="s">
        <v>1708</v>
      </c>
      <c r="C843" t="s">
        <v>25</v>
      </c>
      <c r="D843" t="s">
        <v>13</v>
      </c>
      <c r="E843" s="1">
        <v>44776</v>
      </c>
      <c r="F843" t="s">
        <v>19</v>
      </c>
      <c r="G843">
        <v>9699</v>
      </c>
      <c r="H843">
        <v>354</v>
      </c>
      <c r="I843">
        <v>3.97</v>
      </c>
      <c r="J843">
        <v>25</v>
      </c>
      <c r="P843" t="str">
        <f t="shared" ca="1" si="53"/>
        <v xml:space="preserve"> </v>
      </c>
      <c r="Q843" t="str" cm="1">
        <f t="array" ref="Q843">_xlfn.IFS(I843&gt;=3.5,"Excellent", I843&gt;3,"Good",I843&gt;2,"Average",I843&lt;2,"Poor")</f>
        <v>Excellent</v>
      </c>
      <c r="S843" t="str">
        <f t="shared" si="54"/>
        <v xml:space="preserve"> </v>
      </c>
      <c r="U843">
        <f t="shared" si="55"/>
        <v>2022</v>
      </c>
      <c r="AA843">
        <f t="shared" ca="1" si="56"/>
        <v>1076</v>
      </c>
    </row>
    <row r="844" spans="1:27" x14ac:dyDescent="0.3">
      <c r="A844" t="s">
        <v>1709</v>
      </c>
      <c r="B844" t="s">
        <v>1710</v>
      </c>
      <c r="C844" t="s">
        <v>25</v>
      </c>
      <c r="D844" t="s">
        <v>13</v>
      </c>
      <c r="E844" s="1">
        <v>44727</v>
      </c>
      <c r="F844" t="s">
        <v>14</v>
      </c>
      <c r="G844">
        <v>7281</v>
      </c>
      <c r="H844">
        <v>5074</v>
      </c>
      <c r="I844">
        <v>3.26</v>
      </c>
      <c r="J844">
        <v>89</v>
      </c>
      <c r="P844">
        <f t="shared" ca="1" si="53"/>
        <v>1125</v>
      </c>
      <c r="Q844" t="str" cm="1">
        <f t="array" ref="Q844">_xlfn.IFS(I844&gt;=3.5,"Excellent", I844&gt;3,"Good",I844&gt;2,"Average",I844&lt;2,"Poor")</f>
        <v>Good</v>
      </c>
      <c r="S844" t="b">
        <f t="shared" si="54"/>
        <v>1</v>
      </c>
      <c r="U844">
        <f t="shared" si="55"/>
        <v>2022</v>
      </c>
      <c r="AA844" t="str">
        <f t="shared" ca="1" si="56"/>
        <v/>
      </c>
    </row>
    <row r="845" spans="1:27" x14ac:dyDescent="0.3">
      <c r="A845" t="s">
        <v>1711</v>
      </c>
      <c r="B845" t="s">
        <v>1712</v>
      </c>
      <c r="C845" t="s">
        <v>12</v>
      </c>
      <c r="D845" t="s">
        <v>18</v>
      </c>
      <c r="E845" s="1">
        <v>44853</v>
      </c>
      <c r="F845" t="s">
        <v>39</v>
      </c>
      <c r="G845">
        <v>7435</v>
      </c>
      <c r="H845">
        <v>5879</v>
      </c>
      <c r="I845">
        <v>3.57</v>
      </c>
      <c r="J845">
        <v>17</v>
      </c>
      <c r="P845" t="str">
        <f t="shared" ca="1" si="53"/>
        <v xml:space="preserve"> </v>
      </c>
      <c r="Q845" t="str" cm="1">
        <f t="array" ref="Q845">_xlfn.IFS(I845&gt;=3.5,"Excellent", I845&gt;3,"Good",I845&gt;2,"Average",I845&lt;2,"Poor")</f>
        <v>Excellent</v>
      </c>
      <c r="S845" t="b">
        <f t="shared" si="54"/>
        <v>1</v>
      </c>
      <c r="U845">
        <f t="shared" si="55"/>
        <v>2022</v>
      </c>
      <c r="AA845" t="str">
        <f t="shared" ca="1" si="56"/>
        <v/>
      </c>
    </row>
    <row r="846" spans="1:27" x14ac:dyDescent="0.3">
      <c r="A846" t="s">
        <v>1713</v>
      </c>
      <c r="B846" t="s">
        <v>1714</v>
      </c>
      <c r="C846" t="s">
        <v>36</v>
      </c>
      <c r="D846" t="s">
        <v>13</v>
      </c>
      <c r="E846" s="1">
        <v>45394</v>
      </c>
      <c r="F846" t="s">
        <v>14</v>
      </c>
      <c r="G846">
        <v>14977</v>
      </c>
      <c r="H846">
        <v>374</v>
      </c>
      <c r="I846">
        <v>2.36</v>
      </c>
      <c r="J846">
        <v>60</v>
      </c>
      <c r="P846">
        <f t="shared" ca="1" si="53"/>
        <v>458</v>
      </c>
      <c r="Q846" t="str" cm="1">
        <f t="array" ref="Q846">_xlfn.IFS(I846&gt;=3.5,"Excellent", I846&gt;3,"Good",I846&gt;2,"Average",I846&lt;2,"Poor")</f>
        <v>Average</v>
      </c>
      <c r="S846" t="str">
        <f t="shared" si="54"/>
        <v xml:space="preserve"> </v>
      </c>
      <c r="U846">
        <f t="shared" si="55"/>
        <v>2024</v>
      </c>
      <c r="AA846" t="str">
        <f t="shared" ca="1" si="56"/>
        <v/>
      </c>
    </row>
    <row r="847" spans="1:27" x14ac:dyDescent="0.3">
      <c r="A847" t="s">
        <v>1715</v>
      </c>
      <c r="B847" t="s">
        <v>1716</v>
      </c>
      <c r="C847" t="s">
        <v>17</v>
      </c>
      <c r="D847" t="s">
        <v>62</v>
      </c>
      <c r="E847" s="1">
        <v>45092</v>
      </c>
      <c r="F847" t="s">
        <v>14</v>
      </c>
      <c r="G847">
        <v>14578</v>
      </c>
      <c r="H847">
        <v>8597</v>
      </c>
      <c r="I847">
        <v>3.36</v>
      </c>
      <c r="J847">
        <v>34</v>
      </c>
      <c r="P847">
        <f t="shared" ca="1" si="53"/>
        <v>760</v>
      </c>
      <c r="Q847" t="str" cm="1">
        <f t="array" ref="Q847">_xlfn.IFS(I847&gt;=3.5,"Excellent", I847&gt;3,"Good",I847&gt;2,"Average",I847&lt;2,"Poor")</f>
        <v>Good</v>
      </c>
      <c r="S847" t="b">
        <f t="shared" si="54"/>
        <v>1</v>
      </c>
      <c r="U847">
        <f t="shared" si="55"/>
        <v>2023</v>
      </c>
      <c r="AA847" t="str">
        <f t="shared" ca="1" si="56"/>
        <v/>
      </c>
    </row>
    <row r="848" spans="1:27" x14ac:dyDescent="0.3">
      <c r="A848" t="s">
        <v>1717</v>
      </c>
      <c r="B848" t="s">
        <v>1718</v>
      </c>
      <c r="C848" t="s">
        <v>54</v>
      </c>
      <c r="D848" t="s">
        <v>31</v>
      </c>
      <c r="E848" s="1">
        <v>44612</v>
      </c>
      <c r="F848" t="s">
        <v>19</v>
      </c>
      <c r="G848">
        <v>2664</v>
      </c>
      <c r="H848">
        <v>8878</v>
      </c>
      <c r="I848">
        <v>2.5099999999999998</v>
      </c>
      <c r="J848">
        <v>77</v>
      </c>
      <c r="P848" t="str">
        <f t="shared" ca="1" si="53"/>
        <v xml:space="preserve"> </v>
      </c>
      <c r="Q848" t="str" cm="1">
        <f t="array" ref="Q848">_xlfn.IFS(I848&gt;=3.5,"Excellent", I848&gt;3,"Good",I848&gt;2,"Average",I848&lt;2,"Poor")</f>
        <v>Average</v>
      </c>
      <c r="S848" t="b">
        <f t="shared" si="54"/>
        <v>1</v>
      </c>
      <c r="U848">
        <f t="shared" si="55"/>
        <v>2022</v>
      </c>
      <c r="AA848">
        <f t="shared" ca="1" si="56"/>
        <v>1240</v>
      </c>
    </row>
    <row r="849" spans="1:27" x14ac:dyDescent="0.3">
      <c r="A849" t="s">
        <v>1719</v>
      </c>
      <c r="B849" t="s">
        <v>1720</v>
      </c>
      <c r="C849" t="s">
        <v>22</v>
      </c>
      <c r="D849" t="s">
        <v>18</v>
      </c>
      <c r="E849" s="1">
        <v>44792</v>
      </c>
      <c r="F849" t="s">
        <v>14</v>
      </c>
      <c r="G849">
        <v>11301</v>
      </c>
      <c r="H849">
        <v>5420</v>
      </c>
      <c r="I849">
        <v>3.56</v>
      </c>
      <c r="J849">
        <v>96</v>
      </c>
      <c r="P849">
        <f t="shared" ca="1" si="53"/>
        <v>1060</v>
      </c>
      <c r="Q849" t="str" cm="1">
        <f t="array" ref="Q849">_xlfn.IFS(I849&gt;=3.5,"Excellent", I849&gt;3,"Good",I849&gt;2,"Average",I849&lt;2,"Poor")</f>
        <v>Excellent</v>
      </c>
      <c r="S849" t="str">
        <f t="shared" si="54"/>
        <v xml:space="preserve"> </v>
      </c>
      <c r="U849">
        <f t="shared" si="55"/>
        <v>2022</v>
      </c>
      <c r="AA849" t="str">
        <f t="shared" ca="1" si="56"/>
        <v/>
      </c>
    </row>
    <row r="850" spans="1:27" x14ac:dyDescent="0.3">
      <c r="A850" t="s">
        <v>1721</v>
      </c>
      <c r="B850" t="s">
        <v>1722</v>
      </c>
      <c r="C850" t="s">
        <v>22</v>
      </c>
      <c r="D850" t="s">
        <v>31</v>
      </c>
      <c r="E850" s="1">
        <v>45173</v>
      </c>
      <c r="F850" t="s">
        <v>19</v>
      </c>
      <c r="G850">
        <v>4379</v>
      </c>
      <c r="H850">
        <v>9901</v>
      </c>
      <c r="I850">
        <v>2.65</v>
      </c>
      <c r="J850">
        <v>39</v>
      </c>
      <c r="P850" t="str">
        <f t="shared" ca="1" si="53"/>
        <v xml:space="preserve"> </v>
      </c>
      <c r="Q850" t="str" cm="1">
        <f t="array" ref="Q850">_xlfn.IFS(I850&gt;=3.5,"Excellent", I850&gt;3,"Good",I850&gt;2,"Average",I850&lt;2,"Poor")</f>
        <v>Average</v>
      </c>
      <c r="S850" t="b">
        <f t="shared" si="54"/>
        <v>1</v>
      </c>
      <c r="U850">
        <f t="shared" si="55"/>
        <v>2023</v>
      </c>
      <c r="AA850">
        <f t="shared" ca="1" si="56"/>
        <v>679</v>
      </c>
    </row>
    <row r="851" spans="1:27" x14ac:dyDescent="0.3">
      <c r="A851" t="s">
        <v>1723</v>
      </c>
      <c r="B851" t="s">
        <v>1724</v>
      </c>
      <c r="C851" t="s">
        <v>28</v>
      </c>
      <c r="D851" t="s">
        <v>62</v>
      </c>
      <c r="E851" s="1">
        <v>44767</v>
      </c>
      <c r="F851" t="s">
        <v>14</v>
      </c>
      <c r="G851">
        <v>13197</v>
      </c>
      <c r="H851">
        <v>2495</v>
      </c>
      <c r="I851">
        <v>2.7</v>
      </c>
      <c r="J851">
        <v>26</v>
      </c>
      <c r="P851">
        <f t="shared" ca="1" si="53"/>
        <v>1085</v>
      </c>
      <c r="Q851" t="str" cm="1">
        <f t="array" ref="Q851">_xlfn.IFS(I851&gt;=3.5,"Excellent", I851&gt;3,"Good",I851&gt;2,"Average",I851&lt;2,"Poor")</f>
        <v>Average</v>
      </c>
      <c r="S851" t="str">
        <f t="shared" si="54"/>
        <v xml:space="preserve"> </v>
      </c>
      <c r="U851">
        <f t="shared" si="55"/>
        <v>2022</v>
      </c>
      <c r="AA851" t="str">
        <f t="shared" ca="1" si="56"/>
        <v/>
      </c>
    </row>
    <row r="852" spans="1:27" x14ac:dyDescent="0.3">
      <c r="A852" t="s">
        <v>1725</v>
      </c>
      <c r="B852" t="s">
        <v>1726</v>
      </c>
      <c r="C852" t="s">
        <v>57</v>
      </c>
      <c r="D852" t="s">
        <v>18</v>
      </c>
      <c r="E852" s="1">
        <v>45208</v>
      </c>
      <c r="F852" t="s">
        <v>19</v>
      </c>
      <c r="G852">
        <v>14472</v>
      </c>
      <c r="H852">
        <v>8730</v>
      </c>
      <c r="I852">
        <v>3.43</v>
      </c>
      <c r="J852">
        <v>18</v>
      </c>
      <c r="P852" t="str">
        <f t="shared" ca="1" si="53"/>
        <v xml:space="preserve"> </v>
      </c>
      <c r="Q852" t="str" cm="1">
        <f t="array" ref="Q852">_xlfn.IFS(I852&gt;=3.5,"Excellent", I852&gt;3,"Good",I852&gt;2,"Average",I852&lt;2,"Poor")</f>
        <v>Good</v>
      </c>
      <c r="S852" t="b">
        <f t="shared" si="54"/>
        <v>1</v>
      </c>
      <c r="U852">
        <f t="shared" si="55"/>
        <v>2023</v>
      </c>
      <c r="AA852">
        <f t="shared" ca="1" si="56"/>
        <v>644</v>
      </c>
    </row>
    <row r="853" spans="1:27" x14ac:dyDescent="0.3">
      <c r="A853" t="s">
        <v>1727</v>
      </c>
      <c r="B853" t="s">
        <v>1728</v>
      </c>
      <c r="C853" t="s">
        <v>22</v>
      </c>
      <c r="D853" t="s">
        <v>62</v>
      </c>
      <c r="E853" s="1">
        <v>45408</v>
      </c>
      <c r="F853" t="s">
        <v>19</v>
      </c>
      <c r="G853">
        <v>6807</v>
      </c>
      <c r="H853">
        <v>8983</v>
      </c>
      <c r="I853">
        <v>2.98</v>
      </c>
      <c r="J853">
        <v>47</v>
      </c>
      <c r="P853" t="str">
        <f t="shared" ca="1" si="53"/>
        <v xml:space="preserve"> </v>
      </c>
      <c r="Q853" t="str" cm="1">
        <f t="array" ref="Q853">_xlfn.IFS(I853&gt;=3.5,"Excellent", I853&gt;3,"Good",I853&gt;2,"Average",I853&lt;2,"Poor")</f>
        <v>Average</v>
      </c>
      <c r="S853" t="b">
        <f t="shared" si="54"/>
        <v>1</v>
      </c>
      <c r="U853">
        <f t="shared" si="55"/>
        <v>2024</v>
      </c>
      <c r="AA853">
        <f t="shared" ca="1" si="56"/>
        <v>444</v>
      </c>
    </row>
    <row r="854" spans="1:27" x14ac:dyDescent="0.3">
      <c r="A854" t="s">
        <v>1729</v>
      </c>
      <c r="B854" t="s">
        <v>1730</v>
      </c>
      <c r="C854" t="s">
        <v>25</v>
      </c>
      <c r="D854" t="s">
        <v>18</v>
      </c>
      <c r="E854" s="1">
        <v>44640</v>
      </c>
      <c r="F854" t="s">
        <v>14</v>
      </c>
      <c r="G854">
        <v>5918</v>
      </c>
      <c r="H854">
        <v>3347</v>
      </c>
      <c r="I854">
        <v>2.04</v>
      </c>
      <c r="J854">
        <v>105</v>
      </c>
      <c r="P854">
        <f t="shared" ca="1" si="53"/>
        <v>1212</v>
      </c>
      <c r="Q854" t="str" cm="1">
        <f t="array" ref="Q854">_xlfn.IFS(I854&gt;=3.5,"Excellent", I854&gt;3,"Good",I854&gt;2,"Average",I854&lt;2,"Poor")</f>
        <v>Average</v>
      </c>
      <c r="S854" t="b">
        <f t="shared" si="54"/>
        <v>1</v>
      </c>
      <c r="U854">
        <f t="shared" si="55"/>
        <v>2022</v>
      </c>
      <c r="AA854" t="str">
        <f t="shared" ca="1" si="56"/>
        <v/>
      </c>
    </row>
    <row r="855" spans="1:27" x14ac:dyDescent="0.3">
      <c r="A855" t="s">
        <v>1731</v>
      </c>
      <c r="B855" t="s">
        <v>1732</v>
      </c>
      <c r="C855" t="s">
        <v>17</v>
      </c>
      <c r="D855" t="s">
        <v>31</v>
      </c>
      <c r="E855" s="1">
        <v>45210</v>
      </c>
      <c r="F855" t="s">
        <v>19</v>
      </c>
      <c r="G855">
        <v>6149</v>
      </c>
      <c r="H855">
        <v>4635</v>
      </c>
      <c r="I855">
        <v>2.63</v>
      </c>
      <c r="J855">
        <v>118</v>
      </c>
      <c r="P855" t="str">
        <f t="shared" ca="1" si="53"/>
        <v xml:space="preserve"> </v>
      </c>
      <c r="Q855" t="str" cm="1">
        <f t="array" ref="Q855">_xlfn.IFS(I855&gt;=3.5,"Excellent", I855&gt;3,"Good",I855&gt;2,"Average",I855&lt;2,"Poor")</f>
        <v>Average</v>
      </c>
      <c r="S855" t="b">
        <f t="shared" si="54"/>
        <v>1</v>
      </c>
      <c r="U855">
        <f t="shared" si="55"/>
        <v>2023</v>
      </c>
      <c r="AA855">
        <f t="shared" ca="1" si="56"/>
        <v>642</v>
      </c>
    </row>
    <row r="856" spans="1:27" x14ac:dyDescent="0.3">
      <c r="A856" t="s">
        <v>1733</v>
      </c>
      <c r="B856" t="s">
        <v>1734</v>
      </c>
      <c r="C856" t="s">
        <v>54</v>
      </c>
      <c r="D856" t="s">
        <v>62</v>
      </c>
      <c r="E856" s="1">
        <v>45352</v>
      </c>
      <c r="F856" t="s">
        <v>14</v>
      </c>
      <c r="G856">
        <v>8365</v>
      </c>
      <c r="H856">
        <v>3533</v>
      </c>
      <c r="I856">
        <v>3.17</v>
      </c>
      <c r="J856">
        <v>15</v>
      </c>
      <c r="P856">
        <f t="shared" ca="1" si="53"/>
        <v>500</v>
      </c>
      <c r="Q856" t="str" cm="1">
        <f t="array" ref="Q856">_xlfn.IFS(I856&gt;=3.5,"Excellent", I856&gt;3,"Good",I856&gt;2,"Average",I856&lt;2,"Poor")</f>
        <v>Good</v>
      </c>
      <c r="S856" t="str">
        <f t="shared" si="54"/>
        <v xml:space="preserve"> </v>
      </c>
      <c r="U856">
        <f t="shared" si="55"/>
        <v>2024</v>
      </c>
      <c r="AA856" t="str">
        <f t="shared" ca="1" si="56"/>
        <v/>
      </c>
    </row>
    <row r="857" spans="1:27" x14ac:dyDescent="0.3">
      <c r="A857" t="s">
        <v>1735</v>
      </c>
      <c r="B857" t="s">
        <v>1736</v>
      </c>
      <c r="C857" t="s">
        <v>12</v>
      </c>
      <c r="D857" t="s">
        <v>18</v>
      </c>
      <c r="E857" s="1">
        <v>45134</v>
      </c>
      <c r="F857" t="s">
        <v>14</v>
      </c>
      <c r="G857">
        <v>9612</v>
      </c>
      <c r="H857">
        <v>1018</v>
      </c>
      <c r="I857">
        <v>3.25</v>
      </c>
      <c r="J857">
        <v>88</v>
      </c>
      <c r="P857">
        <f t="shared" ca="1" si="53"/>
        <v>718</v>
      </c>
      <c r="Q857" t="str" cm="1">
        <f t="array" ref="Q857">_xlfn.IFS(I857&gt;=3.5,"Excellent", I857&gt;3,"Good",I857&gt;2,"Average",I857&lt;2,"Poor")</f>
        <v>Good</v>
      </c>
      <c r="S857" t="str">
        <f t="shared" si="54"/>
        <v xml:space="preserve"> </v>
      </c>
      <c r="U857">
        <f t="shared" si="55"/>
        <v>2023</v>
      </c>
      <c r="AA857" t="str">
        <f t="shared" ca="1" si="56"/>
        <v/>
      </c>
    </row>
    <row r="858" spans="1:27" x14ac:dyDescent="0.3">
      <c r="A858" t="s">
        <v>1737</v>
      </c>
      <c r="B858" t="s">
        <v>1738</v>
      </c>
      <c r="C858" t="s">
        <v>22</v>
      </c>
      <c r="D858" t="s">
        <v>18</v>
      </c>
      <c r="E858" s="1">
        <v>45045</v>
      </c>
      <c r="F858" t="s">
        <v>14</v>
      </c>
      <c r="G858">
        <v>10449</v>
      </c>
      <c r="H858">
        <v>7</v>
      </c>
      <c r="I858">
        <v>2.98</v>
      </c>
      <c r="J858">
        <v>54</v>
      </c>
      <c r="P858">
        <f t="shared" ca="1" si="53"/>
        <v>807</v>
      </c>
      <c r="Q858" t="str" cm="1">
        <f t="array" ref="Q858">_xlfn.IFS(I858&gt;=3.5,"Excellent", I858&gt;3,"Good",I858&gt;2,"Average",I858&lt;2,"Poor")</f>
        <v>Average</v>
      </c>
      <c r="S858" t="str">
        <f t="shared" si="54"/>
        <v xml:space="preserve"> </v>
      </c>
      <c r="U858">
        <f t="shared" si="55"/>
        <v>2023</v>
      </c>
      <c r="AA858" t="str">
        <f t="shared" ca="1" si="56"/>
        <v/>
      </c>
    </row>
    <row r="859" spans="1:27" x14ac:dyDescent="0.3">
      <c r="A859" t="s">
        <v>1739</v>
      </c>
      <c r="B859" t="s">
        <v>1740</v>
      </c>
      <c r="C859" t="s">
        <v>12</v>
      </c>
      <c r="D859" t="s">
        <v>13</v>
      </c>
      <c r="E859" s="1">
        <v>44764</v>
      </c>
      <c r="F859" t="s">
        <v>19</v>
      </c>
      <c r="G859">
        <v>7352</v>
      </c>
      <c r="H859">
        <v>3682</v>
      </c>
      <c r="I859">
        <v>3.34</v>
      </c>
      <c r="J859">
        <v>100</v>
      </c>
      <c r="P859" t="str">
        <f t="shared" ca="1" si="53"/>
        <v xml:space="preserve"> </v>
      </c>
      <c r="Q859" t="str" cm="1">
        <f t="array" ref="Q859">_xlfn.IFS(I859&gt;=3.5,"Excellent", I859&gt;3,"Good",I859&gt;2,"Average",I859&lt;2,"Poor")</f>
        <v>Good</v>
      </c>
      <c r="S859" t="b">
        <f t="shared" si="54"/>
        <v>1</v>
      </c>
      <c r="U859">
        <f t="shared" si="55"/>
        <v>2022</v>
      </c>
      <c r="AA859">
        <f t="shared" ca="1" si="56"/>
        <v>1088</v>
      </c>
    </row>
    <row r="860" spans="1:27" x14ac:dyDescent="0.3">
      <c r="A860" t="s">
        <v>1741</v>
      </c>
      <c r="B860" t="s">
        <v>1742</v>
      </c>
      <c r="C860" t="s">
        <v>28</v>
      </c>
      <c r="D860" t="s">
        <v>13</v>
      </c>
      <c r="E860" s="1">
        <v>45250</v>
      </c>
      <c r="F860" t="s">
        <v>14</v>
      </c>
      <c r="G860">
        <v>2312</v>
      </c>
      <c r="H860">
        <v>6130</v>
      </c>
      <c r="I860">
        <v>2.66</v>
      </c>
      <c r="J860">
        <v>54</v>
      </c>
      <c r="P860">
        <f t="shared" ca="1" si="53"/>
        <v>602</v>
      </c>
      <c r="Q860" t="str" cm="1">
        <f t="array" ref="Q860">_xlfn.IFS(I860&gt;=3.5,"Excellent", I860&gt;3,"Good",I860&gt;2,"Average",I860&lt;2,"Poor")</f>
        <v>Average</v>
      </c>
      <c r="S860" t="b">
        <f t="shared" si="54"/>
        <v>1</v>
      </c>
      <c r="U860">
        <f t="shared" si="55"/>
        <v>2023</v>
      </c>
      <c r="AA860" t="str">
        <f t="shared" ca="1" si="56"/>
        <v/>
      </c>
    </row>
    <row r="861" spans="1:27" x14ac:dyDescent="0.3">
      <c r="A861" t="s">
        <v>1743</v>
      </c>
      <c r="B861" t="s">
        <v>1744</v>
      </c>
      <c r="C861" t="s">
        <v>57</v>
      </c>
      <c r="D861" t="s">
        <v>62</v>
      </c>
      <c r="E861" s="1">
        <v>44774</v>
      </c>
      <c r="F861" t="s">
        <v>14</v>
      </c>
      <c r="G861">
        <v>12046</v>
      </c>
      <c r="H861">
        <v>1594</v>
      </c>
      <c r="I861">
        <v>2.35</v>
      </c>
      <c r="J861">
        <v>31</v>
      </c>
      <c r="P861">
        <f t="shared" ca="1" si="53"/>
        <v>1078</v>
      </c>
      <c r="Q861" t="str" cm="1">
        <f t="array" ref="Q861">_xlfn.IFS(I861&gt;=3.5,"Excellent", I861&gt;3,"Good",I861&gt;2,"Average",I861&lt;2,"Poor")</f>
        <v>Average</v>
      </c>
      <c r="S861" t="str">
        <f t="shared" si="54"/>
        <v xml:space="preserve"> </v>
      </c>
      <c r="U861">
        <f t="shared" si="55"/>
        <v>2022</v>
      </c>
      <c r="AA861" t="str">
        <f t="shared" ca="1" si="56"/>
        <v/>
      </c>
    </row>
    <row r="862" spans="1:27" x14ac:dyDescent="0.3">
      <c r="A862" t="s">
        <v>1745</v>
      </c>
      <c r="B862" t="s">
        <v>1746</v>
      </c>
      <c r="C862" t="s">
        <v>17</v>
      </c>
      <c r="D862" t="s">
        <v>31</v>
      </c>
      <c r="E862" s="1">
        <v>45097</v>
      </c>
      <c r="F862" t="s">
        <v>14</v>
      </c>
      <c r="G862">
        <v>6750</v>
      </c>
      <c r="H862">
        <v>6005</v>
      </c>
      <c r="I862">
        <v>2.2799999999999998</v>
      </c>
      <c r="J862">
        <v>114</v>
      </c>
      <c r="P862">
        <f t="shared" ca="1" si="53"/>
        <v>755</v>
      </c>
      <c r="Q862" t="str" cm="1">
        <f t="array" ref="Q862">_xlfn.IFS(I862&gt;=3.5,"Excellent", I862&gt;3,"Good",I862&gt;2,"Average",I862&lt;2,"Poor")</f>
        <v>Average</v>
      </c>
      <c r="S862" t="b">
        <f t="shared" si="54"/>
        <v>1</v>
      </c>
      <c r="U862">
        <f t="shared" si="55"/>
        <v>2023</v>
      </c>
      <c r="AA862" t="str">
        <f t="shared" ca="1" si="56"/>
        <v/>
      </c>
    </row>
    <row r="863" spans="1:27" x14ac:dyDescent="0.3">
      <c r="A863" t="s">
        <v>1747</v>
      </c>
      <c r="B863" t="s">
        <v>1748</v>
      </c>
      <c r="C863" t="s">
        <v>36</v>
      </c>
      <c r="D863" t="s">
        <v>62</v>
      </c>
      <c r="E863" s="1">
        <v>45166</v>
      </c>
      <c r="F863" t="s">
        <v>14</v>
      </c>
      <c r="G863">
        <v>4842</v>
      </c>
      <c r="H863">
        <v>7238</v>
      </c>
      <c r="I863">
        <v>2.0299999999999998</v>
      </c>
      <c r="J863">
        <v>46</v>
      </c>
      <c r="P863">
        <f t="shared" ca="1" si="53"/>
        <v>686</v>
      </c>
      <c r="Q863" t="str" cm="1">
        <f t="array" ref="Q863">_xlfn.IFS(I863&gt;=3.5,"Excellent", I863&gt;3,"Good",I863&gt;2,"Average",I863&lt;2,"Poor")</f>
        <v>Average</v>
      </c>
      <c r="S863" t="b">
        <f t="shared" si="54"/>
        <v>1</v>
      </c>
      <c r="U863">
        <f t="shared" si="55"/>
        <v>2023</v>
      </c>
      <c r="AA863" t="str">
        <f t="shared" ca="1" si="56"/>
        <v/>
      </c>
    </row>
    <row r="864" spans="1:27" x14ac:dyDescent="0.3">
      <c r="A864" t="s">
        <v>1749</v>
      </c>
      <c r="B864" t="s">
        <v>1750</v>
      </c>
      <c r="C864" t="s">
        <v>57</v>
      </c>
      <c r="D864" t="s">
        <v>18</v>
      </c>
      <c r="E864" s="1">
        <v>44647</v>
      </c>
      <c r="F864" t="s">
        <v>14</v>
      </c>
      <c r="G864">
        <v>7267</v>
      </c>
      <c r="H864">
        <v>7428</v>
      </c>
      <c r="I864">
        <v>3.25</v>
      </c>
      <c r="J864">
        <v>115</v>
      </c>
      <c r="P864">
        <f t="shared" ca="1" si="53"/>
        <v>1205</v>
      </c>
      <c r="Q864" t="str" cm="1">
        <f t="array" ref="Q864">_xlfn.IFS(I864&gt;=3.5,"Excellent", I864&gt;3,"Good",I864&gt;2,"Average",I864&lt;2,"Poor")</f>
        <v>Good</v>
      </c>
      <c r="S864" t="b">
        <f t="shared" si="54"/>
        <v>1</v>
      </c>
      <c r="U864">
        <f t="shared" si="55"/>
        <v>2022</v>
      </c>
      <c r="AA864" t="str">
        <f t="shared" ca="1" si="56"/>
        <v/>
      </c>
    </row>
    <row r="865" spans="1:27" x14ac:dyDescent="0.3">
      <c r="A865" t="s">
        <v>1751</v>
      </c>
      <c r="B865" t="s">
        <v>1752</v>
      </c>
      <c r="C865" t="s">
        <v>22</v>
      </c>
      <c r="D865" t="s">
        <v>18</v>
      </c>
      <c r="E865" s="1">
        <v>44921</v>
      </c>
      <c r="F865" t="s">
        <v>14</v>
      </c>
      <c r="G865">
        <v>8934</v>
      </c>
      <c r="H865">
        <v>7479</v>
      </c>
      <c r="I865">
        <v>2.29</v>
      </c>
      <c r="J865">
        <v>39</v>
      </c>
      <c r="P865">
        <f t="shared" ca="1" si="53"/>
        <v>931</v>
      </c>
      <c r="Q865" t="str" cm="1">
        <f t="array" ref="Q865">_xlfn.IFS(I865&gt;=3.5,"Excellent", I865&gt;3,"Good",I865&gt;2,"Average",I865&lt;2,"Poor")</f>
        <v>Average</v>
      </c>
      <c r="S865" t="b">
        <f t="shared" si="54"/>
        <v>1</v>
      </c>
      <c r="U865">
        <f t="shared" si="55"/>
        <v>2022</v>
      </c>
      <c r="AA865" t="str">
        <f t="shared" ca="1" si="56"/>
        <v/>
      </c>
    </row>
    <row r="866" spans="1:27" x14ac:dyDescent="0.3">
      <c r="A866" t="s">
        <v>1753</v>
      </c>
      <c r="B866" t="s">
        <v>1754</v>
      </c>
      <c r="C866" t="s">
        <v>54</v>
      </c>
      <c r="D866" t="s">
        <v>62</v>
      </c>
      <c r="E866" s="1">
        <v>44611</v>
      </c>
      <c r="F866" t="s">
        <v>39</v>
      </c>
      <c r="G866">
        <v>10532</v>
      </c>
      <c r="H866">
        <v>6202</v>
      </c>
      <c r="I866">
        <v>2.93</v>
      </c>
      <c r="J866">
        <v>109</v>
      </c>
      <c r="P866" t="str">
        <f t="shared" ca="1" si="53"/>
        <v xml:space="preserve"> </v>
      </c>
      <c r="Q866" t="str" cm="1">
        <f t="array" ref="Q866">_xlfn.IFS(I866&gt;=3.5,"Excellent", I866&gt;3,"Good",I866&gt;2,"Average",I866&lt;2,"Poor")</f>
        <v>Average</v>
      </c>
      <c r="S866" t="b">
        <f t="shared" si="54"/>
        <v>1</v>
      </c>
      <c r="U866">
        <f t="shared" si="55"/>
        <v>2022</v>
      </c>
      <c r="AA866" t="str">
        <f t="shared" ca="1" si="56"/>
        <v/>
      </c>
    </row>
    <row r="867" spans="1:27" x14ac:dyDescent="0.3">
      <c r="A867" t="s">
        <v>1755</v>
      </c>
      <c r="B867" t="s">
        <v>1756</v>
      </c>
      <c r="C867" t="s">
        <v>28</v>
      </c>
      <c r="D867" t="s">
        <v>18</v>
      </c>
      <c r="E867" s="1">
        <v>45215</v>
      </c>
      <c r="F867" t="s">
        <v>19</v>
      </c>
      <c r="G867">
        <v>2177</v>
      </c>
      <c r="H867">
        <v>9305</v>
      </c>
      <c r="I867">
        <v>2.5099999999999998</v>
      </c>
      <c r="J867">
        <v>50</v>
      </c>
      <c r="P867" t="str">
        <f t="shared" ca="1" si="53"/>
        <v xml:space="preserve"> </v>
      </c>
      <c r="Q867" t="str" cm="1">
        <f t="array" ref="Q867">_xlfn.IFS(I867&gt;=3.5,"Excellent", I867&gt;3,"Good",I867&gt;2,"Average",I867&lt;2,"Poor")</f>
        <v>Average</v>
      </c>
      <c r="S867" t="b">
        <f t="shared" si="54"/>
        <v>1</v>
      </c>
      <c r="U867">
        <f t="shared" si="55"/>
        <v>2023</v>
      </c>
      <c r="AA867">
        <f t="shared" ca="1" si="56"/>
        <v>637</v>
      </c>
    </row>
    <row r="868" spans="1:27" x14ac:dyDescent="0.3">
      <c r="A868" t="s">
        <v>1757</v>
      </c>
      <c r="B868" t="s">
        <v>1758</v>
      </c>
      <c r="C868" t="s">
        <v>57</v>
      </c>
      <c r="D868" t="s">
        <v>31</v>
      </c>
      <c r="E868" s="1">
        <v>44999</v>
      </c>
      <c r="F868" t="s">
        <v>14</v>
      </c>
      <c r="G868">
        <v>8971</v>
      </c>
      <c r="H868">
        <v>8015</v>
      </c>
      <c r="I868">
        <v>3.05</v>
      </c>
      <c r="J868">
        <v>106</v>
      </c>
      <c r="P868">
        <f t="shared" ca="1" si="53"/>
        <v>853</v>
      </c>
      <c r="Q868" t="str" cm="1">
        <f t="array" ref="Q868">_xlfn.IFS(I868&gt;=3.5,"Excellent", I868&gt;3,"Good",I868&gt;2,"Average",I868&lt;2,"Poor")</f>
        <v>Good</v>
      </c>
      <c r="S868" t="b">
        <f t="shared" si="54"/>
        <v>1</v>
      </c>
      <c r="U868">
        <f t="shared" si="55"/>
        <v>2023</v>
      </c>
      <c r="AA868" t="str">
        <f t="shared" ca="1" si="56"/>
        <v/>
      </c>
    </row>
    <row r="869" spans="1:27" x14ac:dyDescent="0.3">
      <c r="A869" t="s">
        <v>1759</v>
      </c>
      <c r="B869" t="s">
        <v>1760</v>
      </c>
      <c r="C869" t="s">
        <v>22</v>
      </c>
      <c r="D869" t="s">
        <v>31</v>
      </c>
      <c r="E869" s="1">
        <v>44745</v>
      </c>
      <c r="F869" t="s">
        <v>39</v>
      </c>
      <c r="G869">
        <v>13897</v>
      </c>
      <c r="H869">
        <v>7593</v>
      </c>
      <c r="I869">
        <v>3.25</v>
      </c>
      <c r="J869">
        <v>63</v>
      </c>
      <c r="P869" t="str">
        <f t="shared" ca="1" si="53"/>
        <v xml:space="preserve"> </v>
      </c>
      <c r="Q869" t="str" cm="1">
        <f t="array" ref="Q869">_xlfn.IFS(I869&gt;=3.5,"Excellent", I869&gt;3,"Good",I869&gt;2,"Average",I869&lt;2,"Poor")</f>
        <v>Good</v>
      </c>
      <c r="S869" t="b">
        <f t="shared" si="54"/>
        <v>1</v>
      </c>
      <c r="U869">
        <f t="shared" si="55"/>
        <v>2022</v>
      </c>
      <c r="AA869" t="str">
        <f t="shared" ca="1" si="56"/>
        <v/>
      </c>
    </row>
    <row r="870" spans="1:27" x14ac:dyDescent="0.3">
      <c r="A870" t="s">
        <v>1761</v>
      </c>
      <c r="B870" t="s">
        <v>1762</v>
      </c>
      <c r="C870" t="s">
        <v>28</v>
      </c>
      <c r="D870" t="s">
        <v>13</v>
      </c>
      <c r="E870" s="1">
        <v>44776</v>
      </c>
      <c r="F870" t="s">
        <v>14</v>
      </c>
      <c r="G870">
        <v>5508</v>
      </c>
      <c r="H870">
        <v>7751</v>
      </c>
      <c r="I870">
        <v>2.0099999999999998</v>
      </c>
      <c r="J870">
        <v>17</v>
      </c>
      <c r="P870">
        <f t="shared" ca="1" si="53"/>
        <v>1076</v>
      </c>
      <c r="Q870" t="str" cm="1">
        <f t="array" ref="Q870">_xlfn.IFS(I870&gt;=3.5,"Excellent", I870&gt;3,"Good",I870&gt;2,"Average",I870&lt;2,"Poor")</f>
        <v>Average</v>
      </c>
      <c r="S870" t="b">
        <f t="shared" si="54"/>
        <v>1</v>
      </c>
      <c r="U870">
        <f t="shared" si="55"/>
        <v>2022</v>
      </c>
      <c r="AA870" t="str">
        <f t="shared" ca="1" si="56"/>
        <v/>
      </c>
    </row>
    <row r="871" spans="1:27" x14ac:dyDescent="0.3">
      <c r="A871" t="s">
        <v>1763</v>
      </c>
      <c r="B871" t="s">
        <v>1764</v>
      </c>
      <c r="C871" t="s">
        <v>25</v>
      </c>
      <c r="D871" t="s">
        <v>13</v>
      </c>
      <c r="E871" s="1">
        <v>45251</v>
      </c>
      <c r="F871" t="s">
        <v>14</v>
      </c>
      <c r="G871">
        <v>12065</v>
      </c>
      <c r="H871">
        <v>2882</v>
      </c>
      <c r="I871">
        <v>2.35</v>
      </c>
      <c r="J871">
        <v>93</v>
      </c>
      <c r="P871">
        <f t="shared" ca="1" si="53"/>
        <v>601</v>
      </c>
      <c r="Q871" t="str" cm="1">
        <f t="array" ref="Q871">_xlfn.IFS(I871&gt;=3.5,"Excellent", I871&gt;3,"Good",I871&gt;2,"Average",I871&lt;2,"Poor")</f>
        <v>Average</v>
      </c>
      <c r="S871" t="str">
        <f t="shared" si="54"/>
        <v xml:space="preserve"> </v>
      </c>
      <c r="U871">
        <f t="shared" si="55"/>
        <v>2023</v>
      </c>
      <c r="AA871" t="str">
        <f t="shared" ca="1" si="56"/>
        <v/>
      </c>
    </row>
    <row r="872" spans="1:27" x14ac:dyDescent="0.3">
      <c r="A872" t="s">
        <v>1765</v>
      </c>
      <c r="B872" t="s">
        <v>1766</v>
      </c>
      <c r="C872" t="s">
        <v>57</v>
      </c>
      <c r="D872" t="s">
        <v>13</v>
      </c>
      <c r="E872" s="1">
        <v>45173</v>
      </c>
      <c r="F872" t="s">
        <v>14</v>
      </c>
      <c r="G872">
        <v>4499</v>
      </c>
      <c r="H872">
        <v>9517</v>
      </c>
      <c r="I872">
        <v>2.71</v>
      </c>
      <c r="J872">
        <v>2</v>
      </c>
      <c r="P872">
        <f t="shared" ca="1" si="53"/>
        <v>679</v>
      </c>
      <c r="Q872" t="str" cm="1">
        <f t="array" ref="Q872">_xlfn.IFS(I872&gt;=3.5,"Excellent", I872&gt;3,"Good",I872&gt;2,"Average",I872&lt;2,"Poor")</f>
        <v>Average</v>
      </c>
      <c r="S872" t="b">
        <f t="shared" si="54"/>
        <v>1</v>
      </c>
      <c r="U872">
        <f t="shared" si="55"/>
        <v>2023</v>
      </c>
      <c r="AA872" t="str">
        <f t="shared" ca="1" si="56"/>
        <v/>
      </c>
    </row>
    <row r="873" spans="1:27" x14ac:dyDescent="0.3">
      <c r="A873" t="s">
        <v>1767</v>
      </c>
      <c r="B873" t="s">
        <v>1768</v>
      </c>
      <c r="C873" t="s">
        <v>28</v>
      </c>
      <c r="D873" t="s">
        <v>62</v>
      </c>
      <c r="E873" s="1">
        <v>44888</v>
      </c>
      <c r="F873" t="s">
        <v>14</v>
      </c>
      <c r="G873">
        <v>12459</v>
      </c>
      <c r="H873">
        <v>889</v>
      </c>
      <c r="I873">
        <v>3.43</v>
      </c>
      <c r="J873">
        <v>57</v>
      </c>
      <c r="P873">
        <f t="shared" ca="1" si="53"/>
        <v>964</v>
      </c>
      <c r="Q873" t="str" cm="1">
        <f t="array" ref="Q873">_xlfn.IFS(I873&gt;=3.5,"Excellent", I873&gt;3,"Good",I873&gt;2,"Average",I873&lt;2,"Poor")</f>
        <v>Good</v>
      </c>
      <c r="S873" t="str">
        <f t="shared" si="54"/>
        <v xml:space="preserve"> </v>
      </c>
      <c r="U873">
        <f t="shared" si="55"/>
        <v>2022</v>
      </c>
      <c r="AA873" t="str">
        <f t="shared" ca="1" si="56"/>
        <v/>
      </c>
    </row>
    <row r="874" spans="1:27" x14ac:dyDescent="0.3">
      <c r="A874" t="s">
        <v>1769</v>
      </c>
      <c r="B874" t="s">
        <v>1770</v>
      </c>
      <c r="C874" t="s">
        <v>57</v>
      </c>
      <c r="D874" t="s">
        <v>13</v>
      </c>
      <c r="E874" s="1">
        <v>45018</v>
      </c>
      <c r="F874" t="s">
        <v>14</v>
      </c>
      <c r="G874">
        <v>4107</v>
      </c>
      <c r="H874">
        <v>6953</v>
      </c>
      <c r="I874">
        <v>3.32</v>
      </c>
      <c r="J874">
        <v>8</v>
      </c>
      <c r="P874">
        <f t="shared" ca="1" si="53"/>
        <v>834</v>
      </c>
      <c r="Q874" t="str" cm="1">
        <f t="array" ref="Q874">_xlfn.IFS(I874&gt;=3.5,"Excellent", I874&gt;3,"Good",I874&gt;2,"Average",I874&lt;2,"Poor")</f>
        <v>Good</v>
      </c>
      <c r="S874" t="b">
        <f t="shared" si="54"/>
        <v>1</v>
      </c>
      <c r="U874">
        <f t="shared" si="55"/>
        <v>2023</v>
      </c>
      <c r="AA874" t="str">
        <f t="shared" ca="1" si="56"/>
        <v/>
      </c>
    </row>
    <row r="875" spans="1:27" x14ac:dyDescent="0.3">
      <c r="A875" t="s">
        <v>1771</v>
      </c>
      <c r="B875" t="s">
        <v>1772</v>
      </c>
      <c r="C875" t="s">
        <v>36</v>
      </c>
      <c r="D875" t="s">
        <v>18</v>
      </c>
      <c r="E875" s="1">
        <v>44690</v>
      </c>
      <c r="F875" t="s">
        <v>14</v>
      </c>
      <c r="G875">
        <v>3251</v>
      </c>
      <c r="H875">
        <v>9829</v>
      </c>
      <c r="I875">
        <v>2.73</v>
      </c>
      <c r="J875">
        <v>60</v>
      </c>
      <c r="P875">
        <f t="shared" ca="1" si="53"/>
        <v>1162</v>
      </c>
      <c r="Q875" t="str" cm="1">
        <f t="array" ref="Q875">_xlfn.IFS(I875&gt;=3.5,"Excellent", I875&gt;3,"Good",I875&gt;2,"Average",I875&lt;2,"Poor")</f>
        <v>Average</v>
      </c>
      <c r="S875" t="b">
        <f t="shared" si="54"/>
        <v>1</v>
      </c>
      <c r="U875">
        <f t="shared" si="55"/>
        <v>2022</v>
      </c>
      <c r="AA875" t="str">
        <f t="shared" ca="1" si="56"/>
        <v/>
      </c>
    </row>
    <row r="876" spans="1:27" x14ac:dyDescent="0.3">
      <c r="A876" t="s">
        <v>1773</v>
      </c>
      <c r="B876" t="s">
        <v>1774</v>
      </c>
      <c r="C876" t="s">
        <v>54</v>
      </c>
      <c r="D876" t="s">
        <v>18</v>
      </c>
      <c r="E876" s="1">
        <v>44578</v>
      </c>
      <c r="F876" t="s">
        <v>39</v>
      </c>
      <c r="G876">
        <v>8000</v>
      </c>
      <c r="H876">
        <v>5181</v>
      </c>
      <c r="I876">
        <v>2.27</v>
      </c>
      <c r="J876">
        <v>92</v>
      </c>
      <c r="P876" t="str">
        <f t="shared" ca="1" si="53"/>
        <v xml:space="preserve"> </v>
      </c>
      <c r="Q876" t="str" cm="1">
        <f t="array" ref="Q876">_xlfn.IFS(I876&gt;=3.5,"Excellent", I876&gt;3,"Good",I876&gt;2,"Average",I876&lt;2,"Poor")</f>
        <v>Average</v>
      </c>
      <c r="S876" t="b">
        <f t="shared" si="54"/>
        <v>1</v>
      </c>
      <c r="U876">
        <f t="shared" si="55"/>
        <v>2022</v>
      </c>
      <c r="AA876" t="str">
        <f t="shared" ca="1" si="56"/>
        <v/>
      </c>
    </row>
    <row r="877" spans="1:27" x14ac:dyDescent="0.3">
      <c r="A877" t="s">
        <v>1775</v>
      </c>
      <c r="B877" t="s">
        <v>1776</v>
      </c>
      <c r="C877" t="s">
        <v>57</v>
      </c>
      <c r="D877" t="s">
        <v>62</v>
      </c>
      <c r="E877" s="1">
        <v>45405</v>
      </c>
      <c r="F877" t="s">
        <v>14</v>
      </c>
      <c r="G877">
        <v>4905</v>
      </c>
      <c r="H877">
        <v>8239</v>
      </c>
      <c r="I877">
        <v>3.24</v>
      </c>
      <c r="J877">
        <v>13</v>
      </c>
      <c r="P877">
        <f t="shared" ca="1" si="53"/>
        <v>447</v>
      </c>
      <c r="Q877" t="str" cm="1">
        <f t="array" ref="Q877">_xlfn.IFS(I877&gt;=3.5,"Excellent", I877&gt;3,"Good",I877&gt;2,"Average",I877&lt;2,"Poor")</f>
        <v>Good</v>
      </c>
      <c r="S877" t="b">
        <f t="shared" si="54"/>
        <v>1</v>
      </c>
      <c r="U877">
        <f t="shared" si="55"/>
        <v>2024</v>
      </c>
      <c r="AA877" t="str">
        <f t="shared" ca="1" si="56"/>
        <v/>
      </c>
    </row>
    <row r="878" spans="1:27" x14ac:dyDescent="0.3">
      <c r="A878" t="s">
        <v>1777</v>
      </c>
      <c r="B878" t="s">
        <v>1778</v>
      </c>
      <c r="C878" t="s">
        <v>36</v>
      </c>
      <c r="D878" t="s">
        <v>62</v>
      </c>
      <c r="E878" s="1">
        <v>45071</v>
      </c>
      <c r="F878" t="s">
        <v>14</v>
      </c>
      <c r="G878">
        <v>12331</v>
      </c>
      <c r="H878">
        <v>1249</v>
      </c>
      <c r="I878">
        <v>2.46</v>
      </c>
      <c r="J878">
        <v>29</v>
      </c>
      <c r="P878">
        <f t="shared" ca="1" si="53"/>
        <v>781</v>
      </c>
      <c r="Q878" t="str" cm="1">
        <f t="array" ref="Q878">_xlfn.IFS(I878&gt;=3.5,"Excellent", I878&gt;3,"Good",I878&gt;2,"Average",I878&lt;2,"Poor")</f>
        <v>Average</v>
      </c>
      <c r="S878" t="str">
        <f t="shared" si="54"/>
        <v xml:space="preserve"> </v>
      </c>
      <c r="U878">
        <f t="shared" si="55"/>
        <v>2023</v>
      </c>
      <c r="AA878" t="str">
        <f t="shared" ca="1" si="56"/>
        <v/>
      </c>
    </row>
    <row r="879" spans="1:27" x14ac:dyDescent="0.3">
      <c r="A879" t="s">
        <v>1779</v>
      </c>
      <c r="B879" t="s">
        <v>1780</v>
      </c>
      <c r="C879" t="s">
        <v>57</v>
      </c>
      <c r="D879" t="s">
        <v>62</v>
      </c>
      <c r="E879" s="1">
        <v>45041</v>
      </c>
      <c r="F879" t="s">
        <v>39</v>
      </c>
      <c r="G879">
        <v>13471</v>
      </c>
      <c r="H879">
        <v>786</v>
      </c>
      <c r="I879">
        <v>3.26</v>
      </c>
      <c r="J879">
        <v>94</v>
      </c>
      <c r="P879" t="str">
        <f t="shared" ca="1" si="53"/>
        <v xml:space="preserve"> </v>
      </c>
      <c r="Q879" t="str" cm="1">
        <f t="array" ref="Q879">_xlfn.IFS(I879&gt;=3.5,"Excellent", I879&gt;3,"Good",I879&gt;2,"Average",I879&lt;2,"Poor")</f>
        <v>Good</v>
      </c>
      <c r="S879" t="str">
        <f t="shared" si="54"/>
        <v xml:space="preserve"> </v>
      </c>
      <c r="U879">
        <f t="shared" si="55"/>
        <v>2023</v>
      </c>
      <c r="AA879" t="str">
        <f t="shared" ca="1" si="56"/>
        <v/>
      </c>
    </row>
    <row r="880" spans="1:27" x14ac:dyDescent="0.3">
      <c r="A880" t="s">
        <v>1781</v>
      </c>
      <c r="B880" t="s">
        <v>1782</v>
      </c>
      <c r="C880" t="s">
        <v>22</v>
      </c>
      <c r="D880" t="s">
        <v>31</v>
      </c>
      <c r="E880" s="1">
        <v>44894</v>
      </c>
      <c r="F880" t="s">
        <v>14</v>
      </c>
      <c r="G880">
        <v>9678</v>
      </c>
      <c r="H880">
        <v>6115</v>
      </c>
      <c r="I880">
        <v>3.56</v>
      </c>
      <c r="J880">
        <v>81</v>
      </c>
      <c r="P880">
        <f t="shared" ca="1" si="53"/>
        <v>958</v>
      </c>
      <c r="Q880" t="str" cm="1">
        <f t="array" ref="Q880">_xlfn.IFS(I880&gt;=3.5,"Excellent", I880&gt;3,"Good",I880&gt;2,"Average",I880&lt;2,"Poor")</f>
        <v>Excellent</v>
      </c>
      <c r="S880" t="b">
        <f t="shared" si="54"/>
        <v>1</v>
      </c>
      <c r="U880">
        <f t="shared" si="55"/>
        <v>2022</v>
      </c>
      <c r="AA880" t="str">
        <f t="shared" ca="1" si="56"/>
        <v/>
      </c>
    </row>
    <row r="881" spans="1:27" x14ac:dyDescent="0.3">
      <c r="A881" t="s">
        <v>1783</v>
      </c>
      <c r="B881" t="s">
        <v>1784</v>
      </c>
      <c r="C881" t="s">
        <v>17</v>
      </c>
      <c r="D881" t="s">
        <v>13</v>
      </c>
      <c r="E881" s="1">
        <v>44796</v>
      </c>
      <c r="F881" t="s">
        <v>14</v>
      </c>
      <c r="G881">
        <v>9888</v>
      </c>
      <c r="H881">
        <v>7169</v>
      </c>
      <c r="I881">
        <v>3.71</v>
      </c>
      <c r="J881">
        <v>15</v>
      </c>
      <c r="P881">
        <f t="shared" ca="1" si="53"/>
        <v>1056</v>
      </c>
      <c r="Q881" t="str" cm="1">
        <f t="array" ref="Q881">_xlfn.IFS(I881&gt;=3.5,"Excellent", I881&gt;3,"Good",I881&gt;2,"Average",I881&lt;2,"Poor")</f>
        <v>Excellent</v>
      </c>
      <c r="S881" t="b">
        <f t="shared" si="54"/>
        <v>1</v>
      </c>
      <c r="U881">
        <f t="shared" si="55"/>
        <v>2022</v>
      </c>
      <c r="AA881" t="str">
        <f t="shared" ca="1" si="56"/>
        <v/>
      </c>
    </row>
    <row r="882" spans="1:27" x14ac:dyDescent="0.3">
      <c r="A882" t="s">
        <v>1785</v>
      </c>
      <c r="B882" t="s">
        <v>1786</v>
      </c>
      <c r="C882" t="s">
        <v>25</v>
      </c>
      <c r="D882" t="s">
        <v>18</v>
      </c>
      <c r="E882" s="1">
        <v>44955</v>
      </c>
      <c r="F882" t="s">
        <v>14</v>
      </c>
      <c r="G882">
        <v>11687</v>
      </c>
      <c r="H882">
        <v>8105</v>
      </c>
      <c r="I882">
        <v>3.45</v>
      </c>
      <c r="J882">
        <v>89</v>
      </c>
      <c r="P882">
        <f t="shared" ca="1" si="53"/>
        <v>897</v>
      </c>
      <c r="Q882" t="str" cm="1">
        <f t="array" ref="Q882">_xlfn.IFS(I882&gt;=3.5,"Excellent", I882&gt;3,"Good",I882&gt;2,"Average",I882&lt;2,"Poor")</f>
        <v>Good</v>
      </c>
      <c r="S882" t="b">
        <f t="shared" si="54"/>
        <v>1</v>
      </c>
      <c r="U882">
        <f t="shared" si="55"/>
        <v>2023</v>
      </c>
      <c r="AA882" t="str">
        <f t="shared" ca="1" si="56"/>
        <v/>
      </c>
    </row>
    <row r="883" spans="1:27" x14ac:dyDescent="0.3">
      <c r="A883" t="s">
        <v>1787</v>
      </c>
      <c r="B883" t="s">
        <v>1788</v>
      </c>
      <c r="C883" t="s">
        <v>36</v>
      </c>
      <c r="D883" t="s">
        <v>13</v>
      </c>
      <c r="E883" s="1">
        <v>45057</v>
      </c>
      <c r="F883" t="s">
        <v>14</v>
      </c>
      <c r="G883">
        <v>7453</v>
      </c>
      <c r="H883">
        <v>143</v>
      </c>
      <c r="I883">
        <v>2.73</v>
      </c>
      <c r="J883">
        <v>64</v>
      </c>
      <c r="P883">
        <f t="shared" ca="1" si="53"/>
        <v>795</v>
      </c>
      <c r="Q883" t="str" cm="1">
        <f t="array" ref="Q883">_xlfn.IFS(I883&gt;=3.5,"Excellent", I883&gt;3,"Good",I883&gt;2,"Average",I883&lt;2,"Poor")</f>
        <v>Average</v>
      </c>
      <c r="S883" t="str">
        <f t="shared" si="54"/>
        <v xml:space="preserve"> </v>
      </c>
      <c r="U883">
        <f t="shared" si="55"/>
        <v>2023</v>
      </c>
      <c r="AA883" t="str">
        <f t="shared" ca="1" si="56"/>
        <v/>
      </c>
    </row>
    <row r="884" spans="1:27" x14ac:dyDescent="0.3">
      <c r="A884" t="s">
        <v>1789</v>
      </c>
      <c r="B884" t="s">
        <v>1790</v>
      </c>
      <c r="C884" t="s">
        <v>28</v>
      </c>
      <c r="D884" t="s">
        <v>62</v>
      </c>
      <c r="E884" s="1">
        <v>44932</v>
      </c>
      <c r="F884" t="s">
        <v>14</v>
      </c>
      <c r="G884">
        <v>8695</v>
      </c>
      <c r="H884">
        <v>7266</v>
      </c>
      <c r="I884">
        <v>3.03</v>
      </c>
      <c r="J884">
        <v>71</v>
      </c>
      <c r="P884">
        <f t="shared" ca="1" si="53"/>
        <v>920</v>
      </c>
      <c r="Q884" t="str" cm="1">
        <f t="array" ref="Q884">_xlfn.IFS(I884&gt;=3.5,"Excellent", I884&gt;3,"Good",I884&gt;2,"Average",I884&lt;2,"Poor")</f>
        <v>Good</v>
      </c>
      <c r="S884" t="b">
        <f t="shared" si="54"/>
        <v>1</v>
      </c>
      <c r="U884">
        <f t="shared" si="55"/>
        <v>2023</v>
      </c>
      <c r="AA884" t="str">
        <f t="shared" ca="1" si="56"/>
        <v/>
      </c>
    </row>
    <row r="885" spans="1:27" x14ac:dyDescent="0.3">
      <c r="A885" t="s">
        <v>1791</v>
      </c>
      <c r="B885" t="s">
        <v>1792</v>
      </c>
      <c r="C885" t="s">
        <v>57</v>
      </c>
      <c r="D885" t="s">
        <v>31</v>
      </c>
      <c r="E885" s="1">
        <v>45001</v>
      </c>
      <c r="F885" t="s">
        <v>19</v>
      </c>
      <c r="G885">
        <v>4856</v>
      </c>
      <c r="H885">
        <v>878</v>
      </c>
      <c r="I885">
        <v>2.65</v>
      </c>
      <c r="J885">
        <v>29</v>
      </c>
      <c r="P885" t="str">
        <f t="shared" ca="1" si="53"/>
        <v xml:space="preserve"> </v>
      </c>
      <c r="Q885" t="str" cm="1">
        <f t="array" ref="Q885">_xlfn.IFS(I885&gt;=3.5,"Excellent", I885&gt;3,"Good",I885&gt;2,"Average",I885&lt;2,"Poor")</f>
        <v>Average</v>
      </c>
      <c r="S885" t="str">
        <f t="shared" si="54"/>
        <v xml:space="preserve"> </v>
      </c>
      <c r="U885">
        <f t="shared" si="55"/>
        <v>2023</v>
      </c>
      <c r="AA885">
        <f t="shared" ca="1" si="56"/>
        <v>851</v>
      </c>
    </row>
    <row r="886" spans="1:27" x14ac:dyDescent="0.3">
      <c r="A886" t="s">
        <v>1793</v>
      </c>
      <c r="B886" t="s">
        <v>1794</v>
      </c>
      <c r="C886" t="s">
        <v>12</v>
      </c>
      <c r="D886" t="s">
        <v>62</v>
      </c>
      <c r="E886" s="1">
        <v>45231</v>
      </c>
      <c r="F886" t="s">
        <v>39</v>
      </c>
      <c r="G886">
        <v>6249</v>
      </c>
      <c r="H886">
        <v>1193</v>
      </c>
      <c r="I886">
        <v>3.99</v>
      </c>
      <c r="J886">
        <v>59</v>
      </c>
      <c r="P886" t="str">
        <f t="shared" ca="1" si="53"/>
        <v xml:space="preserve"> </v>
      </c>
      <c r="Q886" t="str" cm="1">
        <f t="array" ref="Q886">_xlfn.IFS(I886&gt;=3.5,"Excellent", I886&gt;3,"Good",I886&gt;2,"Average",I886&lt;2,"Poor")</f>
        <v>Excellent</v>
      </c>
      <c r="S886" t="str">
        <f t="shared" si="54"/>
        <v xml:space="preserve"> </v>
      </c>
      <c r="U886">
        <f t="shared" si="55"/>
        <v>2023</v>
      </c>
      <c r="AA886" t="str">
        <f t="shared" ca="1" si="56"/>
        <v/>
      </c>
    </row>
    <row r="887" spans="1:27" x14ac:dyDescent="0.3">
      <c r="A887" t="s">
        <v>1795</v>
      </c>
      <c r="B887" t="s">
        <v>1796</v>
      </c>
      <c r="C887" t="s">
        <v>57</v>
      </c>
      <c r="D887" t="s">
        <v>31</v>
      </c>
      <c r="E887" s="1">
        <v>45294</v>
      </c>
      <c r="F887" t="s">
        <v>14</v>
      </c>
      <c r="G887">
        <v>14319</v>
      </c>
      <c r="H887">
        <v>4428</v>
      </c>
      <c r="I887">
        <v>3.31</v>
      </c>
      <c r="J887">
        <v>36</v>
      </c>
      <c r="P887">
        <f t="shared" ca="1" si="53"/>
        <v>558</v>
      </c>
      <c r="Q887" t="str" cm="1">
        <f t="array" ref="Q887">_xlfn.IFS(I887&gt;=3.5,"Excellent", I887&gt;3,"Good",I887&gt;2,"Average",I887&lt;2,"Poor")</f>
        <v>Good</v>
      </c>
      <c r="S887" t="str">
        <f t="shared" si="54"/>
        <v xml:space="preserve"> </v>
      </c>
      <c r="U887">
        <f t="shared" si="55"/>
        <v>2024</v>
      </c>
      <c r="AA887" t="str">
        <f t="shared" ca="1" si="56"/>
        <v/>
      </c>
    </row>
    <row r="888" spans="1:27" x14ac:dyDescent="0.3">
      <c r="A888" t="s">
        <v>1797</v>
      </c>
      <c r="B888" t="s">
        <v>1798</v>
      </c>
      <c r="C888" t="s">
        <v>36</v>
      </c>
      <c r="D888" t="s">
        <v>31</v>
      </c>
      <c r="E888" s="1">
        <v>45227</v>
      </c>
      <c r="F888" t="s">
        <v>14</v>
      </c>
      <c r="G888">
        <v>2324</v>
      </c>
      <c r="H888">
        <v>6152</v>
      </c>
      <c r="I888">
        <v>3.91</v>
      </c>
      <c r="J888">
        <v>18</v>
      </c>
      <c r="P888">
        <f t="shared" ca="1" si="53"/>
        <v>625</v>
      </c>
      <c r="Q888" t="str" cm="1">
        <f t="array" ref="Q888">_xlfn.IFS(I888&gt;=3.5,"Excellent", I888&gt;3,"Good",I888&gt;2,"Average",I888&lt;2,"Poor")</f>
        <v>Excellent</v>
      </c>
      <c r="S888" t="b">
        <f t="shared" si="54"/>
        <v>1</v>
      </c>
      <c r="U888">
        <f t="shared" si="55"/>
        <v>2023</v>
      </c>
      <c r="AA888" t="str">
        <f t="shared" ca="1" si="56"/>
        <v/>
      </c>
    </row>
    <row r="889" spans="1:27" x14ac:dyDescent="0.3">
      <c r="A889" t="s">
        <v>1799</v>
      </c>
      <c r="B889" t="s">
        <v>1800</v>
      </c>
      <c r="C889" t="s">
        <v>22</v>
      </c>
      <c r="D889" t="s">
        <v>13</v>
      </c>
      <c r="E889" s="1">
        <v>44663</v>
      </c>
      <c r="F889" t="s">
        <v>14</v>
      </c>
      <c r="G889">
        <v>6137</v>
      </c>
      <c r="H889">
        <v>1513</v>
      </c>
      <c r="I889">
        <v>2.93</v>
      </c>
      <c r="J889">
        <v>86</v>
      </c>
      <c r="P889">
        <f t="shared" ca="1" si="53"/>
        <v>1189</v>
      </c>
      <c r="Q889" t="str" cm="1">
        <f t="array" ref="Q889">_xlfn.IFS(I889&gt;=3.5,"Excellent", I889&gt;3,"Good",I889&gt;2,"Average",I889&lt;2,"Poor")</f>
        <v>Average</v>
      </c>
      <c r="S889" t="str">
        <f t="shared" si="54"/>
        <v xml:space="preserve"> </v>
      </c>
      <c r="U889">
        <f t="shared" si="55"/>
        <v>2022</v>
      </c>
      <c r="AA889" t="str">
        <f t="shared" ca="1" si="56"/>
        <v/>
      </c>
    </row>
    <row r="890" spans="1:27" x14ac:dyDescent="0.3">
      <c r="A890" t="s">
        <v>1801</v>
      </c>
      <c r="B890" t="s">
        <v>1802</v>
      </c>
      <c r="C890" t="s">
        <v>12</v>
      </c>
      <c r="D890" t="s">
        <v>31</v>
      </c>
      <c r="E890" s="1">
        <v>45157</v>
      </c>
      <c r="F890" t="s">
        <v>14</v>
      </c>
      <c r="G890">
        <v>3993</v>
      </c>
      <c r="H890">
        <v>488</v>
      </c>
      <c r="I890">
        <v>3.87</v>
      </c>
      <c r="J890">
        <v>30</v>
      </c>
      <c r="P890">
        <f t="shared" ca="1" si="53"/>
        <v>695</v>
      </c>
      <c r="Q890" t="str" cm="1">
        <f t="array" ref="Q890">_xlfn.IFS(I890&gt;=3.5,"Excellent", I890&gt;3,"Good",I890&gt;2,"Average",I890&lt;2,"Poor")</f>
        <v>Excellent</v>
      </c>
      <c r="S890" t="str">
        <f t="shared" si="54"/>
        <v xml:space="preserve"> </v>
      </c>
      <c r="U890">
        <f t="shared" si="55"/>
        <v>2023</v>
      </c>
      <c r="AA890" t="str">
        <f t="shared" ca="1" si="56"/>
        <v/>
      </c>
    </row>
    <row r="891" spans="1:27" x14ac:dyDescent="0.3">
      <c r="A891" t="s">
        <v>1803</v>
      </c>
      <c r="B891" t="s">
        <v>1804</v>
      </c>
      <c r="C891" t="s">
        <v>54</v>
      </c>
      <c r="D891" t="s">
        <v>13</v>
      </c>
      <c r="E891" s="1">
        <v>45296</v>
      </c>
      <c r="F891" t="s">
        <v>14</v>
      </c>
      <c r="G891">
        <v>3592</v>
      </c>
      <c r="H891">
        <v>5288</v>
      </c>
      <c r="I891">
        <v>2.31</v>
      </c>
      <c r="J891">
        <v>57</v>
      </c>
      <c r="P891">
        <f t="shared" ca="1" si="53"/>
        <v>556</v>
      </c>
      <c r="Q891" t="str" cm="1">
        <f t="array" ref="Q891">_xlfn.IFS(I891&gt;=3.5,"Excellent", I891&gt;3,"Good",I891&gt;2,"Average",I891&lt;2,"Poor")</f>
        <v>Average</v>
      </c>
      <c r="S891" t="b">
        <f t="shared" si="54"/>
        <v>1</v>
      </c>
      <c r="U891">
        <f t="shared" si="55"/>
        <v>2024</v>
      </c>
      <c r="AA891" t="str">
        <f t="shared" ca="1" si="56"/>
        <v/>
      </c>
    </row>
    <row r="892" spans="1:27" x14ac:dyDescent="0.3">
      <c r="A892" t="s">
        <v>1805</v>
      </c>
      <c r="B892" t="s">
        <v>1806</v>
      </c>
      <c r="C892" t="s">
        <v>36</v>
      </c>
      <c r="D892" t="s">
        <v>62</v>
      </c>
      <c r="E892" s="1">
        <v>45322</v>
      </c>
      <c r="F892" t="s">
        <v>14</v>
      </c>
      <c r="G892">
        <v>6150</v>
      </c>
      <c r="H892">
        <v>7731</v>
      </c>
      <c r="I892">
        <v>2.79</v>
      </c>
      <c r="J892">
        <v>15</v>
      </c>
      <c r="P892">
        <f t="shared" ca="1" si="53"/>
        <v>530</v>
      </c>
      <c r="Q892" t="str" cm="1">
        <f t="array" ref="Q892">_xlfn.IFS(I892&gt;=3.5,"Excellent", I892&gt;3,"Good",I892&gt;2,"Average",I892&lt;2,"Poor")</f>
        <v>Average</v>
      </c>
      <c r="S892" t="b">
        <f t="shared" si="54"/>
        <v>1</v>
      </c>
      <c r="U892">
        <f t="shared" si="55"/>
        <v>2024</v>
      </c>
      <c r="AA892" t="str">
        <f t="shared" ca="1" si="56"/>
        <v/>
      </c>
    </row>
    <row r="893" spans="1:27" x14ac:dyDescent="0.3">
      <c r="A893" t="s">
        <v>1807</v>
      </c>
      <c r="B893" t="s">
        <v>1808</v>
      </c>
      <c r="C893" t="s">
        <v>25</v>
      </c>
      <c r="D893" t="s">
        <v>31</v>
      </c>
      <c r="E893" s="1">
        <v>44664</v>
      </c>
      <c r="F893" t="s">
        <v>39</v>
      </c>
      <c r="G893">
        <v>6690</v>
      </c>
      <c r="H893">
        <v>9543</v>
      </c>
      <c r="I893">
        <v>3.4</v>
      </c>
      <c r="J893">
        <v>56</v>
      </c>
      <c r="P893" t="str">
        <f t="shared" ca="1" si="53"/>
        <v xml:space="preserve"> </v>
      </c>
      <c r="Q893" t="str" cm="1">
        <f t="array" ref="Q893">_xlfn.IFS(I893&gt;=3.5,"Excellent", I893&gt;3,"Good",I893&gt;2,"Average",I893&lt;2,"Poor")</f>
        <v>Good</v>
      </c>
      <c r="S893" t="b">
        <f t="shared" si="54"/>
        <v>1</v>
      </c>
      <c r="U893">
        <f t="shared" si="55"/>
        <v>2022</v>
      </c>
      <c r="AA893" t="str">
        <f t="shared" ca="1" si="56"/>
        <v/>
      </c>
    </row>
    <row r="894" spans="1:27" x14ac:dyDescent="0.3">
      <c r="A894" t="s">
        <v>1809</v>
      </c>
      <c r="B894" t="s">
        <v>1810</v>
      </c>
      <c r="C894" t="s">
        <v>36</v>
      </c>
      <c r="D894" t="s">
        <v>31</v>
      </c>
      <c r="E894" s="1">
        <v>44614</v>
      </c>
      <c r="F894" t="s">
        <v>19</v>
      </c>
      <c r="G894">
        <v>11719</v>
      </c>
      <c r="H894">
        <v>2949</v>
      </c>
      <c r="I894">
        <v>2.93</v>
      </c>
      <c r="J894">
        <v>107</v>
      </c>
      <c r="P894" t="str">
        <f t="shared" ca="1" si="53"/>
        <v xml:space="preserve"> </v>
      </c>
      <c r="Q894" t="str" cm="1">
        <f t="array" ref="Q894">_xlfn.IFS(I894&gt;=3.5,"Excellent", I894&gt;3,"Good",I894&gt;2,"Average",I894&lt;2,"Poor")</f>
        <v>Average</v>
      </c>
      <c r="S894" t="str">
        <f t="shared" si="54"/>
        <v xml:space="preserve"> </v>
      </c>
      <c r="U894">
        <f t="shared" si="55"/>
        <v>2022</v>
      </c>
      <c r="AA894">
        <f t="shared" ca="1" si="56"/>
        <v>1238</v>
      </c>
    </row>
    <row r="895" spans="1:27" x14ac:dyDescent="0.3">
      <c r="A895" t="s">
        <v>1811</v>
      </c>
      <c r="B895" t="s">
        <v>1812</v>
      </c>
      <c r="C895" t="s">
        <v>17</v>
      </c>
      <c r="D895" t="s">
        <v>18</v>
      </c>
      <c r="E895" s="1">
        <v>45447</v>
      </c>
      <c r="F895" t="s">
        <v>14</v>
      </c>
      <c r="G895">
        <v>2659</v>
      </c>
      <c r="H895">
        <v>2093</v>
      </c>
      <c r="I895">
        <v>3.8</v>
      </c>
      <c r="J895">
        <v>101</v>
      </c>
      <c r="P895">
        <f t="shared" ca="1" si="53"/>
        <v>405</v>
      </c>
      <c r="Q895" t="str" cm="1">
        <f t="array" ref="Q895">_xlfn.IFS(I895&gt;=3.5,"Excellent", I895&gt;3,"Good",I895&gt;2,"Average",I895&lt;2,"Poor")</f>
        <v>Excellent</v>
      </c>
      <c r="S895" t="b">
        <f t="shared" si="54"/>
        <v>1</v>
      </c>
      <c r="U895">
        <f t="shared" si="55"/>
        <v>2024</v>
      </c>
      <c r="AA895" t="str">
        <f t="shared" ca="1" si="56"/>
        <v/>
      </c>
    </row>
    <row r="896" spans="1:27" x14ac:dyDescent="0.3">
      <c r="A896" t="s">
        <v>1813</v>
      </c>
      <c r="B896" t="s">
        <v>1814</v>
      </c>
      <c r="C896" t="s">
        <v>12</v>
      </c>
      <c r="D896" t="s">
        <v>62</v>
      </c>
      <c r="E896" s="1">
        <v>44922</v>
      </c>
      <c r="F896" t="s">
        <v>14</v>
      </c>
      <c r="G896">
        <v>9484</v>
      </c>
      <c r="H896">
        <v>2759</v>
      </c>
      <c r="I896">
        <v>2.25</v>
      </c>
      <c r="J896">
        <v>114</v>
      </c>
      <c r="P896">
        <f t="shared" ca="1" si="53"/>
        <v>930</v>
      </c>
      <c r="Q896" t="str" cm="1">
        <f t="array" ref="Q896">_xlfn.IFS(I896&gt;=3.5,"Excellent", I896&gt;3,"Good",I896&gt;2,"Average",I896&lt;2,"Poor")</f>
        <v>Average</v>
      </c>
      <c r="S896" t="str">
        <f t="shared" si="54"/>
        <v xml:space="preserve"> </v>
      </c>
      <c r="U896">
        <f t="shared" si="55"/>
        <v>2022</v>
      </c>
      <c r="AA896" t="str">
        <f t="shared" ca="1" si="56"/>
        <v/>
      </c>
    </row>
    <row r="897" spans="1:27" x14ac:dyDescent="0.3">
      <c r="A897" t="s">
        <v>1815</v>
      </c>
      <c r="B897" t="s">
        <v>1816</v>
      </c>
      <c r="C897" t="s">
        <v>57</v>
      </c>
      <c r="D897" t="s">
        <v>18</v>
      </c>
      <c r="E897" s="1">
        <v>44892</v>
      </c>
      <c r="F897" t="s">
        <v>14</v>
      </c>
      <c r="G897">
        <v>2133</v>
      </c>
      <c r="H897">
        <v>244</v>
      </c>
      <c r="I897">
        <v>3.72</v>
      </c>
      <c r="J897">
        <v>17</v>
      </c>
      <c r="P897">
        <f t="shared" ca="1" si="53"/>
        <v>960</v>
      </c>
      <c r="Q897" t="str" cm="1">
        <f t="array" ref="Q897">_xlfn.IFS(I897&gt;=3.5,"Excellent", I897&gt;3,"Good",I897&gt;2,"Average",I897&lt;2,"Poor")</f>
        <v>Excellent</v>
      </c>
      <c r="S897" t="str">
        <f t="shared" si="54"/>
        <v xml:space="preserve"> </v>
      </c>
      <c r="U897">
        <f t="shared" si="55"/>
        <v>2022</v>
      </c>
      <c r="AA897" t="str">
        <f t="shared" ca="1" si="56"/>
        <v/>
      </c>
    </row>
    <row r="898" spans="1:27" x14ac:dyDescent="0.3">
      <c r="A898" t="s">
        <v>1817</v>
      </c>
      <c r="B898" t="s">
        <v>1818</v>
      </c>
      <c r="C898" t="s">
        <v>12</v>
      </c>
      <c r="D898" t="s">
        <v>13</v>
      </c>
      <c r="E898" s="1">
        <v>44734</v>
      </c>
      <c r="F898" t="s">
        <v>14</v>
      </c>
      <c r="G898">
        <v>6910</v>
      </c>
      <c r="H898">
        <v>6618</v>
      </c>
      <c r="I898">
        <v>2.23</v>
      </c>
      <c r="J898">
        <v>19</v>
      </c>
      <c r="P898">
        <f t="shared" ca="1" si="53"/>
        <v>1118</v>
      </c>
      <c r="Q898" t="str" cm="1">
        <f t="array" ref="Q898">_xlfn.IFS(I898&gt;=3.5,"Excellent", I898&gt;3,"Good",I898&gt;2,"Average",I898&lt;2,"Poor")</f>
        <v>Average</v>
      </c>
      <c r="S898" t="b">
        <f t="shared" si="54"/>
        <v>1</v>
      </c>
      <c r="U898">
        <f t="shared" si="55"/>
        <v>2022</v>
      </c>
      <c r="AA898" t="str">
        <f t="shared" ca="1" si="56"/>
        <v/>
      </c>
    </row>
    <row r="899" spans="1:27" x14ac:dyDescent="0.3">
      <c r="A899" t="s">
        <v>1819</v>
      </c>
      <c r="B899" t="s">
        <v>1820</v>
      </c>
      <c r="C899" t="s">
        <v>25</v>
      </c>
      <c r="D899" t="s">
        <v>18</v>
      </c>
      <c r="E899" s="1">
        <v>44768</v>
      </c>
      <c r="F899" t="s">
        <v>14</v>
      </c>
      <c r="G899">
        <v>13914</v>
      </c>
      <c r="H899">
        <v>7642</v>
      </c>
      <c r="I899">
        <v>3.94</v>
      </c>
      <c r="J899">
        <v>57</v>
      </c>
      <c r="P899">
        <f t="shared" ref="P899:P962" ca="1" si="57">IF(F899="Enrolled",TODAY()-E899, " ")</f>
        <v>1084</v>
      </c>
      <c r="Q899" t="str" cm="1">
        <f t="array" ref="Q899">_xlfn.IFS(I899&gt;=3.5,"Excellent", I899&gt;3,"Good",I899&gt;2,"Average",I899&lt;2,"Poor")</f>
        <v>Excellent</v>
      </c>
      <c r="S899" t="b">
        <f t="shared" ref="S899:S962" si="58">IF(H899&gt;0.5*G899,TRUE, " " )</f>
        <v>1</v>
      </c>
      <c r="U899">
        <f t="shared" ref="U899:U962" si="59">YEAR(E899)</f>
        <v>2022</v>
      </c>
      <c r="AA899" t="str">
        <f t="shared" ref="AA899:AA962" ca="1" si="60">IF(F899="Completed",TODAY()-E899,"")</f>
        <v/>
      </c>
    </row>
    <row r="900" spans="1:27" x14ac:dyDescent="0.3">
      <c r="A900" t="s">
        <v>1821</v>
      </c>
      <c r="B900" t="s">
        <v>1822</v>
      </c>
      <c r="C900" t="s">
        <v>25</v>
      </c>
      <c r="D900" t="s">
        <v>13</v>
      </c>
      <c r="E900" s="1">
        <v>45016</v>
      </c>
      <c r="F900" t="s">
        <v>19</v>
      </c>
      <c r="G900">
        <v>11039</v>
      </c>
      <c r="H900">
        <v>9104</v>
      </c>
      <c r="I900">
        <v>3.98</v>
      </c>
      <c r="J900">
        <v>52</v>
      </c>
      <c r="P900" t="str">
        <f t="shared" ca="1" si="57"/>
        <v xml:space="preserve"> </v>
      </c>
      <c r="Q900" t="str" cm="1">
        <f t="array" ref="Q900">_xlfn.IFS(I900&gt;=3.5,"Excellent", I900&gt;3,"Good",I900&gt;2,"Average",I900&lt;2,"Poor")</f>
        <v>Excellent</v>
      </c>
      <c r="S900" t="b">
        <f t="shared" si="58"/>
        <v>1</v>
      </c>
      <c r="U900">
        <f t="shared" si="59"/>
        <v>2023</v>
      </c>
      <c r="AA900">
        <f t="shared" ca="1" si="60"/>
        <v>836</v>
      </c>
    </row>
    <row r="901" spans="1:27" x14ac:dyDescent="0.3">
      <c r="A901" t="s">
        <v>1823</v>
      </c>
      <c r="B901" t="s">
        <v>1824</v>
      </c>
      <c r="C901" t="s">
        <v>25</v>
      </c>
      <c r="D901" t="s">
        <v>13</v>
      </c>
      <c r="E901" s="1">
        <v>44773</v>
      </c>
      <c r="F901" t="s">
        <v>14</v>
      </c>
      <c r="G901">
        <v>8134</v>
      </c>
      <c r="H901">
        <v>3190</v>
      </c>
      <c r="I901">
        <v>2.73</v>
      </c>
      <c r="J901">
        <v>68</v>
      </c>
      <c r="P901">
        <f t="shared" ca="1" si="57"/>
        <v>1079</v>
      </c>
      <c r="Q901" t="str" cm="1">
        <f t="array" ref="Q901">_xlfn.IFS(I901&gt;=3.5,"Excellent", I901&gt;3,"Good",I901&gt;2,"Average",I901&lt;2,"Poor")</f>
        <v>Average</v>
      </c>
      <c r="S901" t="str">
        <f t="shared" si="58"/>
        <v xml:space="preserve"> </v>
      </c>
      <c r="U901">
        <f t="shared" si="59"/>
        <v>2022</v>
      </c>
      <c r="AA901" t="str">
        <f t="shared" ca="1" si="60"/>
        <v/>
      </c>
    </row>
    <row r="902" spans="1:27" x14ac:dyDescent="0.3">
      <c r="A902" t="s">
        <v>1825</v>
      </c>
      <c r="B902" t="s">
        <v>1826</v>
      </c>
      <c r="C902" t="s">
        <v>54</v>
      </c>
      <c r="D902" t="s">
        <v>31</v>
      </c>
      <c r="E902" s="1">
        <v>45175</v>
      </c>
      <c r="F902" t="s">
        <v>19</v>
      </c>
      <c r="G902">
        <v>5424</v>
      </c>
      <c r="H902">
        <v>5871</v>
      </c>
      <c r="I902">
        <v>3.18</v>
      </c>
      <c r="J902">
        <v>32</v>
      </c>
      <c r="P902" t="str">
        <f t="shared" ca="1" si="57"/>
        <v xml:space="preserve"> </v>
      </c>
      <c r="Q902" t="str" cm="1">
        <f t="array" ref="Q902">_xlfn.IFS(I902&gt;=3.5,"Excellent", I902&gt;3,"Good",I902&gt;2,"Average",I902&lt;2,"Poor")</f>
        <v>Good</v>
      </c>
      <c r="S902" t="b">
        <f t="shared" si="58"/>
        <v>1</v>
      </c>
      <c r="U902">
        <f t="shared" si="59"/>
        <v>2023</v>
      </c>
      <c r="AA902">
        <f t="shared" ca="1" si="60"/>
        <v>677</v>
      </c>
    </row>
    <row r="903" spans="1:27" x14ac:dyDescent="0.3">
      <c r="A903" t="s">
        <v>1827</v>
      </c>
      <c r="B903" t="s">
        <v>1828</v>
      </c>
      <c r="C903" t="s">
        <v>22</v>
      </c>
      <c r="D903" t="s">
        <v>62</v>
      </c>
      <c r="E903" s="1">
        <v>44948</v>
      </c>
      <c r="F903" t="s">
        <v>14</v>
      </c>
      <c r="G903">
        <v>14379</v>
      </c>
      <c r="H903">
        <v>7146</v>
      </c>
      <c r="I903">
        <v>3.15</v>
      </c>
      <c r="J903">
        <v>80</v>
      </c>
      <c r="P903">
        <f t="shared" ca="1" si="57"/>
        <v>904</v>
      </c>
      <c r="Q903" t="str" cm="1">
        <f t="array" ref="Q903">_xlfn.IFS(I903&gt;=3.5,"Excellent", I903&gt;3,"Good",I903&gt;2,"Average",I903&lt;2,"Poor")</f>
        <v>Good</v>
      </c>
      <c r="S903" t="str">
        <f t="shared" si="58"/>
        <v xml:space="preserve"> </v>
      </c>
      <c r="U903">
        <f t="shared" si="59"/>
        <v>2023</v>
      </c>
      <c r="AA903" t="str">
        <f t="shared" ca="1" si="60"/>
        <v/>
      </c>
    </row>
    <row r="904" spans="1:27" x14ac:dyDescent="0.3">
      <c r="A904" t="s">
        <v>1829</v>
      </c>
      <c r="B904" t="s">
        <v>1830</v>
      </c>
      <c r="C904" t="s">
        <v>57</v>
      </c>
      <c r="D904" t="s">
        <v>18</v>
      </c>
      <c r="E904" s="1">
        <v>45115</v>
      </c>
      <c r="F904" t="s">
        <v>14</v>
      </c>
      <c r="G904">
        <v>5400</v>
      </c>
      <c r="H904">
        <v>6864</v>
      </c>
      <c r="I904">
        <v>3.76</v>
      </c>
      <c r="J904">
        <v>88</v>
      </c>
      <c r="P904">
        <f t="shared" ca="1" si="57"/>
        <v>737</v>
      </c>
      <c r="Q904" t="str" cm="1">
        <f t="array" ref="Q904">_xlfn.IFS(I904&gt;=3.5,"Excellent", I904&gt;3,"Good",I904&gt;2,"Average",I904&lt;2,"Poor")</f>
        <v>Excellent</v>
      </c>
      <c r="S904" t="b">
        <f t="shared" si="58"/>
        <v>1</v>
      </c>
      <c r="U904">
        <f t="shared" si="59"/>
        <v>2023</v>
      </c>
      <c r="AA904" t="str">
        <f t="shared" ca="1" si="60"/>
        <v/>
      </c>
    </row>
    <row r="905" spans="1:27" x14ac:dyDescent="0.3">
      <c r="A905" t="s">
        <v>1831</v>
      </c>
      <c r="B905" t="s">
        <v>1832</v>
      </c>
      <c r="C905" t="s">
        <v>25</v>
      </c>
      <c r="D905" t="s">
        <v>62</v>
      </c>
      <c r="E905" s="1">
        <v>44790</v>
      </c>
      <c r="F905" t="s">
        <v>19</v>
      </c>
      <c r="G905">
        <v>9862</v>
      </c>
      <c r="H905">
        <v>3356</v>
      </c>
      <c r="I905">
        <v>3.23</v>
      </c>
      <c r="J905">
        <v>103</v>
      </c>
      <c r="P905" t="str">
        <f t="shared" ca="1" si="57"/>
        <v xml:space="preserve"> </v>
      </c>
      <c r="Q905" t="str" cm="1">
        <f t="array" ref="Q905">_xlfn.IFS(I905&gt;=3.5,"Excellent", I905&gt;3,"Good",I905&gt;2,"Average",I905&lt;2,"Poor")</f>
        <v>Good</v>
      </c>
      <c r="S905" t="str">
        <f t="shared" si="58"/>
        <v xml:space="preserve"> </v>
      </c>
      <c r="U905">
        <f t="shared" si="59"/>
        <v>2022</v>
      </c>
      <c r="AA905">
        <f t="shared" ca="1" si="60"/>
        <v>1062</v>
      </c>
    </row>
    <row r="906" spans="1:27" x14ac:dyDescent="0.3">
      <c r="A906" t="s">
        <v>1833</v>
      </c>
      <c r="B906" t="s">
        <v>1834</v>
      </c>
      <c r="C906" t="s">
        <v>12</v>
      </c>
      <c r="D906" t="s">
        <v>62</v>
      </c>
      <c r="E906" s="1">
        <v>45357</v>
      </c>
      <c r="F906" t="s">
        <v>14</v>
      </c>
      <c r="G906">
        <v>8496</v>
      </c>
      <c r="H906">
        <v>3990</v>
      </c>
      <c r="I906">
        <v>2.1800000000000002</v>
      </c>
      <c r="J906">
        <v>44</v>
      </c>
      <c r="P906">
        <f t="shared" ca="1" si="57"/>
        <v>495</v>
      </c>
      <c r="Q906" t="str" cm="1">
        <f t="array" ref="Q906">_xlfn.IFS(I906&gt;=3.5,"Excellent", I906&gt;3,"Good",I906&gt;2,"Average",I906&lt;2,"Poor")</f>
        <v>Average</v>
      </c>
      <c r="S906" t="str">
        <f t="shared" si="58"/>
        <v xml:space="preserve"> </v>
      </c>
      <c r="U906">
        <f t="shared" si="59"/>
        <v>2024</v>
      </c>
      <c r="AA906" t="str">
        <f t="shared" ca="1" si="60"/>
        <v/>
      </c>
    </row>
    <row r="907" spans="1:27" x14ac:dyDescent="0.3">
      <c r="A907" t="s">
        <v>1835</v>
      </c>
      <c r="B907" t="s">
        <v>1836</v>
      </c>
      <c r="C907" t="s">
        <v>57</v>
      </c>
      <c r="D907" t="s">
        <v>62</v>
      </c>
      <c r="E907" s="1">
        <v>44801</v>
      </c>
      <c r="F907" t="s">
        <v>14</v>
      </c>
      <c r="G907">
        <v>7820</v>
      </c>
      <c r="H907">
        <v>809</v>
      </c>
      <c r="I907">
        <v>2.75</v>
      </c>
      <c r="J907">
        <v>64</v>
      </c>
      <c r="P907">
        <f t="shared" ca="1" si="57"/>
        <v>1051</v>
      </c>
      <c r="Q907" t="str" cm="1">
        <f t="array" ref="Q907">_xlfn.IFS(I907&gt;=3.5,"Excellent", I907&gt;3,"Good",I907&gt;2,"Average",I907&lt;2,"Poor")</f>
        <v>Average</v>
      </c>
      <c r="S907" t="str">
        <f t="shared" si="58"/>
        <v xml:space="preserve"> </v>
      </c>
      <c r="U907">
        <f t="shared" si="59"/>
        <v>2022</v>
      </c>
      <c r="AA907" t="str">
        <f t="shared" ca="1" si="60"/>
        <v/>
      </c>
    </row>
    <row r="908" spans="1:27" x14ac:dyDescent="0.3">
      <c r="A908" t="s">
        <v>1837</v>
      </c>
      <c r="B908" t="s">
        <v>1838</v>
      </c>
      <c r="C908" t="s">
        <v>36</v>
      </c>
      <c r="D908" t="s">
        <v>31</v>
      </c>
      <c r="E908" s="1">
        <v>45402</v>
      </c>
      <c r="F908" t="s">
        <v>14</v>
      </c>
      <c r="G908">
        <v>14630</v>
      </c>
      <c r="H908">
        <v>7086</v>
      </c>
      <c r="I908">
        <v>2.0099999999999998</v>
      </c>
      <c r="J908">
        <v>31</v>
      </c>
      <c r="P908">
        <f t="shared" ca="1" si="57"/>
        <v>450</v>
      </c>
      <c r="Q908" t="str" cm="1">
        <f t="array" ref="Q908">_xlfn.IFS(I908&gt;=3.5,"Excellent", I908&gt;3,"Good",I908&gt;2,"Average",I908&lt;2,"Poor")</f>
        <v>Average</v>
      </c>
      <c r="S908" t="str">
        <f t="shared" si="58"/>
        <v xml:space="preserve"> </v>
      </c>
      <c r="U908">
        <f t="shared" si="59"/>
        <v>2024</v>
      </c>
      <c r="AA908" t="str">
        <f t="shared" ca="1" si="60"/>
        <v/>
      </c>
    </row>
    <row r="909" spans="1:27" x14ac:dyDescent="0.3">
      <c r="A909" t="s">
        <v>1839</v>
      </c>
      <c r="B909" t="s">
        <v>1840</v>
      </c>
      <c r="C909" t="s">
        <v>22</v>
      </c>
      <c r="D909" t="s">
        <v>18</v>
      </c>
      <c r="E909" s="1">
        <v>44848</v>
      </c>
      <c r="F909" t="s">
        <v>14</v>
      </c>
      <c r="G909">
        <v>7470</v>
      </c>
      <c r="H909">
        <v>6312</v>
      </c>
      <c r="I909">
        <v>3.06</v>
      </c>
      <c r="J909">
        <v>86</v>
      </c>
      <c r="P909">
        <f t="shared" ca="1" si="57"/>
        <v>1004</v>
      </c>
      <c r="Q909" t="str" cm="1">
        <f t="array" ref="Q909">_xlfn.IFS(I909&gt;=3.5,"Excellent", I909&gt;3,"Good",I909&gt;2,"Average",I909&lt;2,"Poor")</f>
        <v>Good</v>
      </c>
      <c r="S909" t="b">
        <f t="shared" si="58"/>
        <v>1</v>
      </c>
      <c r="U909">
        <f t="shared" si="59"/>
        <v>2022</v>
      </c>
      <c r="AA909" t="str">
        <f t="shared" ca="1" si="60"/>
        <v/>
      </c>
    </row>
    <row r="910" spans="1:27" x14ac:dyDescent="0.3">
      <c r="A910" t="s">
        <v>1841</v>
      </c>
      <c r="B910" t="s">
        <v>1842</v>
      </c>
      <c r="C910" t="s">
        <v>17</v>
      </c>
      <c r="D910" t="s">
        <v>18</v>
      </c>
      <c r="E910" s="1">
        <v>44654</v>
      </c>
      <c r="F910" t="s">
        <v>14</v>
      </c>
      <c r="G910">
        <v>6296</v>
      </c>
      <c r="H910">
        <v>958</v>
      </c>
      <c r="I910">
        <v>3.45</v>
      </c>
      <c r="J910">
        <v>62</v>
      </c>
      <c r="P910">
        <f t="shared" ca="1" si="57"/>
        <v>1198</v>
      </c>
      <c r="Q910" t="str" cm="1">
        <f t="array" ref="Q910">_xlfn.IFS(I910&gt;=3.5,"Excellent", I910&gt;3,"Good",I910&gt;2,"Average",I910&lt;2,"Poor")</f>
        <v>Good</v>
      </c>
      <c r="S910" t="str">
        <f t="shared" si="58"/>
        <v xml:space="preserve"> </v>
      </c>
      <c r="U910">
        <f t="shared" si="59"/>
        <v>2022</v>
      </c>
      <c r="AA910" t="str">
        <f t="shared" ca="1" si="60"/>
        <v/>
      </c>
    </row>
    <row r="911" spans="1:27" x14ac:dyDescent="0.3">
      <c r="A911" t="s">
        <v>1843</v>
      </c>
      <c r="B911" t="s">
        <v>1844</v>
      </c>
      <c r="C911" t="s">
        <v>57</v>
      </c>
      <c r="D911" t="s">
        <v>62</v>
      </c>
      <c r="E911" s="1">
        <v>44770</v>
      </c>
      <c r="F911" t="s">
        <v>19</v>
      </c>
      <c r="G911">
        <v>2346</v>
      </c>
      <c r="H911">
        <v>5333</v>
      </c>
      <c r="I911">
        <v>2.74</v>
      </c>
      <c r="J911">
        <v>105</v>
      </c>
      <c r="P911" t="str">
        <f t="shared" ca="1" si="57"/>
        <v xml:space="preserve"> </v>
      </c>
      <c r="Q911" t="str" cm="1">
        <f t="array" ref="Q911">_xlfn.IFS(I911&gt;=3.5,"Excellent", I911&gt;3,"Good",I911&gt;2,"Average",I911&lt;2,"Poor")</f>
        <v>Average</v>
      </c>
      <c r="S911" t="b">
        <f t="shared" si="58"/>
        <v>1</v>
      </c>
      <c r="U911">
        <f t="shared" si="59"/>
        <v>2022</v>
      </c>
      <c r="AA911">
        <f t="shared" ca="1" si="60"/>
        <v>1082</v>
      </c>
    </row>
    <row r="912" spans="1:27" x14ac:dyDescent="0.3">
      <c r="A912" t="s">
        <v>1845</v>
      </c>
      <c r="B912" t="s">
        <v>1846</v>
      </c>
      <c r="C912" t="s">
        <v>17</v>
      </c>
      <c r="D912" t="s">
        <v>13</v>
      </c>
      <c r="E912" s="1">
        <v>45377</v>
      </c>
      <c r="F912" t="s">
        <v>14</v>
      </c>
      <c r="G912">
        <v>5749</v>
      </c>
      <c r="H912">
        <v>6273</v>
      </c>
      <c r="I912">
        <v>3.05</v>
      </c>
      <c r="J912">
        <v>26</v>
      </c>
      <c r="P912">
        <f t="shared" ca="1" si="57"/>
        <v>475</v>
      </c>
      <c r="Q912" t="str" cm="1">
        <f t="array" ref="Q912">_xlfn.IFS(I912&gt;=3.5,"Excellent", I912&gt;3,"Good",I912&gt;2,"Average",I912&lt;2,"Poor")</f>
        <v>Good</v>
      </c>
      <c r="S912" t="b">
        <f t="shared" si="58"/>
        <v>1</v>
      </c>
      <c r="U912">
        <f t="shared" si="59"/>
        <v>2024</v>
      </c>
      <c r="AA912" t="str">
        <f t="shared" ca="1" si="60"/>
        <v/>
      </c>
    </row>
    <row r="913" spans="1:27" x14ac:dyDescent="0.3">
      <c r="A913" t="s">
        <v>1847</v>
      </c>
      <c r="B913" t="s">
        <v>1848</v>
      </c>
      <c r="C913" t="s">
        <v>28</v>
      </c>
      <c r="D913" t="s">
        <v>13</v>
      </c>
      <c r="E913" s="1">
        <v>45457</v>
      </c>
      <c r="F913" t="s">
        <v>14</v>
      </c>
      <c r="G913">
        <v>10732</v>
      </c>
      <c r="H913">
        <v>29</v>
      </c>
      <c r="I913">
        <v>3.03</v>
      </c>
      <c r="J913">
        <v>44</v>
      </c>
      <c r="P913">
        <f t="shared" ca="1" si="57"/>
        <v>395</v>
      </c>
      <c r="Q913" t="str" cm="1">
        <f t="array" ref="Q913">_xlfn.IFS(I913&gt;=3.5,"Excellent", I913&gt;3,"Good",I913&gt;2,"Average",I913&lt;2,"Poor")</f>
        <v>Good</v>
      </c>
      <c r="S913" t="str">
        <f t="shared" si="58"/>
        <v xml:space="preserve"> </v>
      </c>
      <c r="U913">
        <f t="shared" si="59"/>
        <v>2024</v>
      </c>
      <c r="AA913" t="str">
        <f t="shared" ca="1" si="60"/>
        <v/>
      </c>
    </row>
    <row r="914" spans="1:27" x14ac:dyDescent="0.3">
      <c r="A914" t="s">
        <v>1849</v>
      </c>
      <c r="B914" t="s">
        <v>1850</v>
      </c>
      <c r="C914" t="s">
        <v>36</v>
      </c>
      <c r="D914" t="s">
        <v>13</v>
      </c>
      <c r="E914" s="1">
        <v>44753</v>
      </c>
      <c r="F914" t="s">
        <v>39</v>
      </c>
      <c r="G914">
        <v>5938</v>
      </c>
      <c r="H914">
        <v>8341</v>
      </c>
      <c r="I914">
        <v>2.99</v>
      </c>
      <c r="J914">
        <v>101</v>
      </c>
      <c r="P914" t="str">
        <f t="shared" ca="1" si="57"/>
        <v xml:space="preserve"> </v>
      </c>
      <c r="Q914" t="str" cm="1">
        <f t="array" ref="Q914">_xlfn.IFS(I914&gt;=3.5,"Excellent", I914&gt;3,"Good",I914&gt;2,"Average",I914&lt;2,"Poor")</f>
        <v>Average</v>
      </c>
      <c r="S914" t="b">
        <f t="shared" si="58"/>
        <v>1</v>
      </c>
      <c r="U914">
        <f t="shared" si="59"/>
        <v>2022</v>
      </c>
      <c r="AA914" t="str">
        <f t="shared" ca="1" si="60"/>
        <v/>
      </c>
    </row>
    <row r="915" spans="1:27" x14ac:dyDescent="0.3">
      <c r="A915" t="s">
        <v>1851</v>
      </c>
      <c r="B915" t="s">
        <v>1852</v>
      </c>
      <c r="C915" t="s">
        <v>28</v>
      </c>
      <c r="D915" t="s">
        <v>31</v>
      </c>
      <c r="E915" s="1">
        <v>45302</v>
      </c>
      <c r="F915" t="s">
        <v>14</v>
      </c>
      <c r="G915">
        <v>3278</v>
      </c>
      <c r="H915">
        <v>1851</v>
      </c>
      <c r="I915">
        <v>3.37</v>
      </c>
      <c r="J915">
        <v>85</v>
      </c>
      <c r="P915">
        <f t="shared" ca="1" si="57"/>
        <v>550</v>
      </c>
      <c r="Q915" t="str" cm="1">
        <f t="array" ref="Q915">_xlfn.IFS(I915&gt;=3.5,"Excellent", I915&gt;3,"Good",I915&gt;2,"Average",I915&lt;2,"Poor")</f>
        <v>Good</v>
      </c>
      <c r="S915" t="b">
        <f t="shared" si="58"/>
        <v>1</v>
      </c>
      <c r="U915">
        <f t="shared" si="59"/>
        <v>2024</v>
      </c>
      <c r="AA915" t="str">
        <f t="shared" ca="1" si="60"/>
        <v/>
      </c>
    </row>
    <row r="916" spans="1:27" x14ac:dyDescent="0.3">
      <c r="A916" t="s">
        <v>1853</v>
      </c>
      <c r="B916" t="s">
        <v>1854</v>
      </c>
      <c r="C916" t="s">
        <v>57</v>
      </c>
      <c r="D916" t="s">
        <v>13</v>
      </c>
      <c r="E916" s="1">
        <v>45083</v>
      </c>
      <c r="F916" t="s">
        <v>14</v>
      </c>
      <c r="G916">
        <v>14845</v>
      </c>
      <c r="H916">
        <v>823</v>
      </c>
      <c r="I916">
        <v>3.11</v>
      </c>
      <c r="J916">
        <v>27</v>
      </c>
      <c r="P916">
        <f t="shared" ca="1" si="57"/>
        <v>769</v>
      </c>
      <c r="Q916" t="str" cm="1">
        <f t="array" ref="Q916">_xlfn.IFS(I916&gt;=3.5,"Excellent", I916&gt;3,"Good",I916&gt;2,"Average",I916&lt;2,"Poor")</f>
        <v>Good</v>
      </c>
      <c r="S916" t="str">
        <f t="shared" si="58"/>
        <v xml:space="preserve"> </v>
      </c>
      <c r="U916">
        <f t="shared" si="59"/>
        <v>2023</v>
      </c>
      <c r="AA916" t="str">
        <f t="shared" ca="1" si="60"/>
        <v/>
      </c>
    </row>
    <row r="917" spans="1:27" x14ac:dyDescent="0.3">
      <c r="A917" t="s">
        <v>1855</v>
      </c>
      <c r="B917" t="s">
        <v>1856</v>
      </c>
      <c r="C917" t="s">
        <v>54</v>
      </c>
      <c r="D917" t="s">
        <v>31</v>
      </c>
      <c r="E917" s="1">
        <v>44646</v>
      </c>
      <c r="F917" t="s">
        <v>19</v>
      </c>
      <c r="G917">
        <v>11658</v>
      </c>
      <c r="H917">
        <v>2778</v>
      </c>
      <c r="I917">
        <v>3.52</v>
      </c>
      <c r="J917">
        <v>95</v>
      </c>
      <c r="P917" t="str">
        <f t="shared" ca="1" si="57"/>
        <v xml:space="preserve"> </v>
      </c>
      <c r="Q917" t="str" cm="1">
        <f t="array" ref="Q917">_xlfn.IFS(I917&gt;=3.5,"Excellent", I917&gt;3,"Good",I917&gt;2,"Average",I917&lt;2,"Poor")</f>
        <v>Excellent</v>
      </c>
      <c r="S917" t="str">
        <f t="shared" si="58"/>
        <v xml:space="preserve"> </v>
      </c>
      <c r="U917">
        <f t="shared" si="59"/>
        <v>2022</v>
      </c>
      <c r="AA917">
        <f t="shared" ca="1" si="60"/>
        <v>1206</v>
      </c>
    </row>
    <row r="918" spans="1:27" x14ac:dyDescent="0.3">
      <c r="A918" t="s">
        <v>1857</v>
      </c>
      <c r="B918" t="s">
        <v>1858</v>
      </c>
      <c r="C918" t="s">
        <v>12</v>
      </c>
      <c r="D918" t="s">
        <v>18</v>
      </c>
      <c r="E918" s="1">
        <v>45410</v>
      </c>
      <c r="F918" t="s">
        <v>19</v>
      </c>
      <c r="G918">
        <v>11979</v>
      </c>
      <c r="H918">
        <v>4170</v>
      </c>
      <c r="I918">
        <v>2.75</v>
      </c>
      <c r="J918">
        <v>22</v>
      </c>
      <c r="P918" t="str">
        <f t="shared" ca="1" si="57"/>
        <v xml:space="preserve"> </v>
      </c>
      <c r="Q918" t="str" cm="1">
        <f t="array" ref="Q918">_xlfn.IFS(I918&gt;=3.5,"Excellent", I918&gt;3,"Good",I918&gt;2,"Average",I918&lt;2,"Poor")</f>
        <v>Average</v>
      </c>
      <c r="S918" t="str">
        <f t="shared" si="58"/>
        <v xml:space="preserve"> </v>
      </c>
      <c r="U918">
        <f t="shared" si="59"/>
        <v>2024</v>
      </c>
      <c r="AA918">
        <f t="shared" ca="1" si="60"/>
        <v>442</v>
      </c>
    </row>
    <row r="919" spans="1:27" x14ac:dyDescent="0.3">
      <c r="A919" t="s">
        <v>1859</v>
      </c>
      <c r="B919" t="s">
        <v>1860</v>
      </c>
      <c r="C919" t="s">
        <v>22</v>
      </c>
      <c r="D919" t="s">
        <v>31</v>
      </c>
      <c r="E919" s="1">
        <v>44802</v>
      </c>
      <c r="F919" t="s">
        <v>14</v>
      </c>
      <c r="G919">
        <v>5650</v>
      </c>
      <c r="H919">
        <v>9181</v>
      </c>
      <c r="I919">
        <v>3.13</v>
      </c>
      <c r="J919">
        <v>18</v>
      </c>
      <c r="P919">
        <f t="shared" ca="1" si="57"/>
        <v>1050</v>
      </c>
      <c r="Q919" t="str" cm="1">
        <f t="array" ref="Q919">_xlfn.IFS(I919&gt;=3.5,"Excellent", I919&gt;3,"Good",I919&gt;2,"Average",I919&lt;2,"Poor")</f>
        <v>Good</v>
      </c>
      <c r="S919" t="b">
        <f t="shared" si="58"/>
        <v>1</v>
      </c>
      <c r="U919">
        <f t="shared" si="59"/>
        <v>2022</v>
      </c>
      <c r="AA919" t="str">
        <f t="shared" ca="1" si="60"/>
        <v/>
      </c>
    </row>
    <row r="920" spans="1:27" x14ac:dyDescent="0.3">
      <c r="A920" t="s">
        <v>1861</v>
      </c>
      <c r="B920" t="s">
        <v>1862</v>
      </c>
      <c r="C920" t="s">
        <v>25</v>
      </c>
      <c r="D920" t="s">
        <v>13</v>
      </c>
      <c r="E920" s="1">
        <v>45018</v>
      </c>
      <c r="F920" t="s">
        <v>39</v>
      </c>
      <c r="G920">
        <v>9224</v>
      </c>
      <c r="H920">
        <v>5014</v>
      </c>
      <c r="I920">
        <v>2.75</v>
      </c>
      <c r="J920">
        <v>79</v>
      </c>
      <c r="P920" t="str">
        <f t="shared" ca="1" si="57"/>
        <v xml:space="preserve"> </v>
      </c>
      <c r="Q920" t="str" cm="1">
        <f t="array" ref="Q920">_xlfn.IFS(I920&gt;=3.5,"Excellent", I920&gt;3,"Good",I920&gt;2,"Average",I920&lt;2,"Poor")</f>
        <v>Average</v>
      </c>
      <c r="S920" t="b">
        <f t="shared" si="58"/>
        <v>1</v>
      </c>
      <c r="U920">
        <f t="shared" si="59"/>
        <v>2023</v>
      </c>
      <c r="AA920" t="str">
        <f t="shared" ca="1" si="60"/>
        <v/>
      </c>
    </row>
    <row r="921" spans="1:27" x14ac:dyDescent="0.3">
      <c r="A921" t="s">
        <v>1863</v>
      </c>
      <c r="B921" t="s">
        <v>1864</v>
      </c>
      <c r="C921" t="s">
        <v>17</v>
      </c>
      <c r="D921" t="s">
        <v>31</v>
      </c>
      <c r="E921" s="1">
        <v>45115</v>
      </c>
      <c r="F921" t="s">
        <v>19</v>
      </c>
      <c r="G921">
        <v>12893</v>
      </c>
      <c r="H921">
        <v>6823</v>
      </c>
      <c r="I921">
        <v>3.9</v>
      </c>
      <c r="J921">
        <v>62</v>
      </c>
      <c r="P921" t="str">
        <f t="shared" ca="1" si="57"/>
        <v xml:space="preserve"> </v>
      </c>
      <c r="Q921" t="str" cm="1">
        <f t="array" ref="Q921">_xlfn.IFS(I921&gt;=3.5,"Excellent", I921&gt;3,"Good",I921&gt;2,"Average",I921&lt;2,"Poor")</f>
        <v>Excellent</v>
      </c>
      <c r="S921" t="b">
        <f t="shared" si="58"/>
        <v>1</v>
      </c>
      <c r="U921">
        <f t="shared" si="59"/>
        <v>2023</v>
      </c>
      <c r="AA921">
        <f t="shared" ca="1" si="60"/>
        <v>737</v>
      </c>
    </row>
    <row r="922" spans="1:27" x14ac:dyDescent="0.3">
      <c r="A922" t="s">
        <v>1865</v>
      </c>
      <c r="B922" t="s">
        <v>1866</v>
      </c>
      <c r="C922" t="s">
        <v>36</v>
      </c>
      <c r="D922" t="s">
        <v>13</v>
      </c>
      <c r="E922" s="1">
        <v>45246</v>
      </c>
      <c r="F922" t="s">
        <v>14</v>
      </c>
      <c r="G922">
        <v>10635</v>
      </c>
      <c r="H922">
        <v>7334</v>
      </c>
      <c r="I922">
        <v>2.12</v>
      </c>
      <c r="J922">
        <v>87</v>
      </c>
      <c r="P922">
        <f t="shared" ca="1" si="57"/>
        <v>606</v>
      </c>
      <c r="Q922" t="str" cm="1">
        <f t="array" ref="Q922">_xlfn.IFS(I922&gt;=3.5,"Excellent", I922&gt;3,"Good",I922&gt;2,"Average",I922&lt;2,"Poor")</f>
        <v>Average</v>
      </c>
      <c r="S922" t="b">
        <f t="shared" si="58"/>
        <v>1</v>
      </c>
      <c r="U922">
        <f t="shared" si="59"/>
        <v>2023</v>
      </c>
      <c r="AA922" t="str">
        <f t="shared" ca="1" si="60"/>
        <v/>
      </c>
    </row>
    <row r="923" spans="1:27" x14ac:dyDescent="0.3">
      <c r="A923" t="s">
        <v>1867</v>
      </c>
      <c r="B923" t="s">
        <v>1868</v>
      </c>
      <c r="C923" t="s">
        <v>12</v>
      </c>
      <c r="D923" t="s">
        <v>62</v>
      </c>
      <c r="E923" s="1">
        <v>44687</v>
      </c>
      <c r="F923" t="s">
        <v>19</v>
      </c>
      <c r="G923">
        <v>5161</v>
      </c>
      <c r="H923">
        <v>3191</v>
      </c>
      <c r="I923">
        <v>3.4</v>
      </c>
      <c r="J923">
        <v>18</v>
      </c>
      <c r="P923" t="str">
        <f t="shared" ca="1" si="57"/>
        <v xml:space="preserve"> </v>
      </c>
      <c r="Q923" t="str" cm="1">
        <f t="array" ref="Q923">_xlfn.IFS(I923&gt;=3.5,"Excellent", I923&gt;3,"Good",I923&gt;2,"Average",I923&lt;2,"Poor")</f>
        <v>Good</v>
      </c>
      <c r="S923" t="b">
        <f t="shared" si="58"/>
        <v>1</v>
      </c>
      <c r="U923">
        <f t="shared" si="59"/>
        <v>2022</v>
      </c>
      <c r="AA923">
        <f t="shared" ca="1" si="60"/>
        <v>1165</v>
      </c>
    </row>
    <row r="924" spans="1:27" x14ac:dyDescent="0.3">
      <c r="A924" t="s">
        <v>1869</v>
      </c>
      <c r="B924" t="s">
        <v>1870</v>
      </c>
      <c r="C924" t="s">
        <v>22</v>
      </c>
      <c r="D924" t="s">
        <v>62</v>
      </c>
      <c r="E924" s="1">
        <v>45308</v>
      </c>
      <c r="F924" t="s">
        <v>19</v>
      </c>
      <c r="G924">
        <v>2310</v>
      </c>
      <c r="H924">
        <v>7992</v>
      </c>
      <c r="I924">
        <v>3.78</v>
      </c>
      <c r="J924">
        <v>84</v>
      </c>
      <c r="P924" t="str">
        <f t="shared" ca="1" si="57"/>
        <v xml:space="preserve"> </v>
      </c>
      <c r="Q924" t="str" cm="1">
        <f t="array" ref="Q924">_xlfn.IFS(I924&gt;=3.5,"Excellent", I924&gt;3,"Good",I924&gt;2,"Average",I924&lt;2,"Poor")</f>
        <v>Excellent</v>
      </c>
      <c r="S924" t="b">
        <f t="shared" si="58"/>
        <v>1</v>
      </c>
      <c r="U924">
        <f t="shared" si="59"/>
        <v>2024</v>
      </c>
      <c r="AA924">
        <f t="shared" ca="1" si="60"/>
        <v>544</v>
      </c>
    </row>
    <row r="925" spans="1:27" x14ac:dyDescent="0.3">
      <c r="A925" t="s">
        <v>1871</v>
      </c>
      <c r="B925" t="s">
        <v>1872</v>
      </c>
      <c r="C925" t="s">
        <v>36</v>
      </c>
      <c r="D925" t="s">
        <v>18</v>
      </c>
      <c r="E925" s="1">
        <v>44902</v>
      </c>
      <c r="F925" t="s">
        <v>19</v>
      </c>
      <c r="G925">
        <v>14238</v>
      </c>
      <c r="H925">
        <v>3624</v>
      </c>
      <c r="I925">
        <v>2.0499999999999998</v>
      </c>
      <c r="J925">
        <v>111</v>
      </c>
      <c r="P925" t="str">
        <f t="shared" ca="1" si="57"/>
        <v xml:space="preserve"> </v>
      </c>
      <c r="Q925" t="str" cm="1">
        <f t="array" ref="Q925">_xlfn.IFS(I925&gt;=3.5,"Excellent", I925&gt;3,"Good",I925&gt;2,"Average",I925&lt;2,"Poor")</f>
        <v>Average</v>
      </c>
      <c r="S925" t="str">
        <f t="shared" si="58"/>
        <v xml:space="preserve"> </v>
      </c>
      <c r="U925">
        <f t="shared" si="59"/>
        <v>2022</v>
      </c>
      <c r="AA925">
        <f t="shared" ca="1" si="60"/>
        <v>950</v>
      </c>
    </row>
    <row r="926" spans="1:27" x14ac:dyDescent="0.3">
      <c r="A926" t="s">
        <v>1873</v>
      </c>
      <c r="B926" t="s">
        <v>1874</v>
      </c>
      <c r="C926" t="s">
        <v>22</v>
      </c>
      <c r="D926" t="s">
        <v>18</v>
      </c>
      <c r="E926" s="1">
        <v>44762</v>
      </c>
      <c r="F926" t="s">
        <v>14</v>
      </c>
      <c r="G926">
        <v>6256</v>
      </c>
      <c r="H926">
        <v>9774</v>
      </c>
      <c r="I926">
        <v>3.04</v>
      </c>
      <c r="J926">
        <v>92</v>
      </c>
      <c r="P926">
        <f t="shared" ca="1" si="57"/>
        <v>1090</v>
      </c>
      <c r="Q926" t="str" cm="1">
        <f t="array" ref="Q926">_xlfn.IFS(I926&gt;=3.5,"Excellent", I926&gt;3,"Good",I926&gt;2,"Average",I926&lt;2,"Poor")</f>
        <v>Good</v>
      </c>
      <c r="S926" t="b">
        <f t="shared" si="58"/>
        <v>1</v>
      </c>
      <c r="U926">
        <f t="shared" si="59"/>
        <v>2022</v>
      </c>
      <c r="AA926" t="str">
        <f t="shared" ca="1" si="60"/>
        <v/>
      </c>
    </row>
    <row r="927" spans="1:27" x14ac:dyDescent="0.3">
      <c r="A927" t="s">
        <v>1875</v>
      </c>
      <c r="B927" t="s">
        <v>1876</v>
      </c>
      <c r="C927" t="s">
        <v>36</v>
      </c>
      <c r="D927" t="s">
        <v>18</v>
      </c>
      <c r="E927" s="1">
        <v>44809</v>
      </c>
      <c r="F927" t="s">
        <v>39</v>
      </c>
      <c r="G927">
        <v>12707</v>
      </c>
      <c r="H927">
        <v>6931</v>
      </c>
      <c r="I927">
        <v>3.19</v>
      </c>
      <c r="J927">
        <v>46</v>
      </c>
      <c r="P927" t="str">
        <f t="shared" ca="1" si="57"/>
        <v xml:space="preserve"> </v>
      </c>
      <c r="Q927" t="str" cm="1">
        <f t="array" ref="Q927">_xlfn.IFS(I927&gt;=3.5,"Excellent", I927&gt;3,"Good",I927&gt;2,"Average",I927&lt;2,"Poor")</f>
        <v>Good</v>
      </c>
      <c r="S927" t="b">
        <f t="shared" si="58"/>
        <v>1</v>
      </c>
      <c r="U927">
        <f t="shared" si="59"/>
        <v>2022</v>
      </c>
      <c r="AA927" t="str">
        <f t="shared" ca="1" si="60"/>
        <v/>
      </c>
    </row>
    <row r="928" spans="1:27" x14ac:dyDescent="0.3">
      <c r="A928" t="s">
        <v>1877</v>
      </c>
      <c r="B928" t="s">
        <v>1878</v>
      </c>
      <c r="C928" t="s">
        <v>28</v>
      </c>
      <c r="D928" t="s">
        <v>18</v>
      </c>
      <c r="E928" s="1">
        <v>44708</v>
      </c>
      <c r="F928" t="s">
        <v>14</v>
      </c>
      <c r="G928">
        <v>14485</v>
      </c>
      <c r="H928">
        <v>2925</v>
      </c>
      <c r="I928">
        <v>2.13</v>
      </c>
      <c r="J928">
        <v>15</v>
      </c>
      <c r="P928">
        <f t="shared" ca="1" si="57"/>
        <v>1144</v>
      </c>
      <c r="Q928" t="str" cm="1">
        <f t="array" ref="Q928">_xlfn.IFS(I928&gt;=3.5,"Excellent", I928&gt;3,"Good",I928&gt;2,"Average",I928&lt;2,"Poor")</f>
        <v>Average</v>
      </c>
      <c r="S928" t="str">
        <f t="shared" si="58"/>
        <v xml:space="preserve"> </v>
      </c>
      <c r="U928">
        <f t="shared" si="59"/>
        <v>2022</v>
      </c>
      <c r="AA928" t="str">
        <f t="shared" ca="1" si="60"/>
        <v/>
      </c>
    </row>
    <row r="929" spans="1:27" x14ac:dyDescent="0.3">
      <c r="A929" t="s">
        <v>1879</v>
      </c>
      <c r="B929" t="s">
        <v>1880</v>
      </c>
      <c r="C929" t="s">
        <v>12</v>
      </c>
      <c r="D929" t="s">
        <v>13</v>
      </c>
      <c r="E929" s="1">
        <v>45183</v>
      </c>
      <c r="F929" t="s">
        <v>14</v>
      </c>
      <c r="G929">
        <v>6109</v>
      </c>
      <c r="H929">
        <v>1355</v>
      </c>
      <c r="I929">
        <v>3.41</v>
      </c>
      <c r="J929">
        <v>97</v>
      </c>
      <c r="P929">
        <f t="shared" ca="1" si="57"/>
        <v>669</v>
      </c>
      <c r="Q929" t="str" cm="1">
        <f t="array" ref="Q929">_xlfn.IFS(I929&gt;=3.5,"Excellent", I929&gt;3,"Good",I929&gt;2,"Average",I929&lt;2,"Poor")</f>
        <v>Good</v>
      </c>
      <c r="S929" t="str">
        <f t="shared" si="58"/>
        <v xml:space="preserve"> </v>
      </c>
      <c r="U929">
        <f t="shared" si="59"/>
        <v>2023</v>
      </c>
      <c r="AA929" t="str">
        <f t="shared" ca="1" si="60"/>
        <v/>
      </c>
    </row>
    <row r="930" spans="1:27" x14ac:dyDescent="0.3">
      <c r="A930" t="s">
        <v>1881</v>
      </c>
      <c r="B930" t="s">
        <v>1882</v>
      </c>
      <c r="C930" t="s">
        <v>36</v>
      </c>
      <c r="D930" t="s">
        <v>18</v>
      </c>
      <c r="E930" s="1">
        <v>45345</v>
      </c>
      <c r="F930" t="s">
        <v>39</v>
      </c>
      <c r="G930">
        <v>12380</v>
      </c>
      <c r="H930">
        <v>7327</v>
      </c>
      <c r="I930">
        <v>2.54</v>
      </c>
      <c r="J930">
        <v>72</v>
      </c>
      <c r="P930" t="str">
        <f t="shared" ca="1" si="57"/>
        <v xml:space="preserve"> </v>
      </c>
      <c r="Q930" t="str" cm="1">
        <f t="array" ref="Q930">_xlfn.IFS(I930&gt;=3.5,"Excellent", I930&gt;3,"Good",I930&gt;2,"Average",I930&lt;2,"Poor")</f>
        <v>Average</v>
      </c>
      <c r="S930" t="b">
        <f t="shared" si="58"/>
        <v>1</v>
      </c>
      <c r="U930">
        <f t="shared" si="59"/>
        <v>2024</v>
      </c>
      <c r="AA930" t="str">
        <f t="shared" ca="1" si="60"/>
        <v/>
      </c>
    </row>
    <row r="931" spans="1:27" x14ac:dyDescent="0.3">
      <c r="A931" t="s">
        <v>1883</v>
      </c>
      <c r="B931" t="s">
        <v>1884</v>
      </c>
      <c r="C931" t="s">
        <v>36</v>
      </c>
      <c r="D931" t="s">
        <v>18</v>
      </c>
      <c r="E931" s="1">
        <v>44675</v>
      </c>
      <c r="F931" t="s">
        <v>19</v>
      </c>
      <c r="G931">
        <v>7050</v>
      </c>
      <c r="H931">
        <v>537</v>
      </c>
      <c r="I931">
        <v>2.84</v>
      </c>
      <c r="J931">
        <v>68</v>
      </c>
      <c r="P931" t="str">
        <f t="shared" ca="1" si="57"/>
        <v xml:space="preserve"> </v>
      </c>
      <c r="Q931" t="str" cm="1">
        <f t="array" ref="Q931">_xlfn.IFS(I931&gt;=3.5,"Excellent", I931&gt;3,"Good",I931&gt;2,"Average",I931&lt;2,"Poor")</f>
        <v>Average</v>
      </c>
      <c r="S931" t="str">
        <f t="shared" si="58"/>
        <v xml:space="preserve"> </v>
      </c>
      <c r="U931">
        <f t="shared" si="59"/>
        <v>2022</v>
      </c>
      <c r="AA931">
        <f t="shared" ca="1" si="60"/>
        <v>1177</v>
      </c>
    </row>
    <row r="932" spans="1:27" x14ac:dyDescent="0.3">
      <c r="A932" t="s">
        <v>1885</v>
      </c>
      <c r="B932" t="s">
        <v>1886</v>
      </c>
      <c r="C932" t="s">
        <v>22</v>
      </c>
      <c r="D932" t="s">
        <v>62</v>
      </c>
      <c r="E932" s="1">
        <v>44738</v>
      </c>
      <c r="F932" t="s">
        <v>19</v>
      </c>
      <c r="G932">
        <v>13686</v>
      </c>
      <c r="H932">
        <v>5137</v>
      </c>
      <c r="I932">
        <v>3.59</v>
      </c>
      <c r="J932">
        <v>75</v>
      </c>
      <c r="P932" t="str">
        <f t="shared" ca="1" si="57"/>
        <v xml:space="preserve"> </v>
      </c>
      <c r="Q932" t="str" cm="1">
        <f t="array" ref="Q932">_xlfn.IFS(I932&gt;=3.5,"Excellent", I932&gt;3,"Good",I932&gt;2,"Average",I932&lt;2,"Poor")</f>
        <v>Excellent</v>
      </c>
      <c r="S932" t="str">
        <f t="shared" si="58"/>
        <v xml:space="preserve"> </v>
      </c>
      <c r="U932">
        <f t="shared" si="59"/>
        <v>2022</v>
      </c>
      <c r="AA932">
        <f t="shared" ca="1" si="60"/>
        <v>1114</v>
      </c>
    </row>
    <row r="933" spans="1:27" x14ac:dyDescent="0.3">
      <c r="A933" t="s">
        <v>1887</v>
      </c>
      <c r="B933" t="s">
        <v>1888</v>
      </c>
      <c r="C933" t="s">
        <v>36</v>
      </c>
      <c r="D933" t="s">
        <v>13</v>
      </c>
      <c r="E933" s="1">
        <v>45400</v>
      </c>
      <c r="F933" t="s">
        <v>14</v>
      </c>
      <c r="G933">
        <v>3224</v>
      </c>
      <c r="H933">
        <v>6436</v>
      </c>
      <c r="I933">
        <v>3.96</v>
      </c>
      <c r="J933">
        <v>103</v>
      </c>
      <c r="P933">
        <f t="shared" ca="1" si="57"/>
        <v>452</v>
      </c>
      <c r="Q933" t="str" cm="1">
        <f t="array" ref="Q933">_xlfn.IFS(I933&gt;=3.5,"Excellent", I933&gt;3,"Good",I933&gt;2,"Average",I933&lt;2,"Poor")</f>
        <v>Excellent</v>
      </c>
      <c r="S933" t="b">
        <f t="shared" si="58"/>
        <v>1</v>
      </c>
      <c r="U933">
        <f t="shared" si="59"/>
        <v>2024</v>
      </c>
      <c r="AA933" t="str">
        <f t="shared" ca="1" si="60"/>
        <v/>
      </c>
    </row>
    <row r="934" spans="1:27" x14ac:dyDescent="0.3">
      <c r="A934" t="s">
        <v>1889</v>
      </c>
      <c r="B934" t="s">
        <v>1890</v>
      </c>
      <c r="C934" t="s">
        <v>36</v>
      </c>
      <c r="D934" t="s">
        <v>31</v>
      </c>
      <c r="E934" s="1">
        <v>44726</v>
      </c>
      <c r="F934" t="s">
        <v>14</v>
      </c>
      <c r="G934">
        <v>8505</v>
      </c>
      <c r="H934">
        <v>8006</v>
      </c>
      <c r="I934">
        <v>2.61</v>
      </c>
      <c r="J934">
        <v>10</v>
      </c>
      <c r="P934">
        <f t="shared" ca="1" si="57"/>
        <v>1126</v>
      </c>
      <c r="Q934" t="str" cm="1">
        <f t="array" ref="Q934">_xlfn.IFS(I934&gt;=3.5,"Excellent", I934&gt;3,"Good",I934&gt;2,"Average",I934&lt;2,"Poor")</f>
        <v>Average</v>
      </c>
      <c r="S934" t="b">
        <f t="shared" si="58"/>
        <v>1</v>
      </c>
      <c r="U934">
        <f t="shared" si="59"/>
        <v>2022</v>
      </c>
      <c r="AA934" t="str">
        <f t="shared" ca="1" si="60"/>
        <v/>
      </c>
    </row>
    <row r="935" spans="1:27" x14ac:dyDescent="0.3">
      <c r="A935" t="s">
        <v>1891</v>
      </c>
      <c r="B935" t="s">
        <v>1892</v>
      </c>
      <c r="C935" t="s">
        <v>12</v>
      </c>
      <c r="D935" t="s">
        <v>13</v>
      </c>
      <c r="E935" s="1">
        <v>44965</v>
      </c>
      <c r="F935" t="s">
        <v>19</v>
      </c>
      <c r="G935">
        <v>8846</v>
      </c>
      <c r="H935">
        <v>1192</v>
      </c>
      <c r="I935">
        <v>3.59</v>
      </c>
      <c r="J935">
        <v>36</v>
      </c>
      <c r="P935" t="str">
        <f t="shared" ca="1" si="57"/>
        <v xml:space="preserve"> </v>
      </c>
      <c r="Q935" t="str" cm="1">
        <f t="array" ref="Q935">_xlfn.IFS(I935&gt;=3.5,"Excellent", I935&gt;3,"Good",I935&gt;2,"Average",I935&lt;2,"Poor")</f>
        <v>Excellent</v>
      </c>
      <c r="S935" t="str">
        <f t="shared" si="58"/>
        <v xml:space="preserve"> </v>
      </c>
      <c r="U935">
        <f t="shared" si="59"/>
        <v>2023</v>
      </c>
      <c r="AA935">
        <f t="shared" ca="1" si="60"/>
        <v>887</v>
      </c>
    </row>
    <row r="936" spans="1:27" x14ac:dyDescent="0.3">
      <c r="A936" t="s">
        <v>1893</v>
      </c>
      <c r="B936" t="s">
        <v>1894</v>
      </c>
      <c r="C936" t="s">
        <v>25</v>
      </c>
      <c r="D936" t="s">
        <v>18</v>
      </c>
      <c r="E936" s="1">
        <v>45103</v>
      </c>
      <c r="F936" t="s">
        <v>14</v>
      </c>
      <c r="G936">
        <v>12177</v>
      </c>
      <c r="H936">
        <v>6105</v>
      </c>
      <c r="I936">
        <v>2.98</v>
      </c>
      <c r="J936">
        <v>55</v>
      </c>
      <c r="P936">
        <f t="shared" ca="1" si="57"/>
        <v>749</v>
      </c>
      <c r="Q936" t="str" cm="1">
        <f t="array" ref="Q936">_xlfn.IFS(I936&gt;=3.5,"Excellent", I936&gt;3,"Good",I936&gt;2,"Average",I936&lt;2,"Poor")</f>
        <v>Average</v>
      </c>
      <c r="S936" t="b">
        <f t="shared" si="58"/>
        <v>1</v>
      </c>
      <c r="U936">
        <f t="shared" si="59"/>
        <v>2023</v>
      </c>
      <c r="AA936" t="str">
        <f t="shared" ca="1" si="60"/>
        <v/>
      </c>
    </row>
    <row r="937" spans="1:27" x14ac:dyDescent="0.3">
      <c r="A937" t="s">
        <v>1895</v>
      </c>
      <c r="B937" t="s">
        <v>1896</v>
      </c>
      <c r="C937" t="s">
        <v>36</v>
      </c>
      <c r="D937" t="s">
        <v>18</v>
      </c>
      <c r="E937" s="1">
        <v>44814</v>
      </c>
      <c r="F937" t="s">
        <v>14</v>
      </c>
      <c r="G937">
        <v>2016</v>
      </c>
      <c r="H937">
        <v>2170</v>
      </c>
      <c r="I937">
        <v>3.56</v>
      </c>
      <c r="J937">
        <v>41</v>
      </c>
      <c r="P937">
        <f t="shared" ca="1" si="57"/>
        <v>1038</v>
      </c>
      <c r="Q937" t="str" cm="1">
        <f t="array" ref="Q937">_xlfn.IFS(I937&gt;=3.5,"Excellent", I937&gt;3,"Good",I937&gt;2,"Average",I937&lt;2,"Poor")</f>
        <v>Excellent</v>
      </c>
      <c r="S937" t="b">
        <f t="shared" si="58"/>
        <v>1</v>
      </c>
      <c r="U937">
        <f t="shared" si="59"/>
        <v>2022</v>
      </c>
      <c r="AA937" t="str">
        <f t="shared" ca="1" si="60"/>
        <v/>
      </c>
    </row>
    <row r="938" spans="1:27" x14ac:dyDescent="0.3">
      <c r="A938" t="s">
        <v>1897</v>
      </c>
      <c r="B938" t="s">
        <v>1898</v>
      </c>
      <c r="C938" t="s">
        <v>12</v>
      </c>
      <c r="D938" t="s">
        <v>62</v>
      </c>
      <c r="E938" s="1">
        <v>45026</v>
      </c>
      <c r="F938" t="s">
        <v>19</v>
      </c>
      <c r="G938">
        <v>11375</v>
      </c>
      <c r="H938">
        <v>6971</v>
      </c>
      <c r="I938">
        <v>3.52</v>
      </c>
      <c r="J938">
        <v>72</v>
      </c>
      <c r="P938" t="str">
        <f t="shared" ca="1" si="57"/>
        <v xml:space="preserve"> </v>
      </c>
      <c r="Q938" t="str" cm="1">
        <f t="array" ref="Q938">_xlfn.IFS(I938&gt;=3.5,"Excellent", I938&gt;3,"Good",I938&gt;2,"Average",I938&lt;2,"Poor")</f>
        <v>Excellent</v>
      </c>
      <c r="S938" t="b">
        <f t="shared" si="58"/>
        <v>1</v>
      </c>
      <c r="U938">
        <f t="shared" si="59"/>
        <v>2023</v>
      </c>
      <c r="AA938">
        <f t="shared" ca="1" si="60"/>
        <v>826</v>
      </c>
    </row>
    <row r="939" spans="1:27" x14ac:dyDescent="0.3">
      <c r="A939" t="s">
        <v>1899</v>
      </c>
      <c r="B939" t="s">
        <v>1900</v>
      </c>
      <c r="C939" t="s">
        <v>25</v>
      </c>
      <c r="D939" t="s">
        <v>13</v>
      </c>
      <c r="E939" s="1">
        <v>45252</v>
      </c>
      <c r="F939" t="s">
        <v>14</v>
      </c>
      <c r="G939">
        <v>2240</v>
      </c>
      <c r="H939">
        <v>359</v>
      </c>
      <c r="I939">
        <v>3.9</v>
      </c>
      <c r="J939">
        <v>48</v>
      </c>
      <c r="P939">
        <f t="shared" ca="1" si="57"/>
        <v>600</v>
      </c>
      <c r="Q939" t="str" cm="1">
        <f t="array" ref="Q939">_xlfn.IFS(I939&gt;=3.5,"Excellent", I939&gt;3,"Good",I939&gt;2,"Average",I939&lt;2,"Poor")</f>
        <v>Excellent</v>
      </c>
      <c r="S939" t="str">
        <f t="shared" si="58"/>
        <v xml:space="preserve"> </v>
      </c>
      <c r="U939">
        <f t="shared" si="59"/>
        <v>2023</v>
      </c>
      <c r="AA939" t="str">
        <f t="shared" ca="1" si="60"/>
        <v/>
      </c>
    </row>
    <row r="940" spans="1:27" x14ac:dyDescent="0.3">
      <c r="A940" t="s">
        <v>1901</v>
      </c>
      <c r="B940" t="s">
        <v>1902</v>
      </c>
      <c r="C940" t="s">
        <v>12</v>
      </c>
      <c r="D940" t="s">
        <v>31</v>
      </c>
      <c r="E940" s="1">
        <v>44738</v>
      </c>
      <c r="F940" t="s">
        <v>19</v>
      </c>
      <c r="G940">
        <v>6615</v>
      </c>
      <c r="H940">
        <v>6355</v>
      </c>
      <c r="I940">
        <v>3.2</v>
      </c>
      <c r="J940">
        <v>40</v>
      </c>
      <c r="P940" t="str">
        <f t="shared" ca="1" si="57"/>
        <v xml:space="preserve"> </v>
      </c>
      <c r="Q940" t="str" cm="1">
        <f t="array" ref="Q940">_xlfn.IFS(I940&gt;=3.5,"Excellent", I940&gt;3,"Good",I940&gt;2,"Average",I940&lt;2,"Poor")</f>
        <v>Good</v>
      </c>
      <c r="S940" t="b">
        <f t="shared" si="58"/>
        <v>1</v>
      </c>
      <c r="U940">
        <f t="shared" si="59"/>
        <v>2022</v>
      </c>
      <c r="AA940">
        <f t="shared" ca="1" si="60"/>
        <v>1114</v>
      </c>
    </row>
    <row r="941" spans="1:27" x14ac:dyDescent="0.3">
      <c r="A941" t="s">
        <v>1903</v>
      </c>
      <c r="B941" t="s">
        <v>1904</v>
      </c>
      <c r="C941" t="s">
        <v>17</v>
      </c>
      <c r="D941" t="s">
        <v>62</v>
      </c>
      <c r="E941" s="1">
        <v>44887</v>
      </c>
      <c r="F941" t="s">
        <v>14</v>
      </c>
      <c r="G941">
        <v>10054</v>
      </c>
      <c r="H941">
        <v>4005</v>
      </c>
      <c r="I941">
        <v>3.66</v>
      </c>
      <c r="J941">
        <v>61</v>
      </c>
      <c r="P941">
        <f t="shared" ca="1" si="57"/>
        <v>965</v>
      </c>
      <c r="Q941" t="str" cm="1">
        <f t="array" ref="Q941">_xlfn.IFS(I941&gt;=3.5,"Excellent", I941&gt;3,"Good",I941&gt;2,"Average",I941&lt;2,"Poor")</f>
        <v>Excellent</v>
      </c>
      <c r="S941" t="str">
        <f t="shared" si="58"/>
        <v xml:space="preserve"> </v>
      </c>
      <c r="U941">
        <f t="shared" si="59"/>
        <v>2022</v>
      </c>
      <c r="AA941" t="str">
        <f t="shared" ca="1" si="60"/>
        <v/>
      </c>
    </row>
    <row r="942" spans="1:27" x14ac:dyDescent="0.3">
      <c r="A942" t="s">
        <v>1905</v>
      </c>
      <c r="B942" t="s">
        <v>1906</v>
      </c>
      <c r="C942" t="s">
        <v>54</v>
      </c>
      <c r="D942" t="s">
        <v>18</v>
      </c>
      <c r="E942" s="1">
        <v>45240</v>
      </c>
      <c r="F942" t="s">
        <v>14</v>
      </c>
      <c r="G942">
        <v>10579</v>
      </c>
      <c r="H942">
        <v>4678</v>
      </c>
      <c r="I942">
        <v>3.15</v>
      </c>
      <c r="J942">
        <v>43</v>
      </c>
      <c r="P942">
        <f t="shared" ca="1" si="57"/>
        <v>612</v>
      </c>
      <c r="Q942" t="str" cm="1">
        <f t="array" ref="Q942">_xlfn.IFS(I942&gt;=3.5,"Excellent", I942&gt;3,"Good",I942&gt;2,"Average",I942&lt;2,"Poor")</f>
        <v>Good</v>
      </c>
      <c r="S942" t="str">
        <f t="shared" si="58"/>
        <v xml:space="preserve"> </v>
      </c>
      <c r="U942">
        <f t="shared" si="59"/>
        <v>2023</v>
      </c>
      <c r="AA942" t="str">
        <f t="shared" ca="1" si="60"/>
        <v/>
      </c>
    </row>
    <row r="943" spans="1:27" x14ac:dyDescent="0.3">
      <c r="A943" t="s">
        <v>1907</v>
      </c>
      <c r="B943" t="s">
        <v>1908</v>
      </c>
      <c r="C943" t="s">
        <v>54</v>
      </c>
      <c r="D943" t="s">
        <v>13</v>
      </c>
      <c r="E943" s="1">
        <v>44996</v>
      </c>
      <c r="F943" t="s">
        <v>14</v>
      </c>
      <c r="G943">
        <v>2260</v>
      </c>
      <c r="H943">
        <v>2232</v>
      </c>
      <c r="I943">
        <v>2.94</v>
      </c>
      <c r="J943">
        <v>35</v>
      </c>
      <c r="P943">
        <f t="shared" ca="1" si="57"/>
        <v>856</v>
      </c>
      <c r="Q943" t="str" cm="1">
        <f t="array" ref="Q943">_xlfn.IFS(I943&gt;=3.5,"Excellent", I943&gt;3,"Good",I943&gt;2,"Average",I943&lt;2,"Poor")</f>
        <v>Average</v>
      </c>
      <c r="S943" t="b">
        <f t="shared" si="58"/>
        <v>1</v>
      </c>
      <c r="U943">
        <f t="shared" si="59"/>
        <v>2023</v>
      </c>
      <c r="AA943" t="str">
        <f t="shared" ca="1" si="60"/>
        <v/>
      </c>
    </row>
    <row r="944" spans="1:27" x14ac:dyDescent="0.3">
      <c r="A944" t="s">
        <v>1909</v>
      </c>
      <c r="B944" t="s">
        <v>1910</v>
      </c>
      <c r="C944" t="s">
        <v>54</v>
      </c>
      <c r="D944" t="s">
        <v>18</v>
      </c>
      <c r="E944" s="1">
        <v>45373</v>
      </c>
      <c r="F944" t="s">
        <v>19</v>
      </c>
      <c r="G944">
        <v>7638</v>
      </c>
      <c r="H944">
        <v>5209</v>
      </c>
      <c r="I944">
        <v>3.8</v>
      </c>
      <c r="J944">
        <v>21</v>
      </c>
      <c r="P944" t="str">
        <f t="shared" ca="1" si="57"/>
        <v xml:space="preserve"> </v>
      </c>
      <c r="Q944" t="str" cm="1">
        <f t="array" ref="Q944">_xlfn.IFS(I944&gt;=3.5,"Excellent", I944&gt;3,"Good",I944&gt;2,"Average",I944&lt;2,"Poor")</f>
        <v>Excellent</v>
      </c>
      <c r="S944" t="b">
        <f t="shared" si="58"/>
        <v>1</v>
      </c>
      <c r="U944">
        <f t="shared" si="59"/>
        <v>2024</v>
      </c>
      <c r="AA944">
        <f t="shared" ca="1" si="60"/>
        <v>479</v>
      </c>
    </row>
    <row r="945" spans="1:27" x14ac:dyDescent="0.3">
      <c r="A945" t="s">
        <v>1911</v>
      </c>
      <c r="B945" t="s">
        <v>1912</v>
      </c>
      <c r="C945" t="s">
        <v>22</v>
      </c>
      <c r="D945" t="s">
        <v>62</v>
      </c>
      <c r="E945" s="1">
        <v>45258</v>
      </c>
      <c r="F945" t="s">
        <v>14</v>
      </c>
      <c r="G945">
        <v>3557</v>
      </c>
      <c r="H945">
        <v>2458</v>
      </c>
      <c r="I945">
        <v>2.95</v>
      </c>
      <c r="J945">
        <v>116</v>
      </c>
      <c r="P945">
        <f t="shared" ca="1" si="57"/>
        <v>594</v>
      </c>
      <c r="Q945" t="str" cm="1">
        <f t="array" ref="Q945">_xlfn.IFS(I945&gt;=3.5,"Excellent", I945&gt;3,"Good",I945&gt;2,"Average",I945&lt;2,"Poor")</f>
        <v>Average</v>
      </c>
      <c r="S945" t="b">
        <f t="shared" si="58"/>
        <v>1</v>
      </c>
      <c r="U945">
        <f t="shared" si="59"/>
        <v>2023</v>
      </c>
      <c r="AA945" t="str">
        <f t="shared" ca="1" si="60"/>
        <v/>
      </c>
    </row>
    <row r="946" spans="1:27" x14ac:dyDescent="0.3">
      <c r="A946" t="s">
        <v>1913</v>
      </c>
      <c r="B946" t="s">
        <v>1914</v>
      </c>
      <c r="C946" t="s">
        <v>28</v>
      </c>
      <c r="D946" t="s">
        <v>13</v>
      </c>
      <c r="E946" s="1">
        <v>44769</v>
      </c>
      <c r="F946" t="s">
        <v>14</v>
      </c>
      <c r="G946">
        <v>4417</v>
      </c>
      <c r="H946">
        <v>1293</v>
      </c>
      <c r="I946">
        <v>3.32</v>
      </c>
      <c r="J946">
        <v>92</v>
      </c>
      <c r="P946">
        <f t="shared" ca="1" si="57"/>
        <v>1083</v>
      </c>
      <c r="Q946" t="str" cm="1">
        <f t="array" ref="Q946">_xlfn.IFS(I946&gt;=3.5,"Excellent", I946&gt;3,"Good",I946&gt;2,"Average",I946&lt;2,"Poor")</f>
        <v>Good</v>
      </c>
      <c r="S946" t="str">
        <f t="shared" si="58"/>
        <v xml:space="preserve"> </v>
      </c>
      <c r="U946">
        <f t="shared" si="59"/>
        <v>2022</v>
      </c>
      <c r="AA946" t="str">
        <f t="shared" ca="1" si="60"/>
        <v/>
      </c>
    </row>
    <row r="947" spans="1:27" x14ac:dyDescent="0.3">
      <c r="A947" t="s">
        <v>1915</v>
      </c>
      <c r="B947" t="s">
        <v>1916</v>
      </c>
      <c r="C947" t="s">
        <v>17</v>
      </c>
      <c r="D947" t="s">
        <v>18</v>
      </c>
      <c r="E947" s="1">
        <v>44760</v>
      </c>
      <c r="F947" t="s">
        <v>14</v>
      </c>
      <c r="G947">
        <v>12066</v>
      </c>
      <c r="H947">
        <v>8134</v>
      </c>
      <c r="I947">
        <v>3.63</v>
      </c>
      <c r="J947">
        <v>103</v>
      </c>
      <c r="P947">
        <f t="shared" ca="1" si="57"/>
        <v>1092</v>
      </c>
      <c r="Q947" t="str" cm="1">
        <f t="array" ref="Q947">_xlfn.IFS(I947&gt;=3.5,"Excellent", I947&gt;3,"Good",I947&gt;2,"Average",I947&lt;2,"Poor")</f>
        <v>Excellent</v>
      </c>
      <c r="S947" t="b">
        <f t="shared" si="58"/>
        <v>1</v>
      </c>
      <c r="U947">
        <f t="shared" si="59"/>
        <v>2022</v>
      </c>
      <c r="AA947" t="str">
        <f t="shared" ca="1" si="60"/>
        <v/>
      </c>
    </row>
    <row r="948" spans="1:27" x14ac:dyDescent="0.3">
      <c r="A948" t="s">
        <v>1917</v>
      </c>
      <c r="B948" t="s">
        <v>1918</v>
      </c>
      <c r="C948" t="s">
        <v>57</v>
      </c>
      <c r="D948" t="s">
        <v>31</v>
      </c>
      <c r="E948" s="1">
        <v>45315</v>
      </c>
      <c r="F948" t="s">
        <v>14</v>
      </c>
      <c r="G948">
        <v>2266</v>
      </c>
      <c r="H948">
        <v>3921</v>
      </c>
      <c r="I948">
        <v>3.84</v>
      </c>
      <c r="J948">
        <v>3</v>
      </c>
      <c r="P948">
        <f t="shared" ca="1" si="57"/>
        <v>537</v>
      </c>
      <c r="Q948" t="str" cm="1">
        <f t="array" ref="Q948">_xlfn.IFS(I948&gt;=3.5,"Excellent", I948&gt;3,"Good",I948&gt;2,"Average",I948&lt;2,"Poor")</f>
        <v>Excellent</v>
      </c>
      <c r="S948" t="b">
        <f t="shared" si="58"/>
        <v>1</v>
      </c>
      <c r="U948">
        <f t="shared" si="59"/>
        <v>2024</v>
      </c>
      <c r="AA948" t="str">
        <f t="shared" ca="1" si="60"/>
        <v/>
      </c>
    </row>
    <row r="949" spans="1:27" x14ac:dyDescent="0.3">
      <c r="A949" t="s">
        <v>1919</v>
      </c>
      <c r="B949" t="s">
        <v>1920</v>
      </c>
      <c r="C949" t="s">
        <v>36</v>
      </c>
      <c r="D949" t="s">
        <v>31</v>
      </c>
      <c r="E949" s="1">
        <v>45389</v>
      </c>
      <c r="F949" t="s">
        <v>14</v>
      </c>
      <c r="G949">
        <v>2363</v>
      </c>
      <c r="H949">
        <v>3593</v>
      </c>
      <c r="I949">
        <v>2.56</v>
      </c>
      <c r="J949">
        <v>119</v>
      </c>
      <c r="P949">
        <f t="shared" ca="1" si="57"/>
        <v>463</v>
      </c>
      <c r="Q949" t="str" cm="1">
        <f t="array" ref="Q949">_xlfn.IFS(I949&gt;=3.5,"Excellent", I949&gt;3,"Good",I949&gt;2,"Average",I949&lt;2,"Poor")</f>
        <v>Average</v>
      </c>
      <c r="S949" t="b">
        <f t="shared" si="58"/>
        <v>1</v>
      </c>
      <c r="U949">
        <f t="shared" si="59"/>
        <v>2024</v>
      </c>
      <c r="AA949" t="str">
        <f t="shared" ca="1" si="60"/>
        <v/>
      </c>
    </row>
    <row r="950" spans="1:27" x14ac:dyDescent="0.3">
      <c r="A950" t="s">
        <v>1921</v>
      </c>
      <c r="B950" t="s">
        <v>1922</v>
      </c>
      <c r="C950" t="s">
        <v>12</v>
      </c>
      <c r="D950" t="s">
        <v>18</v>
      </c>
      <c r="E950" s="1">
        <v>44678</v>
      </c>
      <c r="F950" t="s">
        <v>39</v>
      </c>
      <c r="G950">
        <v>2336</v>
      </c>
      <c r="H950">
        <v>7138</v>
      </c>
      <c r="I950">
        <v>3.58</v>
      </c>
      <c r="J950">
        <v>94</v>
      </c>
      <c r="P950" t="str">
        <f t="shared" ca="1" si="57"/>
        <v xml:space="preserve"> </v>
      </c>
      <c r="Q950" t="str" cm="1">
        <f t="array" ref="Q950">_xlfn.IFS(I950&gt;=3.5,"Excellent", I950&gt;3,"Good",I950&gt;2,"Average",I950&lt;2,"Poor")</f>
        <v>Excellent</v>
      </c>
      <c r="S950" t="b">
        <f t="shared" si="58"/>
        <v>1</v>
      </c>
      <c r="U950">
        <f t="shared" si="59"/>
        <v>2022</v>
      </c>
      <c r="AA950" t="str">
        <f t="shared" ca="1" si="60"/>
        <v/>
      </c>
    </row>
    <row r="951" spans="1:27" x14ac:dyDescent="0.3">
      <c r="A951" t="s">
        <v>1923</v>
      </c>
      <c r="B951" t="s">
        <v>1924</v>
      </c>
      <c r="C951" t="s">
        <v>57</v>
      </c>
      <c r="D951" t="s">
        <v>31</v>
      </c>
      <c r="E951" s="1">
        <v>45006</v>
      </c>
      <c r="F951" t="s">
        <v>19</v>
      </c>
      <c r="G951">
        <v>14712</v>
      </c>
      <c r="H951">
        <v>9626</v>
      </c>
      <c r="I951">
        <v>2.92</v>
      </c>
      <c r="J951">
        <v>18</v>
      </c>
      <c r="P951" t="str">
        <f t="shared" ca="1" si="57"/>
        <v xml:space="preserve"> </v>
      </c>
      <c r="Q951" t="str" cm="1">
        <f t="array" ref="Q951">_xlfn.IFS(I951&gt;=3.5,"Excellent", I951&gt;3,"Good",I951&gt;2,"Average",I951&lt;2,"Poor")</f>
        <v>Average</v>
      </c>
      <c r="S951" t="b">
        <f t="shared" si="58"/>
        <v>1</v>
      </c>
      <c r="U951">
        <f t="shared" si="59"/>
        <v>2023</v>
      </c>
      <c r="AA951">
        <f t="shared" ca="1" si="60"/>
        <v>846</v>
      </c>
    </row>
    <row r="952" spans="1:27" x14ac:dyDescent="0.3">
      <c r="A952" t="s">
        <v>1925</v>
      </c>
      <c r="B952" t="s">
        <v>1926</v>
      </c>
      <c r="C952" t="s">
        <v>12</v>
      </c>
      <c r="D952" t="s">
        <v>18</v>
      </c>
      <c r="E952" s="1">
        <v>44657</v>
      </c>
      <c r="F952" t="s">
        <v>19</v>
      </c>
      <c r="G952">
        <v>5822</v>
      </c>
      <c r="H952">
        <v>3156</v>
      </c>
      <c r="I952">
        <v>2.89</v>
      </c>
      <c r="J952">
        <v>53</v>
      </c>
      <c r="P952" t="str">
        <f t="shared" ca="1" si="57"/>
        <v xml:space="preserve"> </v>
      </c>
      <c r="Q952" t="str" cm="1">
        <f t="array" ref="Q952">_xlfn.IFS(I952&gt;=3.5,"Excellent", I952&gt;3,"Good",I952&gt;2,"Average",I952&lt;2,"Poor")</f>
        <v>Average</v>
      </c>
      <c r="S952" t="b">
        <f t="shared" si="58"/>
        <v>1</v>
      </c>
      <c r="U952">
        <f t="shared" si="59"/>
        <v>2022</v>
      </c>
      <c r="AA952">
        <f t="shared" ca="1" si="60"/>
        <v>1195</v>
      </c>
    </row>
    <row r="953" spans="1:27" x14ac:dyDescent="0.3">
      <c r="A953" t="s">
        <v>1927</v>
      </c>
      <c r="B953" t="s">
        <v>1928</v>
      </c>
      <c r="C953" t="s">
        <v>22</v>
      </c>
      <c r="D953" t="s">
        <v>31</v>
      </c>
      <c r="E953" s="1">
        <v>45407</v>
      </c>
      <c r="F953" t="s">
        <v>19</v>
      </c>
      <c r="G953">
        <v>13010</v>
      </c>
      <c r="H953">
        <v>5677</v>
      </c>
      <c r="I953">
        <v>2.0299999999999998</v>
      </c>
      <c r="J953">
        <v>72</v>
      </c>
      <c r="P953" t="str">
        <f t="shared" ca="1" si="57"/>
        <v xml:space="preserve"> </v>
      </c>
      <c r="Q953" t="str" cm="1">
        <f t="array" ref="Q953">_xlfn.IFS(I953&gt;=3.5,"Excellent", I953&gt;3,"Good",I953&gt;2,"Average",I953&lt;2,"Poor")</f>
        <v>Average</v>
      </c>
      <c r="S953" t="str">
        <f t="shared" si="58"/>
        <v xml:space="preserve"> </v>
      </c>
      <c r="U953">
        <f t="shared" si="59"/>
        <v>2024</v>
      </c>
      <c r="AA953">
        <f t="shared" ca="1" si="60"/>
        <v>445</v>
      </c>
    </row>
    <row r="954" spans="1:27" x14ac:dyDescent="0.3">
      <c r="A954" t="s">
        <v>1929</v>
      </c>
      <c r="B954" t="s">
        <v>1930</v>
      </c>
      <c r="C954" t="s">
        <v>17</v>
      </c>
      <c r="D954" t="s">
        <v>13</v>
      </c>
      <c r="E954" s="1">
        <v>45414</v>
      </c>
      <c r="F954" t="s">
        <v>19</v>
      </c>
      <c r="G954">
        <v>6167</v>
      </c>
      <c r="H954">
        <v>6095</v>
      </c>
      <c r="I954">
        <v>2.99</v>
      </c>
      <c r="J954">
        <v>94</v>
      </c>
      <c r="P954" t="str">
        <f t="shared" ca="1" si="57"/>
        <v xml:space="preserve"> </v>
      </c>
      <c r="Q954" t="str" cm="1">
        <f t="array" ref="Q954">_xlfn.IFS(I954&gt;=3.5,"Excellent", I954&gt;3,"Good",I954&gt;2,"Average",I954&lt;2,"Poor")</f>
        <v>Average</v>
      </c>
      <c r="S954" t="b">
        <f t="shared" si="58"/>
        <v>1</v>
      </c>
      <c r="U954">
        <f t="shared" si="59"/>
        <v>2024</v>
      </c>
      <c r="AA954">
        <f t="shared" ca="1" si="60"/>
        <v>438</v>
      </c>
    </row>
    <row r="955" spans="1:27" x14ac:dyDescent="0.3">
      <c r="A955" t="s">
        <v>1931</v>
      </c>
      <c r="B955" t="s">
        <v>1932</v>
      </c>
      <c r="C955" t="s">
        <v>57</v>
      </c>
      <c r="D955" t="s">
        <v>31</v>
      </c>
      <c r="E955" s="1">
        <v>44688</v>
      </c>
      <c r="F955" t="s">
        <v>19</v>
      </c>
      <c r="G955">
        <v>3815</v>
      </c>
      <c r="H955">
        <v>2083</v>
      </c>
      <c r="I955">
        <v>3.66</v>
      </c>
      <c r="J955">
        <v>92</v>
      </c>
      <c r="P955" t="str">
        <f t="shared" ca="1" si="57"/>
        <v xml:space="preserve"> </v>
      </c>
      <c r="Q955" t="str" cm="1">
        <f t="array" ref="Q955">_xlfn.IFS(I955&gt;=3.5,"Excellent", I955&gt;3,"Good",I955&gt;2,"Average",I955&lt;2,"Poor")</f>
        <v>Excellent</v>
      </c>
      <c r="S955" t="b">
        <f t="shared" si="58"/>
        <v>1</v>
      </c>
      <c r="U955">
        <f t="shared" si="59"/>
        <v>2022</v>
      </c>
      <c r="AA955">
        <f t="shared" ca="1" si="60"/>
        <v>1164</v>
      </c>
    </row>
    <row r="956" spans="1:27" x14ac:dyDescent="0.3">
      <c r="A956" t="s">
        <v>1933</v>
      </c>
      <c r="B956" t="s">
        <v>1934</v>
      </c>
      <c r="C956" t="s">
        <v>12</v>
      </c>
      <c r="D956" t="s">
        <v>62</v>
      </c>
      <c r="E956" s="1">
        <v>44730</v>
      </c>
      <c r="F956" t="s">
        <v>19</v>
      </c>
      <c r="G956">
        <v>6719</v>
      </c>
      <c r="H956">
        <v>7812</v>
      </c>
      <c r="I956">
        <v>3.91</v>
      </c>
      <c r="J956">
        <v>116</v>
      </c>
      <c r="P956" t="str">
        <f t="shared" ca="1" si="57"/>
        <v xml:space="preserve"> </v>
      </c>
      <c r="Q956" t="str" cm="1">
        <f t="array" ref="Q956">_xlfn.IFS(I956&gt;=3.5,"Excellent", I956&gt;3,"Good",I956&gt;2,"Average",I956&lt;2,"Poor")</f>
        <v>Excellent</v>
      </c>
      <c r="S956" t="b">
        <f t="shared" si="58"/>
        <v>1</v>
      </c>
      <c r="U956">
        <f t="shared" si="59"/>
        <v>2022</v>
      </c>
      <c r="AA956">
        <f t="shared" ca="1" si="60"/>
        <v>1122</v>
      </c>
    </row>
    <row r="957" spans="1:27" x14ac:dyDescent="0.3">
      <c r="A957" t="s">
        <v>1935</v>
      </c>
      <c r="B957" t="s">
        <v>1936</v>
      </c>
      <c r="C957" t="s">
        <v>25</v>
      </c>
      <c r="D957" t="s">
        <v>18</v>
      </c>
      <c r="E957" s="1">
        <v>45252</v>
      </c>
      <c r="F957" t="s">
        <v>14</v>
      </c>
      <c r="G957">
        <v>4490</v>
      </c>
      <c r="H957">
        <v>1702</v>
      </c>
      <c r="I957">
        <v>2.7</v>
      </c>
      <c r="J957">
        <v>94</v>
      </c>
      <c r="P957">
        <f t="shared" ca="1" si="57"/>
        <v>600</v>
      </c>
      <c r="Q957" t="str" cm="1">
        <f t="array" ref="Q957">_xlfn.IFS(I957&gt;=3.5,"Excellent", I957&gt;3,"Good",I957&gt;2,"Average",I957&lt;2,"Poor")</f>
        <v>Average</v>
      </c>
      <c r="S957" t="str">
        <f t="shared" si="58"/>
        <v xml:space="preserve"> </v>
      </c>
      <c r="U957">
        <f t="shared" si="59"/>
        <v>2023</v>
      </c>
      <c r="AA957" t="str">
        <f t="shared" ca="1" si="60"/>
        <v/>
      </c>
    </row>
    <row r="958" spans="1:27" x14ac:dyDescent="0.3">
      <c r="A958" t="s">
        <v>1937</v>
      </c>
      <c r="B958" t="s">
        <v>1938</v>
      </c>
      <c r="C958" t="s">
        <v>17</v>
      </c>
      <c r="D958" t="s">
        <v>18</v>
      </c>
      <c r="E958" s="1">
        <v>45110</v>
      </c>
      <c r="F958" t="s">
        <v>19</v>
      </c>
      <c r="G958">
        <v>9668</v>
      </c>
      <c r="H958">
        <v>1839</v>
      </c>
      <c r="I958">
        <v>2.5099999999999998</v>
      </c>
      <c r="J958">
        <v>85</v>
      </c>
      <c r="P958" t="str">
        <f t="shared" ca="1" si="57"/>
        <v xml:space="preserve"> </v>
      </c>
      <c r="Q958" t="str" cm="1">
        <f t="array" ref="Q958">_xlfn.IFS(I958&gt;=3.5,"Excellent", I958&gt;3,"Good",I958&gt;2,"Average",I958&lt;2,"Poor")</f>
        <v>Average</v>
      </c>
      <c r="S958" t="str">
        <f t="shared" si="58"/>
        <v xml:space="preserve"> </v>
      </c>
      <c r="U958">
        <f t="shared" si="59"/>
        <v>2023</v>
      </c>
      <c r="AA958">
        <f t="shared" ca="1" si="60"/>
        <v>742</v>
      </c>
    </row>
    <row r="959" spans="1:27" x14ac:dyDescent="0.3">
      <c r="A959" t="s">
        <v>1939</v>
      </c>
      <c r="B959" t="s">
        <v>1940</v>
      </c>
      <c r="C959" t="s">
        <v>28</v>
      </c>
      <c r="D959" t="s">
        <v>13</v>
      </c>
      <c r="E959" s="1">
        <v>45216</v>
      </c>
      <c r="F959" t="s">
        <v>14</v>
      </c>
      <c r="G959">
        <v>2432</v>
      </c>
      <c r="H959">
        <v>5071</v>
      </c>
      <c r="I959">
        <v>3.8</v>
      </c>
      <c r="J959">
        <v>49</v>
      </c>
      <c r="P959">
        <f t="shared" ca="1" si="57"/>
        <v>636</v>
      </c>
      <c r="Q959" t="str" cm="1">
        <f t="array" ref="Q959">_xlfn.IFS(I959&gt;=3.5,"Excellent", I959&gt;3,"Good",I959&gt;2,"Average",I959&lt;2,"Poor")</f>
        <v>Excellent</v>
      </c>
      <c r="S959" t="b">
        <f t="shared" si="58"/>
        <v>1</v>
      </c>
      <c r="U959">
        <f t="shared" si="59"/>
        <v>2023</v>
      </c>
      <c r="AA959" t="str">
        <f t="shared" ca="1" si="60"/>
        <v/>
      </c>
    </row>
    <row r="960" spans="1:27" x14ac:dyDescent="0.3">
      <c r="A960" t="s">
        <v>1941</v>
      </c>
      <c r="B960" t="s">
        <v>1942</v>
      </c>
      <c r="C960" t="s">
        <v>25</v>
      </c>
      <c r="D960" t="s">
        <v>13</v>
      </c>
      <c r="E960" s="1">
        <v>44956</v>
      </c>
      <c r="F960" t="s">
        <v>14</v>
      </c>
      <c r="G960">
        <v>3242</v>
      </c>
      <c r="H960">
        <v>9900</v>
      </c>
      <c r="I960">
        <v>3.85</v>
      </c>
      <c r="J960">
        <v>83</v>
      </c>
      <c r="P960">
        <f t="shared" ca="1" si="57"/>
        <v>896</v>
      </c>
      <c r="Q960" t="str" cm="1">
        <f t="array" ref="Q960">_xlfn.IFS(I960&gt;=3.5,"Excellent", I960&gt;3,"Good",I960&gt;2,"Average",I960&lt;2,"Poor")</f>
        <v>Excellent</v>
      </c>
      <c r="S960" t="b">
        <f t="shared" si="58"/>
        <v>1</v>
      </c>
      <c r="U960">
        <f t="shared" si="59"/>
        <v>2023</v>
      </c>
      <c r="AA960" t="str">
        <f t="shared" ca="1" si="60"/>
        <v/>
      </c>
    </row>
    <row r="961" spans="1:27" x14ac:dyDescent="0.3">
      <c r="A961" t="s">
        <v>1943</v>
      </c>
      <c r="B961" t="s">
        <v>1944</v>
      </c>
      <c r="C961" t="s">
        <v>22</v>
      </c>
      <c r="D961" t="s">
        <v>62</v>
      </c>
      <c r="E961" s="1">
        <v>44818</v>
      </c>
      <c r="F961" t="s">
        <v>19</v>
      </c>
      <c r="G961">
        <v>14853</v>
      </c>
      <c r="H961">
        <v>6485</v>
      </c>
      <c r="I961">
        <v>3.3</v>
      </c>
      <c r="J961">
        <v>2</v>
      </c>
      <c r="P961" t="str">
        <f t="shared" ca="1" si="57"/>
        <v xml:space="preserve"> </v>
      </c>
      <c r="Q961" t="str" cm="1">
        <f t="array" ref="Q961">_xlfn.IFS(I961&gt;=3.5,"Excellent", I961&gt;3,"Good",I961&gt;2,"Average",I961&lt;2,"Poor")</f>
        <v>Good</v>
      </c>
      <c r="S961" t="str">
        <f t="shared" si="58"/>
        <v xml:space="preserve"> </v>
      </c>
      <c r="U961">
        <f t="shared" si="59"/>
        <v>2022</v>
      </c>
      <c r="AA961">
        <f t="shared" ca="1" si="60"/>
        <v>1034</v>
      </c>
    </row>
    <row r="962" spans="1:27" x14ac:dyDescent="0.3">
      <c r="A962" t="s">
        <v>1945</v>
      </c>
      <c r="B962" t="s">
        <v>1946</v>
      </c>
      <c r="C962" t="s">
        <v>22</v>
      </c>
      <c r="D962" t="s">
        <v>13</v>
      </c>
      <c r="E962" s="1">
        <v>45400</v>
      </c>
      <c r="F962" t="s">
        <v>14</v>
      </c>
      <c r="G962">
        <v>11497</v>
      </c>
      <c r="H962">
        <v>8841</v>
      </c>
      <c r="I962">
        <v>2.23</v>
      </c>
      <c r="J962">
        <v>50</v>
      </c>
      <c r="P962">
        <f t="shared" ca="1" si="57"/>
        <v>452</v>
      </c>
      <c r="Q962" t="str" cm="1">
        <f t="array" ref="Q962">_xlfn.IFS(I962&gt;=3.5,"Excellent", I962&gt;3,"Good",I962&gt;2,"Average",I962&lt;2,"Poor")</f>
        <v>Average</v>
      </c>
      <c r="S962" t="b">
        <f t="shared" si="58"/>
        <v>1</v>
      </c>
      <c r="U962">
        <f t="shared" si="59"/>
        <v>2024</v>
      </c>
      <c r="AA962" t="str">
        <f t="shared" ca="1" si="60"/>
        <v/>
      </c>
    </row>
    <row r="963" spans="1:27" x14ac:dyDescent="0.3">
      <c r="A963" t="s">
        <v>1947</v>
      </c>
      <c r="B963" t="s">
        <v>1948</v>
      </c>
      <c r="C963" t="s">
        <v>36</v>
      </c>
      <c r="D963" t="s">
        <v>18</v>
      </c>
      <c r="E963" s="1">
        <v>45237</v>
      </c>
      <c r="F963" t="s">
        <v>19</v>
      </c>
      <c r="G963">
        <v>2983</v>
      </c>
      <c r="H963">
        <v>8417</v>
      </c>
      <c r="I963">
        <v>2.6</v>
      </c>
      <c r="J963">
        <v>2</v>
      </c>
      <c r="P963" t="str">
        <f t="shared" ref="P963:P1026" ca="1" si="61">IF(F963="Enrolled",TODAY()-E963, " ")</f>
        <v xml:space="preserve"> </v>
      </c>
      <c r="Q963" t="str" cm="1">
        <f t="array" ref="Q963">_xlfn.IFS(I963&gt;=3.5,"Excellent", I963&gt;3,"Good",I963&gt;2,"Average",I963&lt;2,"Poor")</f>
        <v>Average</v>
      </c>
      <c r="S963" t="b">
        <f t="shared" ref="S963:S1026" si="62">IF(H963&gt;0.5*G963,TRUE, " " )</f>
        <v>1</v>
      </c>
      <c r="U963">
        <f t="shared" ref="U963:U1026" si="63">YEAR(E963)</f>
        <v>2023</v>
      </c>
      <c r="AA963">
        <f t="shared" ref="AA963:AA1026" ca="1" si="64">IF(F963="Completed",TODAY()-E963,"")</f>
        <v>615</v>
      </c>
    </row>
    <row r="964" spans="1:27" x14ac:dyDescent="0.3">
      <c r="A964" t="s">
        <v>1949</v>
      </c>
      <c r="B964" t="s">
        <v>1950</v>
      </c>
      <c r="C964" t="s">
        <v>54</v>
      </c>
      <c r="D964" t="s">
        <v>18</v>
      </c>
      <c r="E964" s="1">
        <v>44783</v>
      </c>
      <c r="F964" t="s">
        <v>19</v>
      </c>
      <c r="G964">
        <v>2880</v>
      </c>
      <c r="H964">
        <v>2545</v>
      </c>
      <c r="I964">
        <v>2.57</v>
      </c>
      <c r="J964">
        <v>32</v>
      </c>
      <c r="P964" t="str">
        <f t="shared" ca="1" si="61"/>
        <v xml:space="preserve"> </v>
      </c>
      <c r="Q964" t="str" cm="1">
        <f t="array" ref="Q964">_xlfn.IFS(I964&gt;=3.5,"Excellent", I964&gt;3,"Good",I964&gt;2,"Average",I964&lt;2,"Poor")</f>
        <v>Average</v>
      </c>
      <c r="S964" t="b">
        <f t="shared" si="62"/>
        <v>1</v>
      </c>
      <c r="U964">
        <f t="shared" si="63"/>
        <v>2022</v>
      </c>
      <c r="AA964">
        <f t="shared" ca="1" si="64"/>
        <v>1069</v>
      </c>
    </row>
    <row r="965" spans="1:27" x14ac:dyDescent="0.3">
      <c r="A965" t="s">
        <v>1951</v>
      </c>
      <c r="B965" t="s">
        <v>1952</v>
      </c>
      <c r="C965" t="s">
        <v>54</v>
      </c>
      <c r="D965" t="s">
        <v>18</v>
      </c>
      <c r="E965" s="1">
        <v>44659</v>
      </c>
      <c r="F965" t="s">
        <v>14</v>
      </c>
      <c r="G965">
        <v>6951</v>
      </c>
      <c r="H965">
        <v>321</v>
      </c>
      <c r="I965">
        <v>2.7</v>
      </c>
      <c r="J965">
        <v>61</v>
      </c>
      <c r="P965">
        <f t="shared" ca="1" si="61"/>
        <v>1193</v>
      </c>
      <c r="Q965" t="str" cm="1">
        <f t="array" ref="Q965">_xlfn.IFS(I965&gt;=3.5,"Excellent", I965&gt;3,"Good",I965&gt;2,"Average",I965&lt;2,"Poor")</f>
        <v>Average</v>
      </c>
      <c r="S965" t="str">
        <f t="shared" si="62"/>
        <v xml:space="preserve"> </v>
      </c>
      <c r="U965">
        <f t="shared" si="63"/>
        <v>2022</v>
      </c>
      <c r="AA965" t="str">
        <f t="shared" ca="1" si="64"/>
        <v/>
      </c>
    </row>
    <row r="966" spans="1:27" x14ac:dyDescent="0.3">
      <c r="A966" t="s">
        <v>1953</v>
      </c>
      <c r="B966" t="s">
        <v>1954</v>
      </c>
      <c r="C966" t="s">
        <v>17</v>
      </c>
      <c r="D966" t="s">
        <v>18</v>
      </c>
      <c r="E966" s="1">
        <v>45109</v>
      </c>
      <c r="F966" t="s">
        <v>19</v>
      </c>
      <c r="G966">
        <v>8612</v>
      </c>
      <c r="H966">
        <v>1423</v>
      </c>
      <c r="I966">
        <v>3.76</v>
      </c>
      <c r="J966">
        <v>71</v>
      </c>
      <c r="P966" t="str">
        <f t="shared" ca="1" si="61"/>
        <v xml:space="preserve"> </v>
      </c>
      <c r="Q966" t="str" cm="1">
        <f t="array" ref="Q966">_xlfn.IFS(I966&gt;=3.5,"Excellent", I966&gt;3,"Good",I966&gt;2,"Average",I966&lt;2,"Poor")</f>
        <v>Excellent</v>
      </c>
      <c r="S966" t="str">
        <f t="shared" si="62"/>
        <v xml:space="preserve"> </v>
      </c>
      <c r="U966">
        <f t="shared" si="63"/>
        <v>2023</v>
      </c>
      <c r="AA966">
        <f t="shared" ca="1" si="64"/>
        <v>743</v>
      </c>
    </row>
    <row r="967" spans="1:27" x14ac:dyDescent="0.3">
      <c r="A967" t="s">
        <v>1955</v>
      </c>
      <c r="B967" t="s">
        <v>1956</v>
      </c>
      <c r="C967" t="s">
        <v>17</v>
      </c>
      <c r="D967" t="s">
        <v>62</v>
      </c>
      <c r="E967" s="1">
        <v>45309</v>
      </c>
      <c r="F967" t="s">
        <v>14</v>
      </c>
      <c r="G967">
        <v>8900</v>
      </c>
      <c r="H967">
        <v>4345</v>
      </c>
      <c r="I967">
        <v>3.25</v>
      </c>
      <c r="J967">
        <v>35</v>
      </c>
      <c r="P967">
        <f t="shared" ca="1" si="61"/>
        <v>543</v>
      </c>
      <c r="Q967" t="str" cm="1">
        <f t="array" ref="Q967">_xlfn.IFS(I967&gt;=3.5,"Excellent", I967&gt;3,"Good",I967&gt;2,"Average",I967&lt;2,"Poor")</f>
        <v>Good</v>
      </c>
      <c r="S967" t="str">
        <f t="shared" si="62"/>
        <v xml:space="preserve"> </v>
      </c>
      <c r="U967">
        <f t="shared" si="63"/>
        <v>2024</v>
      </c>
      <c r="AA967" t="str">
        <f t="shared" ca="1" si="64"/>
        <v/>
      </c>
    </row>
    <row r="968" spans="1:27" x14ac:dyDescent="0.3">
      <c r="A968" t="s">
        <v>1957</v>
      </c>
      <c r="B968" t="s">
        <v>1958</v>
      </c>
      <c r="C968" t="s">
        <v>22</v>
      </c>
      <c r="D968" t="s">
        <v>31</v>
      </c>
      <c r="E968" s="1">
        <v>45379</v>
      </c>
      <c r="F968" t="s">
        <v>19</v>
      </c>
      <c r="G968">
        <v>10147</v>
      </c>
      <c r="H968">
        <v>592</v>
      </c>
      <c r="I968">
        <v>3.12</v>
      </c>
      <c r="J968">
        <v>72</v>
      </c>
      <c r="P968" t="str">
        <f t="shared" ca="1" si="61"/>
        <v xml:space="preserve"> </v>
      </c>
      <c r="Q968" t="str" cm="1">
        <f t="array" ref="Q968">_xlfn.IFS(I968&gt;=3.5,"Excellent", I968&gt;3,"Good",I968&gt;2,"Average",I968&lt;2,"Poor")</f>
        <v>Good</v>
      </c>
      <c r="S968" t="str">
        <f t="shared" si="62"/>
        <v xml:space="preserve"> </v>
      </c>
      <c r="U968">
        <f t="shared" si="63"/>
        <v>2024</v>
      </c>
      <c r="AA968">
        <f t="shared" ca="1" si="64"/>
        <v>473</v>
      </c>
    </row>
    <row r="969" spans="1:27" x14ac:dyDescent="0.3">
      <c r="A969" t="s">
        <v>1959</v>
      </c>
      <c r="B969" t="s">
        <v>1960</v>
      </c>
      <c r="C969" t="s">
        <v>57</v>
      </c>
      <c r="D969" t="s">
        <v>31</v>
      </c>
      <c r="E969" s="1">
        <v>44713</v>
      </c>
      <c r="F969" t="s">
        <v>14</v>
      </c>
      <c r="G969">
        <v>11524</v>
      </c>
      <c r="H969">
        <v>885</v>
      </c>
      <c r="I969">
        <v>3.48</v>
      </c>
      <c r="J969">
        <v>39</v>
      </c>
      <c r="P969">
        <f t="shared" ca="1" si="61"/>
        <v>1139</v>
      </c>
      <c r="Q969" t="str" cm="1">
        <f t="array" ref="Q969">_xlfn.IFS(I969&gt;=3.5,"Excellent", I969&gt;3,"Good",I969&gt;2,"Average",I969&lt;2,"Poor")</f>
        <v>Good</v>
      </c>
      <c r="S969" t="str">
        <f t="shared" si="62"/>
        <v xml:space="preserve"> </v>
      </c>
      <c r="U969">
        <f t="shared" si="63"/>
        <v>2022</v>
      </c>
      <c r="AA969" t="str">
        <f t="shared" ca="1" si="64"/>
        <v/>
      </c>
    </row>
    <row r="970" spans="1:27" x14ac:dyDescent="0.3">
      <c r="A970" t="s">
        <v>1961</v>
      </c>
      <c r="B970" t="s">
        <v>1962</v>
      </c>
      <c r="C970" t="s">
        <v>57</v>
      </c>
      <c r="D970" t="s">
        <v>31</v>
      </c>
      <c r="E970" s="1">
        <v>44583</v>
      </c>
      <c r="F970" t="s">
        <v>14</v>
      </c>
      <c r="G970">
        <v>9115</v>
      </c>
      <c r="H970">
        <v>8808</v>
      </c>
      <c r="I970">
        <v>3.15</v>
      </c>
      <c r="J970">
        <v>57</v>
      </c>
      <c r="P970">
        <f t="shared" ca="1" si="61"/>
        <v>1269</v>
      </c>
      <c r="Q970" t="str" cm="1">
        <f t="array" ref="Q970">_xlfn.IFS(I970&gt;=3.5,"Excellent", I970&gt;3,"Good",I970&gt;2,"Average",I970&lt;2,"Poor")</f>
        <v>Good</v>
      </c>
      <c r="S970" t="b">
        <f t="shared" si="62"/>
        <v>1</v>
      </c>
      <c r="U970">
        <f t="shared" si="63"/>
        <v>2022</v>
      </c>
      <c r="AA970" t="str">
        <f t="shared" ca="1" si="64"/>
        <v/>
      </c>
    </row>
    <row r="971" spans="1:27" x14ac:dyDescent="0.3">
      <c r="A971" t="s">
        <v>1963</v>
      </c>
      <c r="B971" t="s">
        <v>1964</v>
      </c>
      <c r="C971" t="s">
        <v>54</v>
      </c>
      <c r="D971" t="s">
        <v>62</v>
      </c>
      <c r="E971" s="1">
        <v>44771</v>
      </c>
      <c r="F971" t="s">
        <v>14</v>
      </c>
      <c r="G971">
        <v>14396</v>
      </c>
      <c r="H971">
        <v>1245</v>
      </c>
      <c r="I971">
        <v>2.91</v>
      </c>
      <c r="J971">
        <v>89</v>
      </c>
      <c r="P971">
        <f t="shared" ca="1" si="61"/>
        <v>1081</v>
      </c>
      <c r="Q971" t="str" cm="1">
        <f t="array" ref="Q971">_xlfn.IFS(I971&gt;=3.5,"Excellent", I971&gt;3,"Good",I971&gt;2,"Average",I971&lt;2,"Poor")</f>
        <v>Average</v>
      </c>
      <c r="S971" t="str">
        <f t="shared" si="62"/>
        <v xml:space="preserve"> </v>
      </c>
      <c r="U971">
        <f t="shared" si="63"/>
        <v>2022</v>
      </c>
      <c r="AA971" t="str">
        <f t="shared" ca="1" si="64"/>
        <v/>
      </c>
    </row>
    <row r="972" spans="1:27" x14ac:dyDescent="0.3">
      <c r="A972" t="s">
        <v>1965</v>
      </c>
      <c r="B972" t="s">
        <v>1966</v>
      </c>
      <c r="C972" t="s">
        <v>54</v>
      </c>
      <c r="D972" t="s">
        <v>31</v>
      </c>
      <c r="E972" s="1">
        <v>45077</v>
      </c>
      <c r="F972" t="s">
        <v>19</v>
      </c>
      <c r="G972">
        <v>8599</v>
      </c>
      <c r="H972">
        <v>3888</v>
      </c>
      <c r="I972">
        <v>2.88</v>
      </c>
      <c r="J972">
        <v>8</v>
      </c>
      <c r="P972" t="str">
        <f t="shared" ca="1" si="61"/>
        <v xml:space="preserve"> </v>
      </c>
      <c r="Q972" t="str" cm="1">
        <f t="array" ref="Q972">_xlfn.IFS(I972&gt;=3.5,"Excellent", I972&gt;3,"Good",I972&gt;2,"Average",I972&lt;2,"Poor")</f>
        <v>Average</v>
      </c>
      <c r="S972" t="str">
        <f t="shared" si="62"/>
        <v xml:space="preserve"> </v>
      </c>
      <c r="U972">
        <f t="shared" si="63"/>
        <v>2023</v>
      </c>
      <c r="AA972">
        <f t="shared" ca="1" si="64"/>
        <v>775</v>
      </c>
    </row>
    <row r="973" spans="1:27" x14ac:dyDescent="0.3">
      <c r="A973" t="s">
        <v>1967</v>
      </c>
      <c r="B973" t="s">
        <v>1968</v>
      </c>
      <c r="C973" t="s">
        <v>25</v>
      </c>
      <c r="D973" t="s">
        <v>18</v>
      </c>
      <c r="E973" s="1">
        <v>45353</v>
      </c>
      <c r="F973" t="s">
        <v>14</v>
      </c>
      <c r="G973">
        <v>14700</v>
      </c>
      <c r="H973">
        <v>4688</v>
      </c>
      <c r="I973">
        <v>3.69</v>
      </c>
      <c r="J973">
        <v>34</v>
      </c>
      <c r="P973">
        <f t="shared" ca="1" si="61"/>
        <v>499</v>
      </c>
      <c r="Q973" t="str" cm="1">
        <f t="array" ref="Q973">_xlfn.IFS(I973&gt;=3.5,"Excellent", I973&gt;3,"Good",I973&gt;2,"Average",I973&lt;2,"Poor")</f>
        <v>Excellent</v>
      </c>
      <c r="S973" t="str">
        <f t="shared" si="62"/>
        <v xml:space="preserve"> </v>
      </c>
      <c r="U973">
        <f t="shared" si="63"/>
        <v>2024</v>
      </c>
      <c r="AA973" t="str">
        <f t="shared" ca="1" si="64"/>
        <v/>
      </c>
    </row>
    <row r="974" spans="1:27" x14ac:dyDescent="0.3">
      <c r="A974" t="s">
        <v>1969</v>
      </c>
      <c r="B974" t="s">
        <v>1970</v>
      </c>
      <c r="C974" t="s">
        <v>54</v>
      </c>
      <c r="D974" t="s">
        <v>31</v>
      </c>
      <c r="E974" s="1">
        <v>45385</v>
      </c>
      <c r="F974" t="s">
        <v>14</v>
      </c>
      <c r="G974">
        <v>9199</v>
      </c>
      <c r="H974">
        <v>9495</v>
      </c>
      <c r="I974">
        <v>3.04</v>
      </c>
      <c r="J974">
        <v>20</v>
      </c>
      <c r="P974">
        <f t="shared" ca="1" si="61"/>
        <v>467</v>
      </c>
      <c r="Q974" t="str" cm="1">
        <f t="array" ref="Q974">_xlfn.IFS(I974&gt;=3.5,"Excellent", I974&gt;3,"Good",I974&gt;2,"Average",I974&lt;2,"Poor")</f>
        <v>Good</v>
      </c>
      <c r="S974" t="b">
        <f t="shared" si="62"/>
        <v>1</v>
      </c>
      <c r="U974">
        <f t="shared" si="63"/>
        <v>2024</v>
      </c>
      <c r="AA974" t="str">
        <f t="shared" ca="1" si="64"/>
        <v/>
      </c>
    </row>
    <row r="975" spans="1:27" x14ac:dyDescent="0.3">
      <c r="A975" t="s">
        <v>1971</v>
      </c>
      <c r="B975" t="s">
        <v>1972</v>
      </c>
      <c r="C975" t="s">
        <v>36</v>
      </c>
      <c r="D975" t="s">
        <v>62</v>
      </c>
      <c r="E975" s="1">
        <v>45308</v>
      </c>
      <c r="F975" t="s">
        <v>39</v>
      </c>
      <c r="G975">
        <v>6798</v>
      </c>
      <c r="H975">
        <v>3454</v>
      </c>
      <c r="I975">
        <v>2.97</v>
      </c>
      <c r="J975">
        <v>28</v>
      </c>
      <c r="P975" t="str">
        <f t="shared" ca="1" si="61"/>
        <v xml:space="preserve"> </v>
      </c>
      <c r="Q975" t="str" cm="1">
        <f t="array" ref="Q975">_xlfn.IFS(I975&gt;=3.5,"Excellent", I975&gt;3,"Good",I975&gt;2,"Average",I975&lt;2,"Poor")</f>
        <v>Average</v>
      </c>
      <c r="S975" t="b">
        <f t="shared" si="62"/>
        <v>1</v>
      </c>
      <c r="U975">
        <f t="shared" si="63"/>
        <v>2024</v>
      </c>
      <c r="AA975" t="str">
        <f t="shared" ca="1" si="64"/>
        <v/>
      </c>
    </row>
    <row r="976" spans="1:27" x14ac:dyDescent="0.3">
      <c r="A976" t="s">
        <v>1973</v>
      </c>
      <c r="B976" t="s">
        <v>1974</v>
      </c>
      <c r="C976" t="s">
        <v>57</v>
      </c>
      <c r="D976" t="s">
        <v>62</v>
      </c>
      <c r="E976" s="1">
        <v>44731</v>
      </c>
      <c r="F976" t="s">
        <v>14</v>
      </c>
      <c r="G976">
        <v>7093</v>
      </c>
      <c r="H976">
        <v>2651</v>
      </c>
      <c r="I976">
        <v>2.2999999999999998</v>
      </c>
      <c r="J976">
        <v>75</v>
      </c>
      <c r="P976">
        <f t="shared" ca="1" si="61"/>
        <v>1121</v>
      </c>
      <c r="Q976" t="str" cm="1">
        <f t="array" ref="Q976">_xlfn.IFS(I976&gt;=3.5,"Excellent", I976&gt;3,"Good",I976&gt;2,"Average",I976&lt;2,"Poor")</f>
        <v>Average</v>
      </c>
      <c r="S976" t="str">
        <f t="shared" si="62"/>
        <v xml:space="preserve"> </v>
      </c>
      <c r="U976">
        <f t="shared" si="63"/>
        <v>2022</v>
      </c>
      <c r="AA976" t="str">
        <f t="shared" ca="1" si="64"/>
        <v/>
      </c>
    </row>
    <row r="977" spans="1:27" x14ac:dyDescent="0.3">
      <c r="A977" t="s">
        <v>1975</v>
      </c>
      <c r="B977" t="s">
        <v>1976</v>
      </c>
      <c r="C977" t="s">
        <v>54</v>
      </c>
      <c r="D977" t="s">
        <v>31</v>
      </c>
      <c r="E977" s="1">
        <v>45295</v>
      </c>
      <c r="F977" t="s">
        <v>19</v>
      </c>
      <c r="G977">
        <v>10111</v>
      </c>
      <c r="H977">
        <v>3264</v>
      </c>
      <c r="I977">
        <v>3.75</v>
      </c>
      <c r="J977">
        <v>97</v>
      </c>
      <c r="P977" t="str">
        <f t="shared" ca="1" si="61"/>
        <v xml:space="preserve"> </v>
      </c>
      <c r="Q977" t="str" cm="1">
        <f t="array" ref="Q977">_xlfn.IFS(I977&gt;=3.5,"Excellent", I977&gt;3,"Good",I977&gt;2,"Average",I977&lt;2,"Poor")</f>
        <v>Excellent</v>
      </c>
      <c r="S977" t="str">
        <f t="shared" si="62"/>
        <v xml:space="preserve"> </v>
      </c>
      <c r="U977">
        <f t="shared" si="63"/>
        <v>2024</v>
      </c>
      <c r="AA977">
        <f t="shared" ca="1" si="64"/>
        <v>557</v>
      </c>
    </row>
    <row r="978" spans="1:27" x14ac:dyDescent="0.3">
      <c r="A978" t="s">
        <v>1977</v>
      </c>
      <c r="B978" t="s">
        <v>1978</v>
      </c>
      <c r="C978" t="s">
        <v>54</v>
      </c>
      <c r="D978" t="s">
        <v>31</v>
      </c>
      <c r="E978" s="1">
        <v>45157</v>
      </c>
      <c r="F978" t="s">
        <v>14</v>
      </c>
      <c r="G978">
        <v>14720</v>
      </c>
      <c r="H978">
        <v>6666</v>
      </c>
      <c r="I978">
        <v>3.08</v>
      </c>
      <c r="J978">
        <v>2</v>
      </c>
      <c r="P978">
        <f t="shared" ca="1" si="61"/>
        <v>695</v>
      </c>
      <c r="Q978" t="str" cm="1">
        <f t="array" ref="Q978">_xlfn.IFS(I978&gt;=3.5,"Excellent", I978&gt;3,"Good",I978&gt;2,"Average",I978&lt;2,"Poor")</f>
        <v>Good</v>
      </c>
      <c r="S978" t="str">
        <f t="shared" si="62"/>
        <v xml:space="preserve"> </v>
      </c>
      <c r="U978">
        <f t="shared" si="63"/>
        <v>2023</v>
      </c>
      <c r="AA978" t="str">
        <f t="shared" ca="1" si="64"/>
        <v/>
      </c>
    </row>
    <row r="979" spans="1:27" x14ac:dyDescent="0.3">
      <c r="A979" t="s">
        <v>1979</v>
      </c>
      <c r="B979" t="s">
        <v>1980</v>
      </c>
      <c r="C979" t="s">
        <v>25</v>
      </c>
      <c r="D979" t="s">
        <v>62</v>
      </c>
      <c r="E979" s="1">
        <v>45183</v>
      </c>
      <c r="F979" t="s">
        <v>19</v>
      </c>
      <c r="G979">
        <v>3574</v>
      </c>
      <c r="H979">
        <v>294</v>
      </c>
      <c r="I979">
        <v>2.4700000000000002</v>
      </c>
      <c r="J979">
        <v>107</v>
      </c>
      <c r="P979" t="str">
        <f t="shared" ca="1" si="61"/>
        <v xml:space="preserve"> </v>
      </c>
      <c r="Q979" t="str" cm="1">
        <f t="array" ref="Q979">_xlfn.IFS(I979&gt;=3.5,"Excellent", I979&gt;3,"Good",I979&gt;2,"Average",I979&lt;2,"Poor")</f>
        <v>Average</v>
      </c>
      <c r="S979" t="str">
        <f t="shared" si="62"/>
        <v xml:space="preserve"> </v>
      </c>
      <c r="U979">
        <f t="shared" si="63"/>
        <v>2023</v>
      </c>
      <c r="AA979">
        <f t="shared" ca="1" si="64"/>
        <v>669</v>
      </c>
    </row>
    <row r="980" spans="1:27" x14ac:dyDescent="0.3">
      <c r="A980" t="s">
        <v>1981</v>
      </c>
      <c r="B980" t="s">
        <v>1982</v>
      </c>
      <c r="C980" t="s">
        <v>17</v>
      </c>
      <c r="D980" t="s">
        <v>18</v>
      </c>
      <c r="E980" s="1">
        <v>44712</v>
      </c>
      <c r="F980" t="s">
        <v>14</v>
      </c>
      <c r="G980">
        <v>12664</v>
      </c>
      <c r="H980">
        <v>7109</v>
      </c>
      <c r="I980">
        <v>2.2000000000000002</v>
      </c>
      <c r="J980">
        <v>91</v>
      </c>
      <c r="P980">
        <f t="shared" ca="1" si="61"/>
        <v>1140</v>
      </c>
      <c r="Q980" t="str" cm="1">
        <f t="array" ref="Q980">_xlfn.IFS(I980&gt;=3.5,"Excellent", I980&gt;3,"Good",I980&gt;2,"Average",I980&lt;2,"Poor")</f>
        <v>Average</v>
      </c>
      <c r="S980" t="b">
        <f t="shared" si="62"/>
        <v>1</v>
      </c>
      <c r="U980">
        <f t="shared" si="63"/>
        <v>2022</v>
      </c>
      <c r="AA980" t="str">
        <f t="shared" ca="1" si="64"/>
        <v/>
      </c>
    </row>
    <row r="981" spans="1:27" x14ac:dyDescent="0.3">
      <c r="A981" t="s">
        <v>1983</v>
      </c>
      <c r="B981" t="s">
        <v>1984</v>
      </c>
      <c r="C981" t="s">
        <v>22</v>
      </c>
      <c r="D981" t="s">
        <v>18</v>
      </c>
      <c r="E981" s="1">
        <v>45398</v>
      </c>
      <c r="F981" t="s">
        <v>14</v>
      </c>
      <c r="G981">
        <v>9618</v>
      </c>
      <c r="H981">
        <v>6312</v>
      </c>
      <c r="I981">
        <v>2.25</v>
      </c>
      <c r="J981">
        <v>78</v>
      </c>
      <c r="P981">
        <f t="shared" ca="1" si="61"/>
        <v>454</v>
      </c>
      <c r="Q981" t="str" cm="1">
        <f t="array" ref="Q981">_xlfn.IFS(I981&gt;=3.5,"Excellent", I981&gt;3,"Good",I981&gt;2,"Average",I981&lt;2,"Poor")</f>
        <v>Average</v>
      </c>
      <c r="S981" t="b">
        <f t="shared" si="62"/>
        <v>1</v>
      </c>
      <c r="U981">
        <f t="shared" si="63"/>
        <v>2024</v>
      </c>
      <c r="AA981" t="str">
        <f t="shared" ca="1" si="64"/>
        <v/>
      </c>
    </row>
    <row r="982" spans="1:27" x14ac:dyDescent="0.3">
      <c r="A982" t="s">
        <v>1985</v>
      </c>
      <c r="B982" t="s">
        <v>1986</v>
      </c>
      <c r="C982" t="s">
        <v>36</v>
      </c>
      <c r="D982" t="s">
        <v>18</v>
      </c>
      <c r="E982" s="1">
        <v>45447</v>
      </c>
      <c r="F982" t="s">
        <v>19</v>
      </c>
      <c r="G982">
        <v>9706</v>
      </c>
      <c r="H982">
        <v>5288</v>
      </c>
      <c r="I982">
        <v>2.27</v>
      </c>
      <c r="J982">
        <v>6</v>
      </c>
      <c r="P982" t="str">
        <f t="shared" ca="1" si="61"/>
        <v xml:space="preserve"> </v>
      </c>
      <c r="Q982" t="str" cm="1">
        <f t="array" ref="Q982">_xlfn.IFS(I982&gt;=3.5,"Excellent", I982&gt;3,"Good",I982&gt;2,"Average",I982&lt;2,"Poor")</f>
        <v>Average</v>
      </c>
      <c r="S982" t="b">
        <f t="shared" si="62"/>
        <v>1</v>
      </c>
      <c r="U982">
        <f t="shared" si="63"/>
        <v>2024</v>
      </c>
      <c r="AA982">
        <f t="shared" ca="1" si="64"/>
        <v>405</v>
      </c>
    </row>
    <row r="983" spans="1:27" x14ac:dyDescent="0.3">
      <c r="A983" t="s">
        <v>1987</v>
      </c>
      <c r="B983" t="s">
        <v>1988</v>
      </c>
      <c r="C983" t="s">
        <v>12</v>
      </c>
      <c r="D983" t="s">
        <v>62</v>
      </c>
      <c r="E983" s="1">
        <v>44585</v>
      </c>
      <c r="F983" t="s">
        <v>14</v>
      </c>
      <c r="G983">
        <v>8994</v>
      </c>
      <c r="H983">
        <v>9832</v>
      </c>
      <c r="I983">
        <v>2.46</v>
      </c>
      <c r="J983">
        <v>107</v>
      </c>
      <c r="P983">
        <f t="shared" ca="1" si="61"/>
        <v>1267</v>
      </c>
      <c r="Q983" t="str" cm="1">
        <f t="array" ref="Q983">_xlfn.IFS(I983&gt;=3.5,"Excellent", I983&gt;3,"Good",I983&gt;2,"Average",I983&lt;2,"Poor")</f>
        <v>Average</v>
      </c>
      <c r="S983" t="b">
        <f t="shared" si="62"/>
        <v>1</v>
      </c>
      <c r="U983">
        <f t="shared" si="63"/>
        <v>2022</v>
      </c>
      <c r="AA983" t="str">
        <f t="shared" ca="1" si="64"/>
        <v/>
      </c>
    </row>
    <row r="984" spans="1:27" x14ac:dyDescent="0.3">
      <c r="A984" t="s">
        <v>1989</v>
      </c>
      <c r="B984" t="s">
        <v>1990</v>
      </c>
      <c r="C984" t="s">
        <v>12</v>
      </c>
      <c r="D984" t="s">
        <v>31</v>
      </c>
      <c r="E984" s="1">
        <v>44880</v>
      </c>
      <c r="F984" t="s">
        <v>19</v>
      </c>
      <c r="G984">
        <v>6439</v>
      </c>
      <c r="H984">
        <v>6901</v>
      </c>
      <c r="I984">
        <v>3.1</v>
      </c>
      <c r="J984">
        <v>80</v>
      </c>
      <c r="P984" t="str">
        <f t="shared" ca="1" si="61"/>
        <v xml:space="preserve"> </v>
      </c>
      <c r="Q984" t="str" cm="1">
        <f t="array" ref="Q984">_xlfn.IFS(I984&gt;=3.5,"Excellent", I984&gt;3,"Good",I984&gt;2,"Average",I984&lt;2,"Poor")</f>
        <v>Good</v>
      </c>
      <c r="S984" t="b">
        <f t="shared" si="62"/>
        <v>1</v>
      </c>
      <c r="U984">
        <f t="shared" si="63"/>
        <v>2022</v>
      </c>
      <c r="AA984">
        <f t="shared" ca="1" si="64"/>
        <v>972</v>
      </c>
    </row>
    <row r="985" spans="1:27" x14ac:dyDescent="0.3">
      <c r="A985" t="s">
        <v>1991</v>
      </c>
      <c r="B985" t="s">
        <v>1992</v>
      </c>
      <c r="C985" t="s">
        <v>22</v>
      </c>
      <c r="D985" t="s">
        <v>13</v>
      </c>
      <c r="E985" s="1">
        <v>45324</v>
      </c>
      <c r="F985" t="s">
        <v>14</v>
      </c>
      <c r="G985">
        <v>6534</v>
      </c>
      <c r="H985">
        <v>9500</v>
      </c>
      <c r="I985">
        <v>3.61</v>
      </c>
      <c r="J985">
        <v>111</v>
      </c>
      <c r="P985">
        <f t="shared" ca="1" si="61"/>
        <v>528</v>
      </c>
      <c r="Q985" t="str" cm="1">
        <f t="array" ref="Q985">_xlfn.IFS(I985&gt;=3.5,"Excellent", I985&gt;3,"Good",I985&gt;2,"Average",I985&lt;2,"Poor")</f>
        <v>Excellent</v>
      </c>
      <c r="S985" t="b">
        <f t="shared" si="62"/>
        <v>1</v>
      </c>
      <c r="U985">
        <f t="shared" si="63"/>
        <v>2024</v>
      </c>
      <c r="AA985" t="str">
        <f t="shared" ca="1" si="64"/>
        <v/>
      </c>
    </row>
    <row r="986" spans="1:27" x14ac:dyDescent="0.3">
      <c r="A986" t="s">
        <v>1993</v>
      </c>
      <c r="B986" t="s">
        <v>1994</v>
      </c>
      <c r="C986" t="s">
        <v>57</v>
      </c>
      <c r="D986" t="s">
        <v>13</v>
      </c>
      <c r="E986" s="1">
        <v>44806</v>
      </c>
      <c r="F986" t="s">
        <v>14</v>
      </c>
      <c r="G986">
        <v>7590</v>
      </c>
      <c r="H986">
        <v>408</v>
      </c>
      <c r="I986">
        <v>3.97</v>
      </c>
      <c r="J986">
        <v>46</v>
      </c>
      <c r="P986">
        <f t="shared" ca="1" si="61"/>
        <v>1046</v>
      </c>
      <c r="Q986" t="str" cm="1">
        <f t="array" ref="Q986">_xlfn.IFS(I986&gt;=3.5,"Excellent", I986&gt;3,"Good",I986&gt;2,"Average",I986&lt;2,"Poor")</f>
        <v>Excellent</v>
      </c>
      <c r="S986" t="str">
        <f t="shared" si="62"/>
        <v xml:space="preserve"> </v>
      </c>
      <c r="U986">
        <f t="shared" si="63"/>
        <v>2022</v>
      </c>
      <c r="AA986" t="str">
        <f t="shared" ca="1" si="64"/>
        <v/>
      </c>
    </row>
    <row r="987" spans="1:27" x14ac:dyDescent="0.3">
      <c r="A987" t="s">
        <v>1995</v>
      </c>
      <c r="B987" t="s">
        <v>1996</v>
      </c>
      <c r="C987" t="s">
        <v>22</v>
      </c>
      <c r="D987" t="s">
        <v>31</v>
      </c>
      <c r="E987" s="1">
        <v>44880</v>
      </c>
      <c r="F987" t="s">
        <v>39</v>
      </c>
      <c r="G987">
        <v>7475</v>
      </c>
      <c r="H987">
        <v>7710</v>
      </c>
      <c r="I987">
        <v>2.4500000000000002</v>
      </c>
      <c r="J987">
        <v>62</v>
      </c>
      <c r="P987" t="str">
        <f t="shared" ca="1" si="61"/>
        <v xml:space="preserve"> </v>
      </c>
      <c r="Q987" t="str" cm="1">
        <f t="array" ref="Q987">_xlfn.IFS(I987&gt;=3.5,"Excellent", I987&gt;3,"Good",I987&gt;2,"Average",I987&lt;2,"Poor")</f>
        <v>Average</v>
      </c>
      <c r="S987" t="b">
        <f t="shared" si="62"/>
        <v>1</v>
      </c>
      <c r="U987">
        <f t="shared" si="63"/>
        <v>2022</v>
      </c>
      <c r="AA987" t="str">
        <f t="shared" ca="1" si="64"/>
        <v/>
      </c>
    </row>
    <row r="988" spans="1:27" x14ac:dyDescent="0.3">
      <c r="A988" t="s">
        <v>1997</v>
      </c>
      <c r="B988" t="s">
        <v>1998</v>
      </c>
      <c r="C988" t="s">
        <v>12</v>
      </c>
      <c r="D988" t="s">
        <v>31</v>
      </c>
      <c r="E988" s="1">
        <v>45209</v>
      </c>
      <c r="F988" t="s">
        <v>14</v>
      </c>
      <c r="G988">
        <v>3693</v>
      </c>
      <c r="H988">
        <v>4367</v>
      </c>
      <c r="I988">
        <v>3.65</v>
      </c>
      <c r="J988">
        <v>28</v>
      </c>
      <c r="P988">
        <f t="shared" ca="1" si="61"/>
        <v>643</v>
      </c>
      <c r="Q988" t="str" cm="1">
        <f t="array" ref="Q988">_xlfn.IFS(I988&gt;=3.5,"Excellent", I988&gt;3,"Good",I988&gt;2,"Average",I988&lt;2,"Poor")</f>
        <v>Excellent</v>
      </c>
      <c r="S988" t="b">
        <f t="shared" si="62"/>
        <v>1</v>
      </c>
      <c r="U988">
        <f t="shared" si="63"/>
        <v>2023</v>
      </c>
      <c r="AA988" t="str">
        <f t="shared" ca="1" si="64"/>
        <v/>
      </c>
    </row>
    <row r="989" spans="1:27" x14ac:dyDescent="0.3">
      <c r="A989" t="s">
        <v>1999</v>
      </c>
      <c r="B989" t="s">
        <v>2000</v>
      </c>
      <c r="C989" t="s">
        <v>54</v>
      </c>
      <c r="D989" t="s">
        <v>31</v>
      </c>
      <c r="E989" s="1">
        <v>45398</v>
      </c>
      <c r="F989" t="s">
        <v>14</v>
      </c>
      <c r="G989">
        <v>11396</v>
      </c>
      <c r="H989">
        <v>8283</v>
      </c>
      <c r="I989">
        <v>2.2200000000000002</v>
      </c>
      <c r="J989">
        <v>98</v>
      </c>
      <c r="P989">
        <f t="shared" ca="1" si="61"/>
        <v>454</v>
      </c>
      <c r="Q989" t="str" cm="1">
        <f t="array" ref="Q989">_xlfn.IFS(I989&gt;=3.5,"Excellent", I989&gt;3,"Good",I989&gt;2,"Average",I989&lt;2,"Poor")</f>
        <v>Average</v>
      </c>
      <c r="S989" t="b">
        <f t="shared" si="62"/>
        <v>1</v>
      </c>
      <c r="U989">
        <f t="shared" si="63"/>
        <v>2024</v>
      </c>
      <c r="AA989" t="str">
        <f t="shared" ca="1" si="64"/>
        <v/>
      </c>
    </row>
    <row r="990" spans="1:27" x14ac:dyDescent="0.3">
      <c r="A990" t="s">
        <v>2001</v>
      </c>
      <c r="B990" t="s">
        <v>2002</v>
      </c>
      <c r="C990" t="s">
        <v>57</v>
      </c>
      <c r="D990" t="s">
        <v>13</v>
      </c>
      <c r="E990" s="1">
        <v>44921</v>
      </c>
      <c r="F990" t="s">
        <v>14</v>
      </c>
      <c r="G990">
        <v>8610</v>
      </c>
      <c r="H990">
        <v>2022</v>
      </c>
      <c r="I990">
        <v>3.47</v>
      </c>
      <c r="J990">
        <v>16</v>
      </c>
      <c r="P990">
        <f t="shared" ca="1" si="61"/>
        <v>931</v>
      </c>
      <c r="Q990" t="str" cm="1">
        <f t="array" ref="Q990">_xlfn.IFS(I990&gt;=3.5,"Excellent", I990&gt;3,"Good",I990&gt;2,"Average",I990&lt;2,"Poor")</f>
        <v>Good</v>
      </c>
      <c r="S990" t="str">
        <f t="shared" si="62"/>
        <v xml:space="preserve"> </v>
      </c>
      <c r="U990">
        <f t="shared" si="63"/>
        <v>2022</v>
      </c>
      <c r="AA990" t="str">
        <f t="shared" ca="1" si="64"/>
        <v/>
      </c>
    </row>
    <row r="991" spans="1:27" x14ac:dyDescent="0.3">
      <c r="A991" t="s">
        <v>2003</v>
      </c>
      <c r="B991" t="s">
        <v>2004</v>
      </c>
      <c r="C991" t="s">
        <v>54</v>
      </c>
      <c r="D991" t="s">
        <v>13</v>
      </c>
      <c r="E991" s="1">
        <v>45209</v>
      </c>
      <c r="F991" t="s">
        <v>14</v>
      </c>
      <c r="G991">
        <v>3027</v>
      </c>
      <c r="H991">
        <v>8764</v>
      </c>
      <c r="I991">
        <v>3.34</v>
      </c>
      <c r="J991">
        <v>116</v>
      </c>
      <c r="P991">
        <f t="shared" ca="1" si="61"/>
        <v>643</v>
      </c>
      <c r="Q991" t="str" cm="1">
        <f t="array" ref="Q991">_xlfn.IFS(I991&gt;=3.5,"Excellent", I991&gt;3,"Good",I991&gt;2,"Average",I991&lt;2,"Poor")</f>
        <v>Good</v>
      </c>
      <c r="S991" t="b">
        <f t="shared" si="62"/>
        <v>1</v>
      </c>
      <c r="U991">
        <f t="shared" si="63"/>
        <v>2023</v>
      </c>
      <c r="AA991" t="str">
        <f t="shared" ca="1" si="64"/>
        <v/>
      </c>
    </row>
    <row r="992" spans="1:27" x14ac:dyDescent="0.3">
      <c r="A992" t="s">
        <v>2005</v>
      </c>
      <c r="B992" t="s">
        <v>2006</v>
      </c>
      <c r="C992" t="s">
        <v>28</v>
      </c>
      <c r="D992" t="s">
        <v>13</v>
      </c>
      <c r="E992" s="1">
        <v>45077</v>
      </c>
      <c r="F992" t="s">
        <v>14</v>
      </c>
      <c r="G992">
        <v>4944</v>
      </c>
      <c r="H992">
        <v>8402</v>
      </c>
      <c r="I992">
        <v>3.07</v>
      </c>
      <c r="J992">
        <v>79</v>
      </c>
      <c r="P992">
        <f t="shared" ca="1" si="61"/>
        <v>775</v>
      </c>
      <c r="Q992" t="str" cm="1">
        <f t="array" ref="Q992">_xlfn.IFS(I992&gt;=3.5,"Excellent", I992&gt;3,"Good",I992&gt;2,"Average",I992&lt;2,"Poor")</f>
        <v>Good</v>
      </c>
      <c r="S992" t="b">
        <f t="shared" si="62"/>
        <v>1</v>
      </c>
      <c r="U992">
        <f t="shared" si="63"/>
        <v>2023</v>
      </c>
      <c r="AA992" t="str">
        <f t="shared" ca="1" si="64"/>
        <v/>
      </c>
    </row>
    <row r="993" spans="1:27" x14ac:dyDescent="0.3">
      <c r="A993" t="s">
        <v>2007</v>
      </c>
      <c r="B993" t="s">
        <v>2008</v>
      </c>
      <c r="C993" t="s">
        <v>25</v>
      </c>
      <c r="D993" t="s">
        <v>18</v>
      </c>
      <c r="E993" s="1">
        <v>45358</v>
      </c>
      <c r="F993" t="s">
        <v>14</v>
      </c>
      <c r="G993">
        <v>9032</v>
      </c>
      <c r="H993">
        <v>7939</v>
      </c>
      <c r="I993">
        <v>2.56</v>
      </c>
      <c r="J993">
        <v>8</v>
      </c>
      <c r="P993">
        <f t="shared" ca="1" si="61"/>
        <v>494</v>
      </c>
      <c r="Q993" t="str" cm="1">
        <f t="array" ref="Q993">_xlfn.IFS(I993&gt;=3.5,"Excellent", I993&gt;3,"Good",I993&gt;2,"Average",I993&lt;2,"Poor")</f>
        <v>Average</v>
      </c>
      <c r="S993" t="b">
        <f t="shared" si="62"/>
        <v>1</v>
      </c>
      <c r="U993">
        <f t="shared" si="63"/>
        <v>2024</v>
      </c>
      <c r="AA993" t="str">
        <f t="shared" ca="1" si="64"/>
        <v/>
      </c>
    </row>
    <row r="994" spans="1:27" x14ac:dyDescent="0.3">
      <c r="A994" t="s">
        <v>2009</v>
      </c>
      <c r="B994" t="s">
        <v>2010</v>
      </c>
      <c r="C994" t="s">
        <v>25</v>
      </c>
      <c r="D994" t="s">
        <v>62</v>
      </c>
      <c r="E994" s="1">
        <v>45256</v>
      </c>
      <c r="F994" t="s">
        <v>14</v>
      </c>
      <c r="G994">
        <v>10427</v>
      </c>
      <c r="H994">
        <v>7298</v>
      </c>
      <c r="I994">
        <v>3.54</v>
      </c>
      <c r="J994">
        <v>119</v>
      </c>
      <c r="P994">
        <f t="shared" ca="1" si="61"/>
        <v>596</v>
      </c>
      <c r="Q994" t="str" cm="1">
        <f t="array" ref="Q994">_xlfn.IFS(I994&gt;=3.5,"Excellent", I994&gt;3,"Good",I994&gt;2,"Average",I994&lt;2,"Poor")</f>
        <v>Excellent</v>
      </c>
      <c r="S994" t="b">
        <f t="shared" si="62"/>
        <v>1</v>
      </c>
      <c r="U994">
        <f t="shared" si="63"/>
        <v>2023</v>
      </c>
      <c r="AA994" t="str">
        <f t="shared" ca="1" si="64"/>
        <v/>
      </c>
    </row>
    <row r="995" spans="1:27" x14ac:dyDescent="0.3">
      <c r="A995" t="s">
        <v>2011</v>
      </c>
      <c r="B995" t="s">
        <v>2012</v>
      </c>
      <c r="C995" t="s">
        <v>36</v>
      </c>
      <c r="D995" t="s">
        <v>31</v>
      </c>
      <c r="E995" s="1">
        <v>45391</v>
      </c>
      <c r="F995" t="s">
        <v>14</v>
      </c>
      <c r="G995">
        <v>6051</v>
      </c>
      <c r="H995">
        <v>7108</v>
      </c>
      <c r="I995">
        <v>3.2</v>
      </c>
      <c r="J995">
        <v>99</v>
      </c>
      <c r="P995">
        <f t="shared" ca="1" si="61"/>
        <v>461</v>
      </c>
      <c r="Q995" t="str" cm="1">
        <f t="array" ref="Q995">_xlfn.IFS(I995&gt;=3.5,"Excellent", I995&gt;3,"Good",I995&gt;2,"Average",I995&lt;2,"Poor")</f>
        <v>Good</v>
      </c>
      <c r="S995" t="b">
        <f t="shared" si="62"/>
        <v>1</v>
      </c>
      <c r="U995">
        <f t="shared" si="63"/>
        <v>2024</v>
      </c>
      <c r="AA995" t="str">
        <f t="shared" ca="1" si="64"/>
        <v/>
      </c>
    </row>
    <row r="996" spans="1:27" x14ac:dyDescent="0.3">
      <c r="A996" t="s">
        <v>2013</v>
      </c>
      <c r="B996" t="s">
        <v>2014</v>
      </c>
      <c r="C996" t="s">
        <v>12</v>
      </c>
      <c r="D996" t="s">
        <v>62</v>
      </c>
      <c r="E996" s="1">
        <v>45262</v>
      </c>
      <c r="F996" t="s">
        <v>14</v>
      </c>
      <c r="G996">
        <v>5499</v>
      </c>
      <c r="H996">
        <v>8616</v>
      </c>
      <c r="I996">
        <v>3.07</v>
      </c>
      <c r="J996">
        <v>23</v>
      </c>
      <c r="P996">
        <f t="shared" ca="1" si="61"/>
        <v>590</v>
      </c>
      <c r="Q996" t="str" cm="1">
        <f t="array" ref="Q996">_xlfn.IFS(I996&gt;=3.5,"Excellent", I996&gt;3,"Good",I996&gt;2,"Average",I996&lt;2,"Poor")</f>
        <v>Good</v>
      </c>
      <c r="S996" t="b">
        <f t="shared" si="62"/>
        <v>1</v>
      </c>
      <c r="U996">
        <f t="shared" si="63"/>
        <v>2023</v>
      </c>
      <c r="AA996" t="str">
        <f t="shared" ca="1" si="64"/>
        <v/>
      </c>
    </row>
    <row r="997" spans="1:27" x14ac:dyDescent="0.3">
      <c r="A997" t="s">
        <v>2015</v>
      </c>
      <c r="B997" t="s">
        <v>2016</v>
      </c>
      <c r="C997" t="s">
        <v>25</v>
      </c>
      <c r="D997" t="s">
        <v>13</v>
      </c>
      <c r="E997" s="1">
        <v>45301</v>
      </c>
      <c r="F997" t="s">
        <v>19</v>
      </c>
      <c r="G997">
        <v>5005</v>
      </c>
      <c r="H997">
        <v>9438</v>
      </c>
      <c r="I997">
        <v>3.13</v>
      </c>
      <c r="J997">
        <v>24</v>
      </c>
      <c r="P997" t="str">
        <f t="shared" ca="1" si="61"/>
        <v xml:space="preserve"> </v>
      </c>
      <c r="Q997" t="str" cm="1">
        <f t="array" ref="Q997">_xlfn.IFS(I997&gt;=3.5,"Excellent", I997&gt;3,"Good",I997&gt;2,"Average",I997&lt;2,"Poor")</f>
        <v>Good</v>
      </c>
      <c r="S997" t="b">
        <f t="shared" si="62"/>
        <v>1</v>
      </c>
      <c r="U997">
        <f t="shared" si="63"/>
        <v>2024</v>
      </c>
      <c r="AA997">
        <f t="shared" ca="1" si="64"/>
        <v>551</v>
      </c>
    </row>
    <row r="998" spans="1:27" x14ac:dyDescent="0.3">
      <c r="A998" t="s">
        <v>2017</v>
      </c>
      <c r="B998" t="s">
        <v>2018</v>
      </c>
      <c r="C998" t="s">
        <v>54</v>
      </c>
      <c r="D998" t="s">
        <v>62</v>
      </c>
      <c r="E998" s="1">
        <v>44917</v>
      </c>
      <c r="F998" t="s">
        <v>14</v>
      </c>
      <c r="G998">
        <v>11045</v>
      </c>
      <c r="H998">
        <v>9251</v>
      </c>
      <c r="I998">
        <v>2.93</v>
      </c>
      <c r="J998">
        <v>87</v>
      </c>
      <c r="P998">
        <f t="shared" ca="1" si="61"/>
        <v>935</v>
      </c>
      <c r="Q998" t="str" cm="1">
        <f t="array" ref="Q998">_xlfn.IFS(I998&gt;=3.5,"Excellent", I998&gt;3,"Good",I998&gt;2,"Average",I998&lt;2,"Poor")</f>
        <v>Average</v>
      </c>
      <c r="S998" t="b">
        <f t="shared" si="62"/>
        <v>1</v>
      </c>
      <c r="U998">
        <f t="shared" si="63"/>
        <v>2022</v>
      </c>
      <c r="AA998" t="str">
        <f t="shared" ca="1" si="64"/>
        <v/>
      </c>
    </row>
    <row r="999" spans="1:27" x14ac:dyDescent="0.3">
      <c r="A999" t="s">
        <v>2019</v>
      </c>
      <c r="B999" t="s">
        <v>2020</v>
      </c>
      <c r="C999" t="s">
        <v>54</v>
      </c>
      <c r="D999" t="s">
        <v>18</v>
      </c>
      <c r="E999" s="1">
        <v>44601</v>
      </c>
      <c r="F999" t="s">
        <v>19</v>
      </c>
      <c r="G999">
        <v>12297</v>
      </c>
      <c r="H999">
        <v>4680</v>
      </c>
      <c r="I999">
        <v>2.02</v>
      </c>
      <c r="J999">
        <v>58</v>
      </c>
      <c r="P999" t="str">
        <f t="shared" ca="1" si="61"/>
        <v xml:space="preserve"> </v>
      </c>
      <c r="Q999" t="str" cm="1">
        <f t="array" ref="Q999">_xlfn.IFS(I999&gt;=3.5,"Excellent", I999&gt;3,"Good",I999&gt;2,"Average",I999&lt;2,"Poor")</f>
        <v>Average</v>
      </c>
      <c r="S999" t="str">
        <f t="shared" si="62"/>
        <v xml:space="preserve"> </v>
      </c>
      <c r="U999">
        <f t="shared" si="63"/>
        <v>2022</v>
      </c>
      <c r="AA999">
        <f t="shared" ca="1" si="64"/>
        <v>1251</v>
      </c>
    </row>
    <row r="1000" spans="1:27" x14ac:dyDescent="0.3">
      <c r="A1000" t="s">
        <v>2021</v>
      </c>
      <c r="B1000" t="s">
        <v>2022</v>
      </c>
      <c r="C1000" t="s">
        <v>17</v>
      </c>
      <c r="D1000" t="s">
        <v>18</v>
      </c>
      <c r="E1000" s="1">
        <v>44871</v>
      </c>
      <c r="F1000" t="s">
        <v>14</v>
      </c>
      <c r="G1000">
        <v>4317</v>
      </c>
      <c r="H1000">
        <v>1427</v>
      </c>
      <c r="I1000">
        <v>3.55</v>
      </c>
      <c r="J1000">
        <v>76</v>
      </c>
      <c r="P1000">
        <f t="shared" ca="1" si="61"/>
        <v>981</v>
      </c>
      <c r="Q1000" t="str" cm="1">
        <f t="array" ref="Q1000">_xlfn.IFS(I1000&gt;=3.5,"Excellent", I1000&gt;3,"Good",I1000&gt;2,"Average",I1000&lt;2,"Poor")</f>
        <v>Excellent</v>
      </c>
      <c r="S1000" t="str">
        <f t="shared" si="62"/>
        <v xml:space="preserve"> </v>
      </c>
      <c r="U1000">
        <f t="shared" si="63"/>
        <v>2022</v>
      </c>
      <c r="AA1000" t="str">
        <f t="shared" ca="1" si="64"/>
        <v/>
      </c>
    </row>
    <row r="1001" spans="1:27" x14ac:dyDescent="0.3">
      <c r="A1001" t="s">
        <v>2023</v>
      </c>
      <c r="B1001" t="s">
        <v>2024</v>
      </c>
      <c r="C1001" t="s">
        <v>12</v>
      </c>
      <c r="D1001" t="s">
        <v>62</v>
      </c>
      <c r="E1001" s="1">
        <v>44627</v>
      </c>
      <c r="F1001" t="s">
        <v>19</v>
      </c>
      <c r="G1001">
        <v>14569</v>
      </c>
      <c r="H1001">
        <v>9058</v>
      </c>
      <c r="I1001">
        <v>2.4</v>
      </c>
      <c r="J1001">
        <v>29</v>
      </c>
      <c r="P1001" t="str">
        <f t="shared" ca="1" si="61"/>
        <v xml:space="preserve"> </v>
      </c>
      <c r="Q1001" t="str" cm="1">
        <f t="array" ref="Q1001">_xlfn.IFS(I1001&gt;=3.5,"Excellent", I1001&gt;3,"Good",I1001&gt;2,"Average",I1001&lt;2,"Poor")</f>
        <v>Average</v>
      </c>
      <c r="S1001" t="b">
        <f t="shared" si="62"/>
        <v>1</v>
      </c>
      <c r="U1001">
        <f t="shared" si="63"/>
        <v>2022</v>
      </c>
      <c r="AA1001">
        <f t="shared" ca="1" si="64"/>
        <v>1225</v>
      </c>
    </row>
    <row r="1002" spans="1:27" x14ac:dyDescent="0.3">
      <c r="A1002" t="s">
        <v>2025</v>
      </c>
      <c r="B1002" t="s">
        <v>2026</v>
      </c>
      <c r="C1002" t="s">
        <v>22</v>
      </c>
      <c r="D1002" t="s">
        <v>13</v>
      </c>
      <c r="E1002" s="1">
        <v>44918</v>
      </c>
      <c r="F1002" t="s">
        <v>14</v>
      </c>
      <c r="G1002">
        <v>12134</v>
      </c>
      <c r="H1002">
        <v>3119</v>
      </c>
      <c r="I1002">
        <v>2.91</v>
      </c>
      <c r="J1002">
        <v>4</v>
      </c>
      <c r="P1002">
        <f t="shared" ca="1" si="61"/>
        <v>934</v>
      </c>
      <c r="Q1002" t="str" cm="1">
        <f t="array" ref="Q1002">_xlfn.IFS(I1002&gt;=3.5,"Excellent", I1002&gt;3,"Good",I1002&gt;2,"Average",I1002&lt;2,"Poor")</f>
        <v>Average</v>
      </c>
      <c r="S1002" t="str">
        <f t="shared" si="62"/>
        <v xml:space="preserve"> </v>
      </c>
      <c r="U1002">
        <f t="shared" si="63"/>
        <v>2022</v>
      </c>
      <c r="AA1002" t="str">
        <f t="shared" ca="1" si="64"/>
        <v/>
      </c>
    </row>
    <row r="1003" spans="1:27" x14ac:dyDescent="0.3">
      <c r="A1003" t="s">
        <v>2027</v>
      </c>
      <c r="B1003" t="s">
        <v>2028</v>
      </c>
      <c r="C1003" t="s">
        <v>25</v>
      </c>
      <c r="D1003" t="s">
        <v>62</v>
      </c>
      <c r="E1003" s="1">
        <v>44928</v>
      </c>
      <c r="F1003" t="s">
        <v>39</v>
      </c>
      <c r="G1003">
        <v>11342</v>
      </c>
      <c r="H1003">
        <v>152</v>
      </c>
      <c r="I1003">
        <v>3.13</v>
      </c>
      <c r="J1003">
        <v>0</v>
      </c>
      <c r="P1003" t="str">
        <f t="shared" ca="1" si="61"/>
        <v xml:space="preserve"> </v>
      </c>
      <c r="Q1003" t="str" cm="1">
        <f t="array" ref="Q1003">_xlfn.IFS(I1003&gt;=3.5,"Excellent", I1003&gt;3,"Good",I1003&gt;2,"Average",I1003&lt;2,"Poor")</f>
        <v>Good</v>
      </c>
      <c r="S1003" t="str">
        <f t="shared" si="62"/>
        <v xml:space="preserve"> </v>
      </c>
      <c r="U1003">
        <f t="shared" si="63"/>
        <v>2023</v>
      </c>
      <c r="AA1003" t="str">
        <f t="shared" ca="1" si="64"/>
        <v/>
      </c>
    </row>
    <row r="1004" spans="1:27" x14ac:dyDescent="0.3">
      <c r="A1004" t="s">
        <v>2029</v>
      </c>
      <c r="B1004" t="s">
        <v>2030</v>
      </c>
      <c r="C1004" t="s">
        <v>28</v>
      </c>
      <c r="D1004" t="s">
        <v>13</v>
      </c>
      <c r="E1004" s="1">
        <v>44816</v>
      </c>
      <c r="F1004" t="s">
        <v>14</v>
      </c>
      <c r="G1004">
        <v>2607</v>
      </c>
      <c r="H1004">
        <v>2463</v>
      </c>
      <c r="I1004">
        <v>2.52</v>
      </c>
      <c r="J1004">
        <v>17</v>
      </c>
      <c r="P1004">
        <f t="shared" ca="1" si="61"/>
        <v>1036</v>
      </c>
      <c r="Q1004" t="str" cm="1">
        <f t="array" ref="Q1004">_xlfn.IFS(I1004&gt;=3.5,"Excellent", I1004&gt;3,"Good",I1004&gt;2,"Average",I1004&lt;2,"Poor")</f>
        <v>Average</v>
      </c>
      <c r="S1004" t="b">
        <f t="shared" si="62"/>
        <v>1</v>
      </c>
      <c r="U1004">
        <f t="shared" si="63"/>
        <v>2022</v>
      </c>
      <c r="AA1004" t="str">
        <f t="shared" ca="1" si="64"/>
        <v/>
      </c>
    </row>
    <row r="1005" spans="1:27" x14ac:dyDescent="0.3">
      <c r="A1005" t="s">
        <v>2031</v>
      </c>
      <c r="B1005" t="s">
        <v>2032</v>
      </c>
      <c r="C1005" t="s">
        <v>17</v>
      </c>
      <c r="D1005" t="s">
        <v>13</v>
      </c>
      <c r="E1005" s="1">
        <v>45365</v>
      </c>
      <c r="F1005" t="s">
        <v>39</v>
      </c>
      <c r="G1005">
        <v>5479</v>
      </c>
      <c r="H1005">
        <v>9211</v>
      </c>
      <c r="I1005">
        <v>2.78</v>
      </c>
      <c r="J1005">
        <v>8</v>
      </c>
      <c r="P1005" t="str">
        <f t="shared" ca="1" si="61"/>
        <v xml:space="preserve"> </v>
      </c>
      <c r="Q1005" t="str" cm="1">
        <f t="array" ref="Q1005">_xlfn.IFS(I1005&gt;=3.5,"Excellent", I1005&gt;3,"Good",I1005&gt;2,"Average",I1005&lt;2,"Poor")</f>
        <v>Average</v>
      </c>
      <c r="S1005" t="b">
        <f t="shared" si="62"/>
        <v>1</v>
      </c>
      <c r="U1005">
        <f t="shared" si="63"/>
        <v>2024</v>
      </c>
      <c r="AA1005" t="str">
        <f t="shared" ca="1" si="64"/>
        <v/>
      </c>
    </row>
    <row r="1006" spans="1:27" x14ac:dyDescent="0.3">
      <c r="A1006" t="s">
        <v>2033</v>
      </c>
      <c r="B1006" t="s">
        <v>2034</v>
      </c>
      <c r="C1006" t="s">
        <v>57</v>
      </c>
      <c r="D1006" t="s">
        <v>13</v>
      </c>
      <c r="E1006" s="1">
        <v>44716</v>
      </c>
      <c r="F1006" t="s">
        <v>19</v>
      </c>
      <c r="G1006">
        <v>6615</v>
      </c>
      <c r="H1006">
        <v>1700</v>
      </c>
      <c r="I1006">
        <v>3.92</v>
      </c>
      <c r="J1006">
        <v>96</v>
      </c>
      <c r="P1006" t="str">
        <f t="shared" ca="1" si="61"/>
        <v xml:space="preserve"> </v>
      </c>
      <c r="Q1006" t="str" cm="1">
        <f t="array" ref="Q1006">_xlfn.IFS(I1006&gt;=3.5,"Excellent", I1006&gt;3,"Good",I1006&gt;2,"Average",I1006&lt;2,"Poor")</f>
        <v>Excellent</v>
      </c>
      <c r="S1006" t="str">
        <f t="shared" si="62"/>
        <v xml:space="preserve"> </v>
      </c>
      <c r="U1006">
        <f t="shared" si="63"/>
        <v>2022</v>
      </c>
      <c r="AA1006">
        <f t="shared" ca="1" si="64"/>
        <v>1136</v>
      </c>
    </row>
    <row r="1007" spans="1:27" x14ac:dyDescent="0.3">
      <c r="A1007" t="s">
        <v>2035</v>
      </c>
      <c r="B1007" t="s">
        <v>2036</v>
      </c>
      <c r="C1007" t="s">
        <v>12</v>
      </c>
      <c r="D1007" t="s">
        <v>18</v>
      </c>
      <c r="E1007" s="1">
        <v>45164</v>
      </c>
      <c r="F1007" t="s">
        <v>14</v>
      </c>
      <c r="G1007">
        <v>4176</v>
      </c>
      <c r="H1007">
        <v>9643</v>
      </c>
      <c r="I1007">
        <v>3.3</v>
      </c>
      <c r="J1007">
        <v>12</v>
      </c>
      <c r="P1007">
        <f t="shared" ca="1" si="61"/>
        <v>688</v>
      </c>
      <c r="Q1007" t="str" cm="1">
        <f t="array" ref="Q1007">_xlfn.IFS(I1007&gt;=3.5,"Excellent", I1007&gt;3,"Good",I1007&gt;2,"Average",I1007&lt;2,"Poor")</f>
        <v>Good</v>
      </c>
      <c r="S1007" t="b">
        <f t="shared" si="62"/>
        <v>1</v>
      </c>
      <c r="U1007">
        <f t="shared" si="63"/>
        <v>2023</v>
      </c>
      <c r="AA1007" t="str">
        <f t="shared" ca="1" si="64"/>
        <v/>
      </c>
    </row>
    <row r="1008" spans="1:27" x14ac:dyDescent="0.3">
      <c r="A1008" t="s">
        <v>2037</v>
      </c>
      <c r="B1008" t="s">
        <v>2038</v>
      </c>
      <c r="C1008" t="s">
        <v>36</v>
      </c>
      <c r="D1008" t="s">
        <v>18</v>
      </c>
      <c r="E1008" s="1">
        <v>45417</v>
      </c>
      <c r="F1008" t="s">
        <v>19</v>
      </c>
      <c r="G1008">
        <v>3536</v>
      </c>
      <c r="H1008">
        <v>5079</v>
      </c>
      <c r="I1008">
        <v>2.46</v>
      </c>
      <c r="J1008">
        <v>108</v>
      </c>
      <c r="P1008" t="str">
        <f t="shared" ca="1" si="61"/>
        <v xml:space="preserve"> </v>
      </c>
      <c r="Q1008" t="str" cm="1">
        <f t="array" ref="Q1008">_xlfn.IFS(I1008&gt;=3.5,"Excellent", I1008&gt;3,"Good",I1008&gt;2,"Average",I1008&lt;2,"Poor")</f>
        <v>Average</v>
      </c>
      <c r="S1008" t="b">
        <f t="shared" si="62"/>
        <v>1</v>
      </c>
      <c r="U1008">
        <f t="shared" si="63"/>
        <v>2024</v>
      </c>
      <c r="AA1008">
        <f t="shared" ca="1" si="64"/>
        <v>435</v>
      </c>
    </row>
    <row r="1009" spans="1:27" x14ac:dyDescent="0.3">
      <c r="A1009" t="s">
        <v>2039</v>
      </c>
      <c r="B1009" t="s">
        <v>2040</v>
      </c>
      <c r="C1009" t="s">
        <v>36</v>
      </c>
      <c r="D1009" t="s">
        <v>13</v>
      </c>
      <c r="E1009" s="1">
        <v>45285</v>
      </c>
      <c r="F1009" t="s">
        <v>14</v>
      </c>
      <c r="G1009">
        <v>9886</v>
      </c>
      <c r="H1009">
        <v>4015</v>
      </c>
      <c r="I1009">
        <v>2.63</v>
      </c>
      <c r="J1009">
        <v>80</v>
      </c>
      <c r="P1009">
        <f t="shared" ca="1" si="61"/>
        <v>567</v>
      </c>
      <c r="Q1009" t="str" cm="1">
        <f t="array" ref="Q1009">_xlfn.IFS(I1009&gt;=3.5,"Excellent", I1009&gt;3,"Good",I1009&gt;2,"Average",I1009&lt;2,"Poor")</f>
        <v>Average</v>
      </c>
      <c r="S1009" t="str">
        <f t="shared" si="62"/>
        <v xml:space="preserve"> </v>
      </c>
      <c r="U1009">
        <f t="shared" si="63"/>
        <v>2023</v>
      </c>
      <c r="AA1009" t="str">
        <f t="shared" ca="1" si="64"/>
        <v/>
      </c>
    </row>
    <row r="1010" spans="1:27" x14ac:dyDescent="0.3">
      <c r="A1010" t="s">
        <v>2041</v>
      </c>
      <c r="B1010" t="s">
        <v>2042</v>
      </c>
      <c r="C1010" t="s">
        <v>22</v>
      </c>
      <c r="D1010" t="s">
        <v>62</v>
      </c>
      <c r="E1010" s="1">
        <v>45281</v>
      </c>
      <c r="F1010" t="s">
        <v>39</v>
      </c>
      <c r="G1010">
        <v>6048</v>
      </c>
      <c r="H1010">
        <v>5071</v>
      </c>
      <c r="I1010">
        <v>3.78</v>
      </c>
      <c r="J1010">
        <v>84</v>
      </c>
      <c r="P1010" t="str">
        <f t="shared" ca="1" si="61"/>
        <v xml:space="preserve"> </v>
      </c>
      <c r="Q1010" t="str" cm="1">
        <f t="array" ref="Q1010">_xlfn.IFS(I1010&gt;=3.5,"Excellent", I1010&gt;3,"Good",I1010&gt;2,"Average",I1010&lt;2,"Poor")</f>
        <v>Excellent</v>
      </c>
      <c r="S1010" t="b">
        <f t="shared" si="62"/>
        <v>1</v>
      </c>
      <c r="U1010">
        <f t="shared" si="63"/>
        <v>2023</v>
      </c>
      <c r="AA1010" t="str">
        <f t="shared" ca="1" si="64"/>
        <v/>
      </c>
    </row>
    <row r="1011" spans="1:27" x14ac:dyDescent="0.3">
      <c r="A1011" t="s">
        <v>2043</v>
      </c>
      <c r="B1011" t="s">
        <v>2044</v>
      </c>
      <c r="C1011" t="s">
        <v>12</v>
      </c>
      <c r="D1011" t="s">
        <v>31</v>
      </c>
      <c r="E1011" s="1">
        <v>44579</v>
      </c>
      <c r="F1011" t="s">
        <v>39</v>
      </c>
      <c r="G1011">
        <v>4181</v>
      </c>
      <c r="H1011">
        <v>800</v>
      </c>
      <c r="I1011">
        <v>3.94</v>
      </c>
      <c r="J1011">
        <v>91</v>
      </c>
      <c r="P1011" t="str">
        <f t="shared" ca="1" si="61"/>
        <v xml:space="preserve"> </v>
      </c>
      <c r="Q1011" t="str" cm="1">
        <f t="array" ref="Q1011">_xlfn.IFS(I1011&gt;=3.5,"Excellent", I1011&gt;3,"Good",I1011&gt;2,"Average",I1011&lt;2,"Poor")</f>
        <v>Excellent</v>
      </c>
      <c r="S1011" t="str">
        <f t="shared" si="62"/>
        <v xml:space="preserve"> </v>
      </c>
      <c r="U1011">
        <f t="shared" si="63"/>
        <v>2022</v>
      </c>
      <c r="AA1011" t="str">
        <f t="shared" ca="1" si="64"/>
        <v/>
      </c>
    </row>
    <row r="1012" spans="1:27" x14ac:dyDescent="0.3">
      <c r="A1012" t="s">
        <v>2045</v>
      </c>
      <c r="B1012" t="s">
        <v>2046</v>
      </c>
      <c r="C1012" t="s">
        <v>36</v>
      </c>
      <c r="D1012" t="s">
        <v>31</v>
      </c>
      <c r="E1012" s="1">
        <v>44693</v>
      </c>
      <c r="F1012" t="s">
        <v>14</v>
      </c>
      <c r="G1012">
        <v>7377</v>
      </c>
      <c r="H1012">
        <v>1185</v>
      </c>
      <c r="I1012">
        <v>2.25</v>
      </c>
      <c r="J1012">
        <v>96</v>
      </c>
      <c r="P1012">
        <f t="shared" ca="1" si="61"/>
        <v>1159</v>
      </c>
      <c r="Q1012" t="str" cm="1">
        <f t="array" ref="Q1012">_xlfn.IFS(I1012&gt;=3.5,"Excellent", I1012&gt;3,"Good",I1012&gt;2,"Average",I1012&lt;2,"Poor")</f>
        <v>Average</v>
      </c>
      <c r="S1012" t="str">
        <f t="shared" si="62"/>
        <v xml:space="preserve"> </v>
      </c>
      <c r="U1012">
        <f t="shared" si="63"/>
        <v>2022</v>
      </c>
      <c r="AA1012" t="str">
        <f t="shared" ca="1" si="64"/>
        <v/>
      </c>
    </row>
    <row r="1013" spans="1:27" x14ac:dyDescent="0.3">
      <c r="A1013" t="s">
        <v>2047</v>
      </c>
      <c r="B1013" t="s">
        <v>2048</v>
      </c>
      <c r="C1013" t="s">
        <v>22</v>
      </c>
      <c r="D1013" t="s">
        <v>18</v>
      </c>
      <c r="E1013" s="1">
        <v>44673</v>
      </c>
      <c r="F1013" t="s">
        <v>14</v>
      </c>
      <c r="G1013">
        <v>14234</v>
      </c>
      <c r="H1013">
        <v>2693</v>
      </c>
      <c r="I1013">
        <v>2.0299999999999998</v>
      </c>
      <c r="J1013">
        <v>34</v>
      </c>
      <c r="P1013">
        <f t="shared" ca="1" si="61"/>
        <v>1179</v>
      </c>
      <c r="Q1013" t="str" cm="1">
        <f t="array" ref="Q1013">_xlfn.IFS(I1013&gt;=3.5,"Excellent", I1013&gt;3,"Good",I1013&gt;2,"Average",I1013&lt;2,"Poor")</f>
        <v>Average</v>
      </c>
      <c r="S1013" t="str">
        <f t="shared" si="62"/>
        <v xml:space="preserve"> </v>
      </c>
      <c r="U1013">
        <f t="shared" si="63"/>
        <v>2022</v>
      </c>
      <c r="AA1013" t="str">
        <f t="shared" ca="1" si="64"/>
        <v/>
      </c>
    </row>
    <row r="1014" spans="1:27" x14ac:dyDescent="0.3">
      <c r="A1014" t="s">
        <v>2049</v>
      </c>
      <c r="B1014" t="s">
        <v>2050</v>
      </c>
      <c r="C1014" t="s">
        <v>36</v>
      </c>
      <c r="D1014" t="s">
        <v>13</v>
      </c>
      <c r="E1014" s="1">
        <v>45360</v>
      </c>
      <c r="F1014" t="s">
        <v>19</v>
      </c>
      <c r="G1014">
        <v>4357</v>
      </c>
      <c r="H1014">
        <v>8371</v>
      </c>
      <c r="I1014">
        <v>3.08</v>
      </c>
      <c r="J1014">
        <v>89</v>
      </c>
      <c r="P1014" t="str">
        <f t="shared" ca="1" si="61"/>
        <v xml:space="preserve"> </v>
      </c>
      <c r="Q1014" t="str" cm="1">
        <f t="array" ref="Q1014">_xlfn.IFS(I1014&gt;=3.5,"Excellent", I1014&gt;3,"Good",I1014&gt;2,"Average",I1014&lt;2,"Poor")</f>
        <v>Good</v>
      </c>
      <c r="S1014" t="b">
        <f t="shared" si="62"/>
        <v>1</v>
      </c>
      <c r="U1014">
        <f t="shared" si="63"/>
        <v>2024</v>
      </c>
      <c r="AA1014">
        <f t="shared" ca="1" si="64"/>
        <v>492</v>
      </c>
    </row>
    <row r="1015" spans="1:27" x14ac:dyDescent="0.3">
      <c r="A1015" t="s">
        <v>2051</v>
      </c>
      <c r="B1015" t="s">
        <v>2052</v>
      </c>
      <c r="C1015" t="s">
        <v>22</v>
      </c>
      <c r="D1015" t="s">
        <v>62</v>
      </c>
      <c r="E1015" s="1">
        <v>45065</v>
      </c>
      <c r="F1015" t="s">
        <v>14</v>
      </c>
      <c r="G1015">
        <v>6176</v>
      </c>
      <c r="H1015">
        <v>7401</v>
      </c>
      <c r="I1015">
        <v>2.68</v>
      </c>
      <c r="J1015">
        <v>68</v>
      </c>
      <c r="P1015">
        <f t="shared" ca="1" si="61"/>
        <v>787</v>
      </c>
      <c r="Q1015" t="str" cm="1">
        <f t="array" ref="Q1015">_xlfn.IFS(I1015&gt;=3.5,"Excellent", I1015&gt;3,"Good",I1015&gt;2,"Average",I1015&lt;2,"Poor")</f>
        <v>Average</v>
      </c>
      <c r="S1015" t="b">
        <f t="shared" si="62"/>
        <v>1</v>
      </c>
      <c r="U1015">
        <f t="shared" si="63"/>
        <v>2023</v>
      </c>
      <c r="AA1015" t="str">
        <f t="shared" ca="1" si="64"/>
        <v/>
      </c>
    </row>
    <row r="1016" spans="1:27" x14ac:dyDescent="0.3">
      <c r="A1016" t="s">
        <v>2053</v>
      </c>
      <c r="B1016" t="s">
        <v>2054</v>
      </c>
      <c r="C1016" t="s">
        <v>57</v>
      </c>
      <c r="D1016" t="s">
        <v>62</v>
      </c>
      <c r="E1016" s="1">
        <v>45013</v>
      </c>
      <c r="F1016" t="s">
        <v>14</v>
      </c>
      <c r="G1016">
        <v>14399</v>
      </c>
      <c r="H1016">
        <v>7150</v>
      </c>
      <c r="I1016">
        <v>2.95</v>
      </c>
      <c r="J1016">
        <v>21</v>
      </c>
      <c r="P1016">
        <f t="shared" ca="1" si="61"/>
        <v>839</v>
      </c>
      <c r="Q1016" t="str" cm="1">
        <f t="array" ref="Q1016">_xlfn.IFS(I1016&gt;=3.5,"Excellent", I1016&gt;3,"Good",I1016&gt;2,"Average",I1016&lt;2,"Poor")</f>
        <v>Average</v>
      </c>
      <c r="S1016" t="str">
        <f t="shared" si="62"/>
        <v xml:space="preserve"> </v>
      </c>
      <c r="U1016">
        <f t="shared" si="63"/>
        <v>2023</v>
      </c>
      <c r="AA1016" t="str">
        <f t="shared" ca="1" si="64"/>
        <v/>
      </c>
    </row>
    <row r="1017" spans="1:27" x14ac:dyDescent="0.3">
      <c r="A1017" t="s">
        <v>2055</v>
      </c>
      <c r="B1017" t="s">
        <v>2056</v>
      </c>
      <c r="C1017" t="s">
        <v>28</v>
      </c>
      <c r="D1017" t="s">
        <v>13</v>
      </c>
      <c r="E1017" s="1">
        <v>44564</v>
      </c>
      <c r="F1017" t="s">
        <v>14</v>
      </c>
      <c r="G1017">
        <v>13434</v>
      </c>
      <c r="H1017">
        <v>9599</v>
      </c>
      <c r="I1017">
        <v>2.15</v>
      </c>
      <c r="J1017">
        <v>18</v>
      </c>
      <c r="P1017">
        <f t="shared" ca="1" si="61"/>
        <v>1288</v>
      </c>
      <c r="Q1017" t="str" cm="1">
        <f t="array" ref="Q1017">_xlfn.IFS(I1017&gt;=3.5,"Excellent", I1017&gt;3,"Good",I1017&gt;2,"Average",I1017&lt;2,"Poor")</f>
        <v>Average</v>
      </c>
      <c r="S1017" t="b">
        <f t="shared" si="62"/>
        <v>1</v>
      </c>
      <c r="U1017">
        <f t="shared" si="63"/>
        <v>2022</v>
      </c>
      <c r="AA1017" t="str">
        <f t="shared" ca="1" si="64"/>
        <v/>
      </c>
    </row>
    <row r="1018" spans="1:27" x14ac:dyDescent="0.3">
      <c r="A1018" t="s">
        <v>2057</v>
      </c>
      <c r="B1018" t="s">
        <v>2058</v>
      </c>
      <c r="C1018" t="s">
        <v>54</v>
      </c>
      <c r="D1018" t="s">
        <v>31</v>
      </c>
      <c r="E1018" s="1">
        <v>45014</v>
      </c>
      <c r="F1018" t="s">
        <v>14</v>
      </c>
      <c r="G1018">
        <v>3398</v>
      </c>
      <c r="H1018">
        <v>6329</v>
      </c>
      <c r="I1018">
        <v>3.15</v>
      </c>
      <c r="J1018">
        <v>58</v>
      </c>
      <c r="P1018">
        <f t="shared" ca="1" si="61"/>
        <v>838</v>
      </c>
      <c r="Q1018" t="str" cm="1">
        <f t="array" ref="Q1018">_xlfn.IFS(I1018&gt;=3.5,"Excellent", I1018&gt;3,"Good",I1018&gt;2,"Average",I1018&lt;2,"Poor")</f>
        <v>Good</v>
      </c>
      <c r="S1018" t="b">
        <f t="shared" si="62"/>
        <v>1</v>
      </c>
      <c r="U1018">
        <f t="shared" si="63"/>
        <v>2023</v>
      </c>
      <c r="AA1018" t="str">
        <f t="shared" ca="1" si="64"/>
        <v/>
      </c>
    </row>
    <row r="1019" spans="1:27" x14ac:dyDescent="0.3">
      <c r="A1019" t="s">
        <v>2059</v>
      </c>
      <c r="B1019" t="s">
        <v>2060</v>
      </c>
      <c r="C1019" t="s">
        <v>36</v>
      </c>
      <c r="D1019" t="s">
        <v>31</v>
      </c>
      <c r="E1019" s="1">
        <v>44827</v>
      </c>
      <c r="F1019" t="s">
        <v>14</v>
      </c>
      <c r="G1019">
        <v>9724</v>
      </c>
      <c r="H1019">
        <v>8224</v>
      </c>
      <c r="I1019">
        <v>3.57</v>
      </c>
      <c r="J1019">
        <v>38</v>
      </c>
      <c r="P1019">
        <f t="shared" ca="1" si="61"/>
        <v>1025</v>
      </c>
      <c r="Q1019" t="str" cm="1">
        <f t="array" ref="Q1019">_xlfn.IFS(I1019&gt;=3.5,"Excellent", I1019&gt;3,"Good",I1019&gt;2,"Average",I1019&lt;2,"Poor")</f>
        <v>Excellent</v>
      </c>
      <c r="S1019" t="b">
        <f t="shared" si="62"/>
        <v>1</v>
      </c>
      <c r="U1019">
        <f t="shared" si="63"/>
        <v>2022</v>
      </c>
      <c r="AA1019" t="str">
        <f t="shared" ca="1" si="64"/>
        <v/>
      </c>
    </row>
    <row r="1020" spans="1:27" x14ac:dyDescent="0.3">
      <c r="A1020" t="s">
        <v>2061</v>
      </c>
      <c r="B1020" t="s">
        <v>2062</v>
      </c>
      <c r="C1020" t="s">
        <v>17</v>
      </c>
      <c r="D1020" t="s">
        <v>62</v>
      </c>
      <c r="E1020" s="1">
        <v>44916</v>
      </c>
      <c r="F1020" t="s">
        <v>14</v>
      </c>
      <c r="G1020">
        <v>13375</v>
      </c>
      <c r="H1020">
        <v>7202</v>
      </c>
      <c r="I1020">
        <v>3.07</v>
      </c>
      <c r="J1020">
        <v>11</v>
      </c>
      <c r="P1020">
        <f t="shared" ca="1" si="61"/>
        <v>936</v>
      </c>
      <c r="Q1020" t="str" cm="1">
        <f t="array" ref="Q1020">_xlfn.IFS(I1020&gt;=3.5,"Excellent", I1020&gt;3,"Good",I1020&gt;2,"Average",I1020&lt;2,"Poor")</f>
        <v>Good</v>
      </c>
      <c r="S1020" t="b">
        <f t="shared" si="62"/>
        <v>1</v>
      </c>
      <c r="U1020">
        <f t="shared" si="63"/>
        <v>2022</v>
      </c>
      <c r="AA1020" t="str">
        <f t="shared" ca="1" si="64"/>
        <v/>
      </c>
    </row>
    <row r="1021" spans="1:27" x14ac:dyDescent="0.3">
      <c r="A1021" t="s">
        <v>2063</v>
      </c>
      <c r="B1021" t="s">
        <v>2064</v>
      </c>
      <c r="C1021" t="s">
        <v>54</v>
      </c>
      <c r="D1021" t="s">
        <v>62</v>
      </c>
      <c r="E1021" s="1">
        <v>45390</v>
      </c>
      <c r="F1021" t="s">
        <v>19</v>
      </c>
      <c r="G1021">
        <v>2052</v>
      </c>
      <c r="H1021">
        <v>5540</v>
      </c>
      <c r="I1021">
        <v>2.76</v>
      </c>
      <c r="J1021">
        <v>117</v>
      </c>
      <c r="P1021" t="str">
        <f t="shared" ca="1" si="61"/>
        <v xml:space="preserve"> </v>
      </c>
      <c r="Q1021" t="str" cm="1">
        <f t="array" ref="Q1021">_xlfn.IFS(I1021&gt;=3.5,"Excellent", I1021&gt;3,"Good",I1021&gt;2,"Average",I1021&lt;2,"Poor")</f>
        <v>Average</v>
      </c>
      <c r="S1021" t="b">
        <f t="shared" si="62"/>
        <v>1</v>
      </c>
      <c r="U1021">
        <f t="shared" si="63"/>
        <v>2024</v>
      </c>
      <c r="AA1021">
        <f t="shared" ca="1" si="64"/>
        <v>462</v>
      </c>
    </row>
    <row r="1022" spans="1:27" x14ac:dyDescent="0.3">
      <c r="A1022" t="s">
        <v>2065</v>
      </c>
      <c r="B1022" t="s">
        <v>2066</v>
      </c>
      <c r="C1022" t="s">
        <v>57</v>
      </c>
      <c r="D1022" t="s">
        <v>18</v>
      </c>
      <c r="E1022" s="1">
        <v>44845</v>
      </c>
      <c r="F1022" t="s">
        <v>14</v>
      </c>
      <c r="G1022">
        <v>9348</v>
      </c>
      <c r="H1022">
        <v>3252</v>
      </c>
      <c r="I1022">
        <v>3.92</v>
      </c>
      <c r="J1022">
        <v>20</v>
      </c>
      <c r="P1022">
        <f t="shared" ca="1" si="61"/>
        <v>1007</v>
      </c>
      <c r="Q1022" t="str" cm="1">
        <f t="array" ref="Q1022">_xlfn.IFS(I1022&gt;=3.5,"Excellent", I1022&gt;3,"Good",I1022&gt;2,"Average",I1022&lt;2,"Poor")</f>
        <v>Excellent</v>
      </c>
      <c r="S1022" t="str">
        <f t="shared" si="62"/>
        <v xml:space="preserve"> </v>
      </c>
      <c r="U1022">
        <f t="shared" si="63"/>
        <v>2022</v>
      </c>
      <c r="AA1022" t="str">
        <f t="shared" ca="1" si="64"/>
        <v/>
      </c>
    </row>
    <row r="1023" spans="1:27" x14ac:dyDescent="0.3">
      <c r="A1023" t="s">
        <v>2067</v>
      </c>
      <c r="B1023" t="s">
        <v>2068</v>
      </c>
      <c r="C1023" t="s">
        <v>36</v>
      </c>
      <c r="D1023" t="s">
        <v>18</v>
      </c>
      <c r="E1023" s="1">
        <v>44944</v>
      </c>
      <c r="F1023" t="s">
        <v>14</v>
      </c>
      <c r="G1023">
        <v>3683</v>
      </c>
      <c r="H1023">
        <v>5286</v>
      </c>
      <c r="I1023">
        <v>3.04</v>
      </c>
      <c r="J1023">
        <v>61</v>
      </c>
      <c r="P1023">
        <f t="shared" ca="1" si="61"/>
        <v>908</v>
      </c>
      <c r="Q1023" t="str" cm="1">
        <f t="array" ref="Q1023">_xlfn.IFS(I1023&gt;=3.5,"Excellent", I1023&gt;3,"Good",I1023&gt;2,"Average",I1023&lt;2,"Poor")</f>
        <v>Good</v>
      </c>
      <c r="S1023" t="b">
        <f t="shared" si="62"/>
        <v>1</v>
      </c>
      <c r="U1023">
        <f t="shared" si="63"/>
        <v>2023</v>
      </c>
      <c r="AA1023" t="str">
        <f t="shared" ca="1" si="64"/>
        <v/>
      </c>
    </row>
    <row r="1024" spans="1:27" x14ac:dyDescent="0.3">
      <c r="A1024" t="s">
        <v>2069</v>
      </c>
      <c r="B1024" t="s">
        <v>2070</v>
      </c>
      <c r="C1024" t="s">
        <v>12</v>
      </c>
      <c r="D1024" t="s">
        <v>62</v>
      </c>
      <c r="E1024" s="1">
        <v>44679</v>
      </c>
      <c r="F1024" t="s">
        <v>14</v>
      </c>
      <c r="G1024">
        <v>6294</v>
      </c>
      <c r="H1024">
        <v>3422</v>
      </c>
      <c r="I1024">
        <v>2.84</v>
      </c>
      <c r="J1024">
        <v>107</v>
      </c>
      <c r="P1024">
        <f t="shared" ca="1" si="61"/>
        <v>1173</v>
      </c>
      <c r="Q1024" t="str" cm="1">
        <f t="array" ref="Q1024">_xlfn.IFS(I1024&gt;=3.5,"Excellent", I1024&gt;3,"Good",I1024&gt;2,"Average",I1024&lt;2,"Poor")</f>
        <v>Average</v>
      </c>
      <c r="S1024" t="b">
        <f t="shared" si="62"/>
        <v>1</v>
      </c>
      <c r="U1024">
        <f t="shared" si="63"/>
        <v>2022</v>
      </c>
      <c r="AA1024" t="str">
        <f t="shared" ca="1" si="64"/>
        <v/>
      </c>
    </row>
    <row r="1025" spans="1:27" x14ac:dyDescent="0.3">
      <c r="A1025" t="s">
        <v>2071</v>
      </c>
      <c r="B1025" t="s">
        <v>2072</v>
      </c>
      <c r="C1025" t="s">
        <v>57</v>
      </c>
      <c r="D1025" t="s">
        <v>62</v>
      </c>
      <c r="E1025" s="1">
        <v>44811</v>
      </c>
      <c r="F1025" t="s">
        <v>19</v>
      </c>
      <c r="G1025">
        <v>6651</v>
      </c>
      <c r="H1025">
        <v>7082</v>
      </c>
      <c r="I1025">
        <v>2.4300000000000002</v>
      </c>
      <c r="J1025">
        <v>85</v>
      </c>
      <c r="P1025" t="str">
        <f t="shared" ca="1" si="61"/>
        <v xml:space="preserve"> </v>
      </c>
      <c r="Q1025" t="str" cm="1">
        <f t="array" ref="Q1025">_xlfn.IFS(I1025&gt;=3.5,"Excellent", I1025&gt;3,"Good",I1025&gt;2,"Average",I1025&lt;2,"Poor")</f>
        <v>Average</v>
      </c>
      <c r="S1025" t="b">
        <f t="shared" si="62"/>
        <v>1</v>
      </c>
      <c r="U1025">
        <f t="shared" si="63"/>
        <v>2022</v>
      </c>
      <c r="AA1025">
        <f t="shared" ca="1" si="64"/>
        <v>1041</v>
      </c>
    </row>
    <row r="1026" spans="1:27" x14ac:dyDescent="0.3">
      <c r="A1026" t="s">
        <v>2073</v>
      </c>
      <c r="B1026" t="s">
        <v>2074</v>
      </c>
      <c r="C1026" t="s">
        <v>12</v>
      </c>
      <c r="D1026" t="s">
        <v>13</v>
      </c>
      <c r="E1026" s="1">
        <v>45422</v>
      </c>
      <c r="F1026" t="s">
        <v>19</v>
      </c>
      <c r="G1026">
        <v>14550</v>
      </c>
      <c r="H1026">
        <v>9171</v>
      </c>
      <c r="I1026">
        <v>3.25</v>
      </c>
      <c r="J1026">
        <v>78</v>
      </c>
      <c r="P1026" t="str">
        <f t="shared" ca="1" si="61"/>
        <v xml:space="preserve"> </v>
      </c>
      <c r="Q1026" t="str" cm="1">
        <f t="array" ref="Q1026">_xlfn.IFS(I1026&gt;=3.5,"Excellent", I1026&gt;3,"Good",I1026&gt;2,"Average",I1026&lt;2,"Poor")</f>
        <v>Good</v>
      </c>
      <c r="S1026" t="b">
        <f t="shared" si="62"/>
        <v>1</v>
      </c>
      <c r="U1026">
        <f t="shared" si="63"/>
        <v>2024</v>
      </c>
      <c r="AA1026">
        <f t="shared" ca="1" si="64"/>
        <v>430</v>
      </c>
    </row>
    <row r="1027" spans="1:27" x14ac:dyDescent="0.3">
      <c r="A1027" t="s">
        <v>2075</v>
      </c>
      <c r="B1027" t="s">
        <v>2076</v>
      </c>
      <c r="C1027" t="s">
        <v>28</v>
      </c>
      <c r="D1027" t="s">
        <v>31</v>
      </c>
      <c r="E1027" s="1">
        <v>45244</v>
      </c>
      <c r="F1027" t="s">
        <v>19</v>
      </c>
      <c r="G1027">
        <v>4049</v>
      </c>
      <c r="H1027">
        <v>3524</v>
      </c>
      <c r="I1027">
        <v>2.23</v>
      </c>
      <c r="J1027">
        <v>29</v>
      </c>
      <c r="P1027" t="str">
        <f t="shared" ref="P1027:P1090" ca="1" si="65">IF(F1027="Enrolled",TODAY()-E1027, " ")</f>
        <v xml:space="preserve"> </v>
      </c>
      <c r="Q1027" t="str" cm="1">
        <f t="array" ref="Q1027">_xlfn.IFS(I1027&gt;=3.5,"Excellent", I1027&gt;3,"Good",I1027&gt;2,"Average",I1027&lt;2,"Poor")</f>
        <v>Average</v>
      </c>
      <c r="S1027" t="b">
        <f t="shared" ref="S1027:S1090" si="66">IF(H1027&gt;0.5*G1027,TRUE, " " )</f>
        <v>1</v>
      </c>
      <c r="U1027">
        <f t="shared" ref="U1027:U1090" si="67">YEAR(E1027)</f>
        <v>2023</v>
      </c>
      <c r="AA1027">
        <f t="shared" ref="AA1027:AA1090" ca="1" si="68">IF(F1027="Completed",TODAY()-E1027,"")</f>
        <v>608</v>
      </c>
    </row>
    <row r="1028" spans="1:27" x14ac:dyDescent="0.3">
      <c r="A1028" t="s">
        <v>2077</v>
      </c>
      <c r="B1028" t="s">
        <v>2078</v>
      </c>
      <c r="C1028" t="s">
        <v>54</v>
      </c>
      <c r="D1028" t="s">
        <v>13</v>
      </c>
      <c r="E1028" s="1">
        <v>44956</v>
      </c>
      <c r="F1028" t="s">
        <v>19</v>
      </c>
      <c r="G1028">
        <v>2397</v>
      </c>
      <c r="H1028">
        <v>7989</v>
      </c>
      <c r="I1028">
        <v>2.91</v>
      </c>
      <c r="J1028">
        <v>117</v>
      </c>
      <c r="P1028" t="str">
        <f t="shared" ca="1" si="65"/>
        <v xml:space="preserve"> </v>
      </c>
      <c r="Q1028" t="str" cm="1">
        <f t="array" ref="Q1028">_xlfn.IFS(I1028&gt;=3.5,"Excellent", I1028&gt;3,"Good",I1028&gt;2,"Average",I1028&lt;2,"Poor")</f>
        <v>Average</v>
      </c>
      <c r="S1028" t="b">
        <f t="shared" si="66"/>
        <v>1</v>
      </c>
      <c r="U1028">
        <f t="shared" si="67"/>
        <v>2023</v>
      </c>
      <c r="AA1028">
        <f t="shared" ca="1" si="68"/>
        <v>896</v>
      </c>
    </row>
    <row r="1029" spans="1:27" x14ac:dyDescent="0.3">
      <c r="A1029" t="s">
        <v>2079</v>
      </c>
      <c r="B1029" t="s">
        <v>2080</v>
      </c>
      <c r="C1029" t="s">
        <v>57</v>
      </c>
      <c r="D1029" t="s">
        <v>18</v>
      </c>
      <c r="E1029" s="1">
        <v>44691</v>
      </c>
      <c r="F1029" t="s">
        <v>19</v>
      </c>
      <c r="G1029">
        <v>2645</v>
      </c>
      <c r="H1029">
        <v>2926</v>
      </c>
      <c r="I1029">
        <v>3.57</v>
      </c>
      <c r="J1029">
        <v>54</v>
      </c>
      <c r="P1029" t="str">
        <f t="shared" ca="1" si="65"/>
        <v xml:space="preserve"> </v>
      </c>
      <c r="Q1029" t="str" cm="1">
        <f t="array" ref="Q1029">_xlfn.IFS(I1029&gt;=3.5,"Excellent", I1029&gt;3,"Good",I1029&gt;2,"Average",I1029&lt;2,"Poor")</f>
        <v>Excellent</v>
      </c>
      <c r="S1029" t="b">
        <f t="shared" si="66"/>
        <v>1</v>
      </c>
      <c r="U1029">
        <f t="shared" si="67"/>
        <v>2022</v>
      </c>
      <c r="AA1029">
        <f t="shared" ca="1" si="68"/>
        <v>1161</v>
      </c>
    </row>
    <row r="1030" spans="1:27" x14ac:dyDescent="0.3">
      <c r="A1030" t="s">
        <v>2081</v>
      </c>
      <c r="B1030" t="s">
        <v>2082</v>
      </c>
      <c r="C1030" t="s">
        <v>28</v>
      </c>
      <c r="D1030" t="s">
        <v>62</v>
      </c>
      <c r="E1030" s="1">
        <v>44864</v>
      </c>
      <c r="F1030" t="s">
        <v>14</v>
      </c>
      <c r="G1030">
        <v>4105</v>
      </c>
      <c r="H1030">
        <v>9705</v>
      </c>
      <c r="I1030">
        <v>2.3199999999999998</v>
      </c>
      <c r="J1030">
        <v>22</v>
      </c>
      <c r="P1030">
        <f t="shared" ca="1" si="65"/>
        <v>988</v>
      </c>
      <c r="Q1030" t="str" cm="1">
        <f t="array" ref="Q1030">_xlfn.IFS(I1030&gt;=3.5,"Excellent", I1030&gt;3,"Good",I1030&gt;2,"Average",I1030&lt;2,"Poor")</f>
        <v>Average</v>
      </c>
      <c r="S1030" t="b">
        <f t="shared" si="66"/>
        <v>1</v>
      </c>
      <c r="U1030">
        <f t="shared" si="67"/>
        <v>2022</v>
      </c>
      <c r="AA1030" t="str">
        <f t="shared" ca="1" si="68"/>
        <v/>
      </c>
    </row>
    <row r="1031" spans="1:27" x14ac:dyDescent="0.3">
      <c r="A1031" t="s">
        <v>2083</v>
      </c>
      <c r="B1031" t="s">
        <v>2084</v>
      </c>
      <c r="C1031" t="s">
        <v>12</v>
      </c>
      <c r="D1031" t="s">
        <v>31</v>
      </c>
      <c r="E1031" s="1">
        <v>44603</v>
      </c>
      <c r="F1031" t="s">
        <v>14</v>
      </c>
      <c r="G1031">
        <v>7185</v>
      </c>
      <c r="H1031">
        <v>3129</v>
      </c>
      <c r="I1031">
        <v>2.87</v>
      </c>
      <c r="J1031">
        <v>24</v>
      </c>
      <c r="P1031">
        <f t="shared" ca="1" si="65"/>
        <v>1249</v>
      </c>
      <c r="Q1031" t="str" cm="1">
        <f t="array" ref="Q1031">_xlfn.IFS(I1031&gt;=3.5,"Excellent", I1031&gt;3,"Good",I1031&gt;2,"Average",I1031&lt;2,"Poor")</f>
        <v>Average</v>
      </c>
      <c r="S1031" t="str">
        <f t="shared" si="66"/>
        <v xml:space="preserve"> </v>
      </c>
      <c r="U1031">
        <f t="shared" si="67"/>
        <v>2022</v>
      </c>
      <c r="AA1031" t="str">
        <f t="shared" ca="1" si="68"/>
        <v/>
      </c>
    </row>
    <row r="1032" spans="1:27" x14ac:dyDescent="0.3">
      <c r="A1032" t="s">
        <v>2085</v>
      </c>
      <c r="B1032" t="s">
        <v>2086</v>
      </c>
      <c r="C1032" t="s">
        <v>54</v>
      </c>
      <c r="D1032" t="s">
        <v>18</v>
      </c>
      <c r="E1032" s="1">
        <v>45300</v>
      </c>
      <c r="F1032" t="s">
        <v>14</v>
      </c>
      <c r="G1032">
        <v>6263</v>
      </c>
      <c r="H1032">
        <v>1642</v>
      </c>
      <c r="I1032">
        <v>3.17</v>
      </c>
      <c r="J1032">
        <v>49</v>
      </c>
      <c r="P1032">
        <f t="shared" ca="1" si="65"/>
        <v>552</v>
      </c>
      <c r="Q1032" t="str" cm="1">
        <f t="array" ref="Q1032">_xlfn.IFS(I1032&gt;=3.5,"Excellent", I1032&gt;3,"Good",I1032&gt;2,"Average",I1032&lt;2,"Poor")</f>
        <v>Good</v>
      </c>
      <c r="S1032" t="str">
        <f t="shared" si="66"/>
        <v xml:space="preserve"> </v>
      </c>
      <c r="U1032">
        <f t="shared" si="67"/>
        <v>2024</v>
      </c>
      <c r="AA1032" t="str">
        <f t="shared" ca="1" si="68"/>
        <v/>
      </c>
    </row>
    <row r="1033" spans="1:27" x14ac:dyDescent="0.3">
      <c r="A1033" t="s">
        <v>2087</v>
      </c>
      <c r="B1033" t="s">
        <v>2088</v>
      </c>
      <c r="C1033" t="s">
        <v>36</v>
      </c>
      <c r="D1033" t="s">
        <v>13</v>
      </c>
      <c r="E1033" s="1">
        <v>45130</v>
      </c>
      <c r="F1033" t="s">
        <v>14</v>
      </c>
      <c r="G1033">
        <v>7201</v>
      </c>
      <c r="H1033">
        <v>943</v>
      </c>
      <c r="I1033">
        <v>3.49</v>
      </c>
      <c r="J1033">
        <v>19</v>
      </c>
      <c r="P1033">
        <f t="shared" ca="1" si="65"/>
        <v>722</v>
      </c>
      <c r="Q1033" t="str" cm="1">
        <f t="array" ref="Q1033">_xlfn.IFS(I1033&gt;=3.5,"Excellent", I1033&gt;3,"Good",I1033&gt;2,"Average",I1033&lt;2,"Poor")</f>
        <v>Good</v>
      </c>
      <c r="S1033" t="str">
        <f t="shared" si="66"/>
        <v xml:space="preserve"> </v>
      </c>
      <c r="U1033">
        <f t="shared" si="67"/>
        <v>2023</v>
      </c>
      <c r="AA1033" t="str">
        <f t="shared" ca="1" si="68"/>
        <v/>
      </c>
    </row>
    <row r="1034" spans="1:27" x14ac:dyDescent="0.3">
      <c r="A1034" t="s">
        <v>2089</v>
      </c>
      <c r="B1034" t="s">
        <v>2090</v>
      </c>
      <c r="C1034" t="s">
        <v>12</v>
      </c>
      <c r="D1034" t="s">
        <v>62</v>
      </c>
      <c r="E1034" s="1">
        <v>45400</v>
      </c>
      <c r="F1034" t="s">
        <v>39</v>
      </c>
      <c r="G1034">
        <v>6043</v>
      </c>
      <c r="H1034">
        <v>6673</v>
      </c>
      <c r="I1034">
        <v>2.94</v>
      </c>
      <c r="J1034">
        <v>81</v>
      </c>
      <c r="P1034" t="str">
        <f t="shared" ca="1" si="65"/>
        <v xml:space="preserve"> </v>
      </c>
      <c r="Q1034" t="str" cm="1">
        <f t="array" ref="Q1034">_xlfn.IFS(I1034&gt;=3.5,"Excellent", I1034&gt;3,"Good",I1034&gt;2,"Average",I1034&lt;2,"Poor")</f>
        <v>Average</v>
      </c>
      <c r="S1034" t="b">
        <f t="shared" si="66"/>
        <v>1</v>
      </c>
      <c r="U1034">
        <f t="shared" si="67"/>
        <v>2024</v>
      </c>
      <c r="AA1034" t="str">
        <f t="shared" ca="1" si="68"/>
        <v/>
      </c>
    </row>
    <row r="1035" spans="1:27" x14ac:dyDescent="0.3">
      <c r="A1035" t="s">
        <v>2091</v>
      </c>
      <c r="B1035" t="s">
        <v>2092</v>
      </c>
      <c r="C1035" t="s">
        <v>54</v>
      </c>
      <c r="D1035" t="s">
        <v>31</v>
      </c>
      <c r="E1035" s="1">
        <v>45326</v>
      </c>
      <c r="F1035" t="s">
        <v>14</v>
      </c>
      <c r="G1035">
        <v>4290</v>
      </c>
      <c r="H1035">
        <v>8037</v>
      </c>
      <c r="I1035">
        <v>3.2</v>
      </c>
      <c r="J1035">
        <v>100</v>
      </c>
      <c r="P1035">
        <f t="shared" ca="1" si="65"/>
        <v>526</v>
      </c>
      <c r="Q1035" t="str" cm="1">
        <f t="array" ref="Q1035">_xlfn.IFS(I1035&gt;=3.5,"Excellent", I1035&gt;3,"Good",I1035&gt;2,"Average",I1035&lt;2,"Poor")</f>
        <v>Good</v>
      </c>
      <c r="S1035" t="b">
        <f t="shared" si="66"/>
        <v>1</v>
      </c>
      <c r="U1035">
        <f t="shared" si="67"/>
        <v>2024</v>
      </c>
      <c r="AA1035" t="str">
        <f t="shared" ca="1" si="68"/>
        <v/>
      </c>
    </row>
    <row r="1036" spans="1:27" x14ac:dyDescent="0.3">
      <c r="A1036" t="s">
        <v>2093</v>
      </c>
      <c r="B1036" t="s">
        <v>2094</v>
      </c>
      <c r="C1036" t="s">
        <v>12</v>
      </c>
      <c r="D1036" t="s">
        <v>18</v>
      </c>
      <c r="E1036" s="1">
        <v>45220</v>
      </c>
      <c r="F1036" t="s">
        <v>14</v>
      </c>
      <c r="G1036">
        <v>13750</v>
      </c>
      <c r="H1036">
        <v>3160</v>
      </c>
      <c r="I1036">
        <v>2.5299999999999998</v>
      </c>
      <c r="J1036">
        <v>20</v>
      </c>
      <c r="P1036">
        <f t="shared" ca="1" si="65"/>
        <v>632</v>
      </c>
      <c r="Q1036" t="str" cm="1">
        <f t="array" ref="Q1036">_xlfn.IFS(I1036&gt;=3.5,"Excellent", I1036&gt;3,"Good",I1036&gt;2,"Average",I1036&lt;2,"Poor")</f>
        <v>Average</v>
      </c>
      <c r="S1036" t="str">
        <f t="shared" si="66"/>
        <v xml:space="preserve"> </v>
      </c>
      <c r="U1036">
        <f t="shared" si="67"/>
        <v>2023</v>
      </c>
      <c r="AA1036" t="str">
        <f t="shared" ca="1" si="68"/>
        <v/>
      </c>
    </row>
    <row r="1037" spans="1:27" x14ac:dyDescent="0.3">
      <c r="A1037" t="s">
        <v>2095</v>
      </c>
      <c r="B1037" t="s">
        <v>2096</v>
      </c>
      <c r="C1037" t="s">
        <v>54</v>
      </c>
      <c r="D1037" t="s">
        <v>18</v>
      </c>
      <c r="E1037" s="1">
        <v>44933</v>
      </c>
      <c r="F1037" t="s">
        <v>14</v>
      </c>
      <c r="G1037">
        <v>9223</v>
      </c>
      <c r="H1037">
        <v>934</v>
      </c>
      <c r="I1037">
        <v>3.49</v>
      </c>
      <c r="J1037">
        <v>104</v>
      </c>
      <c r="P1037">
        <f t="shared" ca="1" si="65"/>
        <v>919</v>
      </c>
      <c r="Q1037" t="str" cm="1">
        <f t="array" ref="Q1037">_xlfn.IFS(I1037&gt;=3.5,"Excellent", I1037&gt;3,"Good",I1037&gt;2,"Average",I1037&lt;2,"Poor")</f>
        <v>Good</v>
      </c>
      <c r="S1037" t="str">
        <f t="shared" si="66"/>
        <v xml:space="preserve"> </v>
      </c>
      <c r="U1037">
        <f t="shared" si="67"/>
        <v>2023</v>
      </c>
      <c r="AA1037" t="str">
        <f t="shared" ca="1" si="68"/>
        <v/>
      </c>
    </row>
    <row r="1038" spans="1:27" x14ac:dyDescent="0.3">
      <c r="A1038" t="s">
        <v>2097</v>
      </c>
      <c r="B1038" t="s">
        <v>2098</v>
      </c>
      <c r="C1038" t="s">
        <v>36</v>
      </c>
      <c r="D1038" t="s">
        <v>31</v>
      </c>
      <c r="E1038" s="1">
        <v>45186</v>
      </c>
      <c r="F1038" t="s">
        <v>19</v>
      </c>
      <c r="G1038">
        <v>9699</v>
      </c>
      <c r="H1038">
        <v>3736</v>
      </c>
      <c r="I1038">
        <v>3.07</v>
      </c>
      <c r="J1038">
        <v>57</v>
      </c>
      <c r="P1038" t="str">
        <f t="shared" ca="1" si="65"/>
        <v xml:space="preserve"> </v>
      </c>
      <c r="Q1038" t="str" cm="1">
        <f t="array" ref="Q1038">_xlfn.IFS(I1038&gt;=3.5,"Excellent", I1038&gt;3,"Good",I1038&gt;2,"Average",I1038&lt;2,"Poor")</f>
        <v>Good</v>
      </c>
      <c r="S1038" t="str">
        <f t="shared" si="66"/>
        <v xml:space="preserve"> </v>
      </c>
      <c r="U1038">
        <f t="shared" si="67"/>
        <v>2023</v>
      </c>
      <c r="AA1038">
        <f t="shared" ca="1" si="68"/>
        <v>666</v>
      </c>
    </row>
    <row r="1039" spans="1:27" x14ac:dyDescent="0.3">
      <c r="A1039" t="s">
        <v>2099</v>
      </c>
      <c r="B1039" t="s">
        <v>2100</v>
      </c>
      <c r="C1039" t="s">
        <v>12</v>
      </c>
      <c r="D1039" t="s">
        <v>62</v>
      </c>
      <c r="E1039" s="1">
        <v>44579</v>
      </c>
      <c r="F1039" t="s">
        <v>14</v>
      </c>
      <c r="G1039">
        <v>9851</v>
      </c>
      <c r="H1039">
        <v>2149</v>
      </c>
      <c r="I1039">
        <v>3.39</v>
      </c>
      <c r="J1039">
        <v>78</v>
      </c>
      <c r="P1039">
        <f t="shared" ca="1" si="65"/>
        <v>1273</v>
      </c>
      <c r="Q1039" t="str" cm="1">
        <f t="array" ref="Q1039">_xlfn.IFS(I1039&gt;=3.5,"Excellent", I1039&gt;3,"Good",I1039&gt;2,"Average",I1039&lt;2,"Poor")</f>
        <v>Good</v>
      </c>
      <c r="S1039" t="str">
        <f t="shared" si="66"/>
        <v xml:space="preserve"> </v>
      </c>
      <c r="U1039">
        <f t="shared" si="67"/>
        <v>2022</v>
      </c>
      <c r="AA1039" t="str">
        <f t="shared" ca="1" si="68"/>
        <v/>
      </c>
    </row>
    <row r="1040" spans="1:27" x14ac:dyDescent="0.3">
      <c r="A1040" t="s">
        <v>2101</v>
      </c>
      <c r="B1040" t="s">
        <v>2102</v>
      </c>
      <c r="C1040" t="s">
        <v>57</v>
      </c>
      <c r="D1040" t="s">
        <v>18</v>
      </c>
      <c r="E1040" s="1">
        <v>45441</v>
      </c>
      <c r="F1040" t="s">
        <v>14</v>
      </c>
      <c r="G1040">
        <v>8813</v>
      </c>
      <c r="H1040">
        <v>795</v>
      </c>
      <c r="I1040">
        <v>3.25</v>
      </c>
      <c r="J1040">
        <v>110</v>
      </c>
      <c r="P1040">
        <f t="shared" ca="1" si="65"/>
        <v>411</v>
      </c>
      <c r="Q1040" t="str" cm="1">
        <f t="array" ref="Q1040">_xlfn.IFS(I1040&gt;=3.5,"Excellent", I1040&gt;3,"Good",I1040&gt;2,"Average",I1040&lt;2,"Poor")</f>
        <v>Good</v>
      </c>
      <c r="S1040" t="str">
        <f t="shared" si="66"/>
        <v xml:space="preserve"> </v>
      </c>
      <c r="U1040">
        <f t="shared" si="67"/>
        <v>2024</v>
      </c>
      <c r="AA1040" t="str">
        <f t="shared" ca="1" si="68"/>
        <v/>
      </c>
    </row>
    <row r="1041" spans="1:27" x14ac:dyDescent="0.3">
      <c r="A1041" t="s">
        <v>2103</v>
      </c>
      <c r="B1041" t="s">
        <v>2104</v>
      </c>
      <c r="C1041" t="s">
        <v>25</v>
      </c>
      <c r="D1041" t="s">
        <v>18</v>
      </c>
      <c r="E1041" s="1">
        <v>44694</v>
      </c>
      <c r="F1041" t="s">
        <v>14</v>
      </c>
      <c r="G1041">
        <v>9828</v>
      </c>
      <c r="H1041">
        <v>9604</v>
      </c>
      <c r="I1041">
        <v>3.94</v>
      </c>
      <c r="J1041">
        <v>17</v>
      </c>
      <c r="P1041">
        <f t="shared" ca="1" si="65"/>
        <v>1158</v>
      </c>
      <c r="Q1041" t="str" cm="1">
        <f t="array" ref="Q1041">_xlfn.IFS(I1041&gt;=3.5,"Excellent", I1041&gt;3,"Good",I1041&gt;2,"Average",I1041&lt;2,"Poor")</f>
        <v>Excellent</v>
      </c>
      <c r="S1041" t="b">
        <f t="shared" si="66"/>
        <v>1</v>
      </c>
      <c r="U1041">
        <f t="shared" si="67"/>
        <v>2022</v>
      </c>
      <c r="AA1041" t="str">
        <f t="shared" ca="1" si="68"/>
        <v/>
      </c>
    </row>
    <row r="1042" spans="1:27" x14ac:dyDescent="0.3">
      <c r="A1042" t="s">
        <v>2105</v>
      </c>
      <c r="B1042" t="s">
        <v>2106</v>
      </c>
      <c r="C1042" t="s">
        <v>25</v>
      </c>
      <c r="D1042" t="s">
        <v>62</v>
      </c>
      <c r="E1042" s="1">
        <v>44582</v>
      </c>
      <c r="F1042" t="s">
        <v>14</v>
      </c>
      <c r="G1042">
        <v>14430</v>
      </c>
      <c r="H1042">
        <v>4963</v>
      </c>
      <c r="I1042">
        <v>2.41</v>
      </c>
      <c r="J1042">
        <v>73</v>
      </c>
      <c r="P1042">
        <f t="shared" ca="1" si="65"/>
        <v>1270</v>
      </c>
      <c r="Q1042" t="str" cm="1">
        <f t="array" ref="Q1042">_xlfn.IFS(I1042&gt;=3.5,"Excellent", I1042&gt;3,"Good",I1042&gt;2,"Average",I1042&lt;2,"Poor")</f>
        <v>Average</v>
      </c>
      <c r="S1042" t="str">
        <f t="shared" si="66"/>
        <v xml:space="preserve"> </v>
      </c>
      <c r="U1042">
        <f t="shared" si="67"/>
        <v>2022</v>
      </c>
      <c r="AA1042" t="str">
        <f t="shared" ca="1" si="68"/>
        <v/>
      </c>
    </row>
    <row r="1043" spans="1:27" x14ac:dyDescent="0.3">
      <c r="A1043" t="s">
        <v>2107</v>
      </c>
      <c r="B1043" t="s">
        <v>2108</v>
      </c>
      <c r="C1043" t="s">
        <v>17</v>
      </c>
      <c r="D1043" t="s">
        <v>62</v>
      </c>
      <c r="E1043" s="1">
        <v>45016</v>
      </c>
      <c r="F1043" t="s">
        <v>14</v>
      </c>
      <c r="G1043">
        <v>14409</v>
      </c>
      <c r="H1043">
        <v>5793</v>
      </c>
      <c r="I1043">
        <v>2.61</v>
      </c>
      <c r="J1043">
        <v>31</v>
      </c>
      <c r="P1043">
        <f t="shared" ca="1" si="65"/>
        <v>836</v>
      </c>
      <c r="Q1043" t="str" cm="1">
        <f t="array" ref="Q1043">_xlfn.IFS(I1043&gt;=3.5,"Excellent", I1043&gt;3,"Good",I1043&gt;2,"Average",I1043&lt;2,"Poor")</f>
        <v>Average</v>
      </c>
      <c r="S1043" t="str">
        <f t="shared" si="66"/>
        <v xml:space="preserve"> </v>
      </c>
      <c r="U1043">
        <f t="shared" si="67"/>
        <v>2023</v>
      </c>
      <c r="AA1043" t="str">
        <f t="shared" ca="1" si="68"/>
        <v/>
      </c>
    </row>
    <row r="1044" spans="1:27" x14ac:dyDescent="0.3">
      <c r="A1044" t="s">
        <v>2109</v>
      </c>
      <c r="B1044" t="s">
        <v>2110</v>
      </c>
      <c r="C1044" t="s">
        <v>36</v>
      </c>
      <c r="D1044" t="s">
        <v>31</v>
      </c>
      <c r="E1044" s="1">
        <v>44816</v>
      </c>
      <c r="F1044" t="s">
        <v>14</v>
      </c>
      <c r="G1044">
        <v>3726</v>
      </c>
      <c r="H1044">
        <v>586</v>
      </c>
      <c r="I1044">
        <v>2.2200000000000002</v>
      </c>
      <c r="J1044">
        <v>6</v>
      </c>
      <c r="P1044">
        <f t="shared" ca="1" si="65"/>
        <v>1036</v>
      </c>
      <c r="Q1044" t="str" cm="1">
        <f t="array" ref="Q1044">_xlfn.IFS(I1044&gt;=3.5,"Excellent", I1044&gt;3,"Good",I1044&gt;2,"Average",I1044&lt;2,"Poor")</f>
        <v>Average</v>
      </c>
      <c r="S1044" t="str">
        <f t="shared" si="66"/>
        <v xml:space="preserve"> </v>
      </c>
      <c r="U1044">
        <f t="shared" si="67"/>
        <v>2022</v>
      </c>
      <c r="AA1044" t="str">
        <f t="shared" ca="1" si="68"/>
        <v/>
      </c>
    </row>
    <row r="1045" spans="1:27" x14ac:dyDescent="0.3">
      <c r="A1045" t="s">
        <v>2111</v>
      </c>
      <c r="B1045" t="s">
        <v>2112</v>
      </c>
      <c r="C1045" t="s">
        <v>28</v>
      </c>
      <c r="D1045" t="s">
        <v>18</v>
      </c>
      <c r="E1045" s="1">
        <v>45227</v>
      </c>
      <c r="F1045" t="s">
        <v>19</v>
      </c>
      <c r="G1045">
        <v>12371</v>
      </c>
      <c r="H1045">
        <v>3982</v>
      </c>
      <c r="I1045">
        <v>3.58</v>
      </c>
      <c r="J1045">
        <v>52</v>
      </c>
      <c r="P1045" t="str">
        <f t="shared" ca="1" si="65"/>
        <v xml:space="preserve"> </v>
      </c>
      <c r="Q1045" t="str" cm="1">
        <f t="array" ref="Q1045">_xlfn.IFS(I1045&gt;=3.5,"Excellent", I1045&gt;3,"Good",I1045&gt;2,"Average",I1045&lt;2,"Poor")</f>
        <v>Excellent</v>
      </c>
      <c r="S1045" t="str">
        <f t="shared" si="66"/>
        <v xml:space="preserve"> </v>
      </c>
      <c r="U1045">
        <f t="shared" si="67"/>
        <v>2023</v>
      </c>
      <c r="AA1045">
        <f t="shared" ca="1" si="68"/>
        <v>625</v>
      </c>
    </row>
    <row r="1046" spans="1:27" x14ac:dyDescent="0.3">
      <c r="A1046" t="s">
        <v>2113</v>
      </c>
      <c r="B1046" t="s">
        <v>2114</v>
      </c>
      <c r="C1046" t="s">
        <v>25</v>
      </c>
      <c r="D1046" t="s">
        <v>31</v>
      </c>
      <c r="E1046" s="1">
        <v>45104</v>
      </c>
      <c r="F1046" t="s">
        <v>19</v>
      </c>
      <c r="G1046">
        <v>3344</v>
      </c>
      <c r="H1046">
        <v>5902</v>
      </c>
      <c r="I1046">
        <v>3.46</v>
      </c>
      <c r="J1046">
        <v>75</v>
      </c>
      <c r="P1046" t="str">
        <f t="shared" ca="1" si="65"/>
        <v xml:space="preserve"> </v>
      </c>
      <c r="Q1046" t="str" cm="1">
        <f t="array" ref="Q1046">_xlfn.IFS(I1046&gt;=3.5,"Excellent", I1046&gt;3,"Good",I1046&gt;2,"Average",I1046&lt;2,"Poor")</f>
        <v>Good</v>
      </c>
      <c r="S1046" t="b">
        <f t="shared" si="66"/>
        <v>1</v>
      </c>
      <c r="U1046">
        <f t="shared" si="67"/>
        <v>2023</v>
      </c>
      <c r="AA1046">
        <f t="shared" ca="1" si="68"/>
        <v>748</v>
      </c>
    </row>
    <row r="1047" spans="1:27" x14ac:dyDescent="0.3">
      <c r="A1047" t="s">
        <v>2115</v>
      </c>
      <c r="B1047" t="s">
        <v>2116</v>
      </c>
      <c r="C1047" t="s">
        <v>36</v>
      </c>
      <c r="D1047" t="s">
        <v>13</v>
      </c>
      <c r="E1047" s="1">
        <v>45004</v>
      </c>
      <c r="F1047" t="s">
        <v>14</v>
      </c>
      <c r="G1047">
        <v>10360</v>
      </c>
      <c r="H1047">
        <v>6049</v>
      </c>
      <c r="I1047">
        <v>2.79</v>
      </c>
      <c r="J1047">
        <v>42</v>
      </c>
      <c r="P1047">
        <f t="shared" ca="1" si="65"/>
        <v>848</v>
      </c>
      <c r="Q1047" t="str" cm="1">
        <f t="array" ref="Q1047">_xlfn.IFS(I1047&gt;=3.5,"Excellent", I1047&gt;3,"Good",I1047&gt;2,"Average",I1047&lt;2,"Poor")</f>
        <v>Average</v>
      </c>
      <c r="S1047" t="b">
        <f t="shared" si="66"/>
        <v>1</v>
      </c>
      <c r="U1047">
        <f t="shared" si="67"/>
        <v>2023</v>
      </c>
      <c r="AA1047" t="str">
        <f t="shared" ca="1" si="68"/>
        <v/>
      </c>
    </row>
    <row r="1048" spans="1:27" x14ac:dyDescent="0.3">
      <c r="A1048" t="s">
        <v>2117</v>
      </c>
      <c r="B1048" t="s">
        <v>2118</v>
      </c>
      <c r="C1048" t="s">
        <v>54</v>
      </c>
      <c r="D1048" t="s">
        <v>13</v>
      </c>
      <c r="E1048" s="1">
        <v>44764</v>
      </c>
      <c r="F1048" t="s">
        <v>14</v>
      </c>
      <c r="G1048">
        <v>9592</v>
      </c>
      <c r="H1048">
        <v>5292</v>
      </c>
      <c r="I1048">
        <v>3.61</v>
      </c>
      <c r="J1048">
        <v>59</v>
      </c>
      <c r="P1048">
        <f t="shared" ca="1" si="65"/>
        <v>1088</v>
      </c>
      <c r="Q1048" t="str" cm="1">
        <f t="array" ref="Q1048">_xlfn.IFS(I1048&gt;=3.5,"Excellent", I1048&gt;3,"Good",I1048&gt;2,"Average",I1048&lt;2,"Poor")</f>
        <v>Excellent</v>
      </c>
      <c r="S1048" t="b">
        <f t="shared" si="66"/>
        <v>1</v>
      </c>
      <c r="U1048">
        <f t="shared" si="67"/>
        <v>2022</v>
      </c>
      <c r="AA1048" t="str">
        <f t="shared" ca="1" si="68"/>
        <v/>
      </c>
    </row>
    <row r="1049" spans="1:27" x14ac:dyDescent="0.3">
      <c r="A1049" t="s">
        <v>2119</v>
      </c>
      <c r="B1049" t="s">
        <v>2120</v>
      </c>
      <c r="C1049" t="s">
        <v>36</v>
      </c>
      <c r="D1049" t="s">
        <v>13</v>
      </c>
      <c r="E1049" s="1">
        <v>44742</v>
      </c>
      <c r="F1049" t="s">
        <v>14</v>
      </c>
      <c r="G1049">
        <v>9512</v>
      </c>
      <c r="H1049">
        <v>2317</v>
      </c>
      <c r="I1049">
        <v>2.98</v>
      </c>
      <c r="J1049">
        <v>56</v>
      </c>
      <c r="P1049">
        <f t="shared" ca="1" si="65"/>
        <v>1110</v>
      </c>
      <c r="Q1049" t="str" cm="1">
        <f t="array" ref="Q1049">_xlfn.IFS(I1049&gt;=3.5,"Excellent", I1049&gt;3,"Good",I1049&gt;2,"Average",I1049&lt;2,"Poor")</f>
        <v>Average</v>
      </c>
      <c r="S1049" t="str">
        <f t="shared" si="66"/>
        <v xml:space="preserve"> </v>
      </c>
      <c r="U1049">
        <f t="shared" si="67"/>
        <v>2022</v>
      </c>
      <c r="AA1049" t="str">
        <f t="shared" ca="1" si="68"/>
        <v/>
      </c>
    </row>
    <row r="1050" spans="1:27" x14ac:dyDescent="0.3">
      <c r="A1050" t="s">
        <v>2121</v>
      </c>
      <c r="B1050" t="s">
        <v>2122</v>
      </c>
      <c r="C1050" t="s">
        <v>57</v>
      </c>
      <c r="D1050" t="s">
        <v>18</v>
      </c>
      <c r="E1050" s="1">
        <v>44765</v>
      </c>
      <c r="F1050" t="s">
        <v>19</v>
      </c>
      <c r="G1050">
        <v>5373</v>
      </c>
      <c r="H1050">
        <v>8186</v>
      </c>
      <c r="I1050">
        <v>2.29</v>
      </c>
      <c r="J1050">
        <v>22</v>
      </c>
      <c r="P1050" t="str">
        <f t="shared" ca="1" si="65"/>
        <v xml:space="preserve"> </v>
      </c>
      <c r="Q1050" t="str" cm="1">
        <f t="array" ref="Q1050">_xlfn.IFS(I1050&gt;=3.5,"Excellent", I1050&gt;3,"Good",I1050&gt;2,"Average",I1050&lt;2,"Poor")</f>
        <v>Average</v>
      </c>
      <c r="S1050" t="b">
        <f t="shared" si="66"/>
        <v>1</v>
      </c>
      <c r="U1050">
        <f t="shared" si="67"/>
        <v>2022</v>
      </c>
      <c r="AA1050">
        <f t="shared" ca="1" si="68"/>
        <v>1087</v>
      </c>
    </row>
    <row r="1051" spans="1:27" x14ac:dyDescent="0.3">
      <c r="A1051" t="s">
        <v>2123</v>
      </c>
      <c r="B1051" t="s">
        <v>2124</v>
      </c>
      <c r="C1051" t="s">
        <v>22</v>
      </c>
      <c r="D1051" t="s">
        <v>18</v>
      </c>
      <c r="E1051" s="1">
        <v>44814</v>
      </c>
      <c r="F1051" t="s">
        <v>19</v>
      </c>
      <c r="G1051">
        <v>5354</v>
      </c>
      <c r="H1051">
        <v>2730</v>
      </c>
      <c r="I1051">
        <v>2.44</v>
      </c>
      <c r="J1051">
        <v>94</v>
      </c>
      <c r="P1051" t="str">
        <f t="shared" ca="1" si="65"/>
        <v xml:space="preserve"> </v>
      </c>
      <c r="Q1051" t="str" cm="1">
        <f t="array" ref="Q1051">_xlfn.IFS(I1051&gt;=3.5,"Excellent", I1051&gt;3,"Good",I1051&gt;2,"Average",I1051&lt;2,"Poor")</f>
        <v>Average</v>
      </c>
      <c r="S1051" t="b">
        <f t="shared" si="66"/>
        <v>1</v>
      </c>
      <c r="U1051">
        <f t="shared" si="67"/>
        <v>2022</v>
      </c>
      <c r="AA1051">
        <f t="shared" ca="1" si="68"/>
        <v>1038</v>
      </c>
    </row>
    <row r="1052" spans="1:27" x14ac:dyDescent="0.3">
      <c r="A1052" t="s">
        <v>2125</v>
      </c>
      <c r="B1052" t="s">
        <v>2126</v>
      </c>
      <c r="C1052" t="s">
        <v>36</v>
      </c>
      <c r="D1052" t="s">
        <v>62</v>
      </c>
      <c r="E1052" s="1">
        <v>44839</v>
      </c>
      <c r="F1052" t="s">
        <v>19</v>
      </c>
      <c r="G1052">
        <v>2479</v>
      </c>
      <c r="H1052">
        <v>1588</v>
      </c>
      <c r="I1052">
        <v>3.71</v>
      </c>
      <c r="J1052">
        <v>100</v>
      </c>
      <c r="P1052" t="str">
        <f t="shared" ca="1" si="65"/>
        <v xml:space="preserve"> </v>
      </c>
      <c r="Q1052" t="str" cm="1">
        <f t="array" ref="Q1052">_xlfn.IFS(I1052&gt;=3.5,"Excellent", I1052&gt;3,"Good",I1052&gt;2,"Average",I1052&lt;2,"Poor")</f>
        <v>Excellent</v>
      </c>
      <c r="S1052" t="b">
        <f t="shared" si="66"/>
        <v>1</v>
      </c>
      <c r="U1052">
        <f t="shared" si="67"/>
        <v>2022</v>
      </c>
      <c r="AA1052">
        <f t="shared" ca="1" si="68"/>
        <v>1013</v>
      </c>
    </row>
    <row r="1053" spans="1:27" x14ac:dyDescent="0.3">
      <c r="A1053" t="s">
        <v>2127</v>
      </c>
      <c r="B1053" t="s">
        <v>2128</v>
      </c>
      <c r="C1053" t="s">
        <v>12</v>
      </c>
      <c r="D1053" t="s">
        <v>62</v>
      </c>
      <c r="E1053" s="1">
        <v>45007</v>
      </c>
      <c r="F1053" t="s">
        <v>39</v>
      </c>
      <c r="G1053">
        <v>6810</v>
      </c>
      <c r="H1053">
        <v>405</v>
      </c>
      <c r="I1053">
        <v>2.94</v>
      </c>
      <c r="J1053">
        <v>46</v>
      </c>
      <c r="P1053" t="str">
        <f t="shared" ca="1" si="65"/>
        <v xml:space="preserve"> </v>
      </c>
      <c r="Q1053" t="str" cm="1">
        <f t="array" ref="Q1053">_xlfn.IFS(I1053&gt;=3.5,"Excellent", I1053&gt;3,"Good",I1053&gt;2,"Average",I1053&lt;2,"Poor")</f>
        <v>Average</v>
      </c>
      <c r="S1053" t="str">
        <f t="shared" si="66"/>
        <v xml:space="preserve"> </v>
      </c>
      <c r="U1053">
        <f t="shared" si="67"/>
        <v>2023</v>
      </c>
      <c r="AA1053" t="str">
        <f t="shared" ca="1" si="68"/>
        <v/>
      </c>
    </row>
    <row r="1054" spans="1:27" x14ac:dyDescent="0.3">
      <c r="A1054" t="s">
        <v>2129</v>
      </c>
      <c r="B1054" t="s">
        <v>2130</v>
      </c>
      <c r="C1054" t="s">
        <v>12</v>
      </c>
      <c r="D1054" t="s">
        <v>18</v>
      </c>
      <c r="E1054" s="1">
        <v>44718</v>
      </c>
      <c r="F1054" t="s">
        <v>14</v>
      </c>
      <c r="G1054">
        <v>7686</v>
      </c>
      <c r="H1054">
        <v>9818</v>
      </c>
      <c r="I1054">
        <v>2.69</v>
      </c>
      <c r="J1054">
        <v>4</v>
      </c>
      <c r="P1054">
        <f t="shared" ca="1" si="65"/>
        <v>1134</v>
      </c>
      <c r="Q1054" t="str" cm="1">
        <f t="array" ref="Q1054">_xlfn.IFS(I1054&gt;=3.5,"Excellent", I1054&gt;3,"Good",I1054&gt;2,"Average",I1054&lt;2,"Poor")</f>
        <v>Average</v>
      </c>
      <c r="S1054" t="b">
        <f t="shared" si="66"/>
        <v>1</v>
      </c>
      <c r="U1054">
        <f t="shared" si="67"/>
        <v>2022</v>
      </c>
      <c r="AA1054" t="str">
        <f t="shared" ca="1" si="68"/>
        <v/>
      </c>
    </row>
    <row r="1055" spans="1:27" x14ac:dyDescent="0.3">
      <c r="A1055" t="s">
        <v>2131</v>
      </c>
      <c r="B1055" t="s">
        <v>2132</v>
      </c>
      <c r="C1055" t="s">
        <v>54</v>
      </c>
      <c r="D1055" t="s">
        <v>13</v>
      </c>
      <c r="E1055" s="1">
        <v>44888</v>
      </c>
      <c r="F1055" t="s">
        <v>14</v>
      </c>
      <c r="G1055">
        <v>7121</v>
      </c>
      <c r="H1055">
        <v>7090</v>
      </c>
      <c r="I1055">
        <v>3.87</v>
      </c>
      <c r="J1055">
        <v>28</v>
      </c>
      <c r="P1055">
        <f t="shared" ca="1" si="65"/>
        <v>964</v>
      </c>
      <c r="Q1055" t="str" cm="1">
        <f t="array" ref="Q1055">_xlfn.IFS(I1055&gt;=3.5,"Excellent", I1055&gt;3,"Good",I1055&gt;2,"Average",I1055&lt;2,"Poor")</f>
        <v>Excellent</v>
      </c>
      <c r="S1055" t="b">
        <f t="shared" si="66"/>
        <v>1</v>
      </c>
      <c r="U1055">
        <f t="shared" si="67"/>
        <v>2022</v>
      </c>
      <c r="AA1055" t="str">
        <f t="shared" ca="1" si="68"/>
        <v/>
      </c>
    </row>
    <row r="1056" spans="1:27" x14ac:dyDescent="0.3">
      <c r="A1056" t="s">
        <v>2133</v>
      </c>
      <c r="B1056" t="s">
        <v>2134</v>
      </c>
      <c r="C1056" t="s">
        <v>17</v>
      </c>
      <c r="D1056" t="s">
        <v>31</v>
      </c>
      <c r="E1056" s="1">
        <v>45450</v>
      </c>
      <c r="F1056" t="s">
        <v>19</v>
      </c>
      <c r="G1056">
        <v>3813</v>
      </c>
      <c r="H1056">
        <v>1221</v>
      </c>
      <c r="I1056">
        <v>2.78</v>
      </c>
      <c r="J1056">
        <v>55</v>
      </c>
      <c r="P1056" t="str">
        <f t="shared" ca="1" si="65"/>
        <v xml:space="preserve"> </v>
      </c>
      <c r="Q1056" t="str" cm="1">
        <f t="array" ref="Q1056">_xlfn.IFS(I1056&gt;=3.5,"Excellent", I1056&gt;3,"Good",I1056&gt;2,"Average",I1056&lt;2,"Poor")</f>
        <v>Average</v>
      </c>
      <c r="S1056" t="str">
        <f t="shared" si="66"/>
        <v xml:space="preserve"> </v>
      </c>
      <c r="U1056">
        <f t="shared" si="67"/>
        <v>2024</v>
      </c>
      <c r="AA1056">
        <f t="shared" ca="1" si="68"/>
        <v>402</v>
      </c>
    </row>
    <row r="1057" spans="1:27" x14ac:dyDescent="0.3">
      <c r="A1057" t="s">
        <v>2135</v>
      </c>
      <c r="B1057" t="s">
        <v>2136</v>
      </c>
      <c r="C1057" t="s">
        <v>57</v>
      </c>
      <c r="D1057" t="s">
        <v>62</v>
      </c>
      <c r="E1057" s="1">
        <v>45410</v>
      </c>
      <c r="F1057" t="s">
        <v>19</v>
      </c>
      <c r="G1057">
        <v>5115</v>
      </c>
      <c r="H1057">
        <v>6700</v>
      </c>
      <c r="I1057">
        <v>3.09</v>
      </c>
      <c r="J1057">
        <v>35</v>
      </c>
      <c r="P1057" t="str">
        <f t="shared" ca="1" si="65"/>
        <v xml:space="preserve"> </v>
      </c>
      <c r="Q1057" t="str" cm="1">
        <f t="array" ref="Q1057">_xlfn.IFS(I1057&gt;=3.5,"Excellent", I1057&gt;3,"Good",I1057&gt;2,"Average",I1057&lt;2,"Poor")</f>
        <v>Good</v>
      </c>
      <c r="S1057" t="b">
        <f t="shared" si="66"/>
        <v>1</v>
      </c>
      <c r="U1057">
        <f t="shared" si="67"/>
        <v>2024</v>
      </c>
      <c r="AA1057">
        <f t="shared" ca="1" si="68"/>
        <v>442</v>
      </c>
    </row>
    <row r="1058" spans="1:27" x14ac:dyDescent="0.3">
      <c r="A1058" t="s">
        <v>2137</v>
      </c>
      <c r="B1058" t="s">
        <v>2138</v>
      </c>
      <c r="C1058" t="s">
        <v>36</v>
      </c>
      <c r="D1058" t="s">
        <v>18</v>
      </c>
      <c r="E1058" s="1">
        <v>44963</v>
      </c>
      <c r="F1058" t="s">
        <v>14</v>
      </c>
      <c r="G1058">
        <v>8897</v>
      </c>
      <c r="H1058">
        <v>2452</v>
      </c>
      <c r="I1058">
        <v>3.51</v>
      </c>
      <c r="J1058">
        <v>90</v>
      </c>
      <c r="P1058">
        <f t="shared" ca="1" si="65"/>
        <v>889</v>
      </c>
      <c r="Q1058" t="str" cm="1">
        <f t="array" ref="Q1058">_xlfn.IFS(I1058&gt;=3.5,"Excellent", I1058&gt;3,"Good",I1058&gt;2,"Average",I1058&lt;2,"Poor")</f>
        <v>Excellent</v>
      </c>
      <c r="S1058" t="str">
        <f t="shared" si="66"/>
        <v xml:space="preserve"> </v>
      </c>
      <c r="U1058">
        <f t="shared" si="67"/>
        <v>2023</v>
      </c>
      <c r="AA1058" t="str">
        <f t="shared" ca="1" si="68"/>
        <v/>
      </c>
    </row>
    <row r="1059" spans="1:27" x14ac:dyDescent="0.3">
      <c r="A1059" t="s">
        <v>2139</v>
      </c>
      <c r="B1059" t="s">
        <v>2140</v>
      </c>
      <c r="C1059" t="s">
        <v>28</v>
      </c>
      <c r="D1059" t="s">
        <v>31</v>
      </c>
      <c r="E1059" s="1">
        <v>45408</v>
      </c>
      <c r="F1059" t="s">
        <v>14</v>
      </c>
      <c r="G1059">
        <v>10286</v>
      </c>
      <c r="H1059">
        <v>8637</v>
      </c>
      <c r="I1059">
        <v>2.17</v>
      </c>
      <c r="J1059">
        <v>76</v>
      </c>
      <c r="P1059">
        <f t="shared" ca="1" si="65"/>
        <v>444</v>
      </c>
      <c r="Q1059" t="str" cm="1">
        <f t="array" ref="Q1059">_xlfn.IFS(I1059&gt;=3.5,"Excellent", I1059&gt;3,"Good",I1059&gt;2,"Average",I1059&lt;2,"Poor")</f>
        <v>Average</v>
      </c>
      <c r="S1059" t="b">
        <f t="shared" si="66"/>
        <v>1</v>
      </c>
      <c r="U1059">
        <f t="shared" si="67"/>
        <v>2024</v>
      </c>
      <c r="AA1059" t="str">
        <f t="shared" ca="1" si="68"/>
        <v/>
      </c>
    </row>
    <row r="1060" spans="1:27" x14ac:dyDescent="0.3">
      <c r="A1060" t="s">
        <v>2141</v>
      </c>
      <c r="B1060" t="s">
        <v>2142</v>
      </c>
      <c r="C1060" t="s">
        <v>22</v>
      </c>
      <c r="D1060" t="s">
        <v>31</v>
      </c>
      <c r="E1060" s="1">
        <v>45381</v>
      </c>
      <c r="F1060" t="s">
        <v>19</v>
      </c>
      <c r="G1060">
        <v>6792</v>
      </c>
      <c r="H1060">
        <v>999</v>
      </c>
      <c r="I1060">
        <v>2.19</v>
      </c>
      <c r="J1060">
        <v>6</v>
      </c>
      <c r="P1060" t="str">
        <f t="shared" ca="1" si="65"/>
        <v xml:space="preserve"> </v>
      </c>
      <c r="Q1060" t="str" cm="1">
        <f t="array" ref="Q1060">_xlfn.IFS(I1060&gt;=3.5,"Excellent", I1060&gt;3,"Good",I1060&gt;2,"Average",I1060&lt;2,"Poor")</f>
        <v>Average</v>
      </c>
      <c r="S1060" t="str">
        <f t="shared" si="66"/>
        <v xml:space="preserve"> </v>
      </c>
      <c r="U1060">
        <f t="shared" si="67"/>
        <v>2024</v>
      </c>
      <c r="AA1060">
        <f t="shared" ca="1" si="68"/>
        <v>471</v>
      </c>
    </row>
    <row r="1061" spans="1:27" x14ac:dyDescent="0.3">
      <c r="A1061" t="s">
        <v>2143</v>
      </c>
      <c r="B1061" t="s">
        <v>2144</v>
      </c>
      <c r="C1061" t="s">
        <v>25</v>
      </c>
      <c r="D1061" t="s">
        <v>62</v>
      </c>
      <c r="E1061" s="1">
        <v>44982</v>
      </c>
      <c r="F1061" t="s">
        <v>14</v>
      </c>
      <c r="G1061">
        <v>9636</v>
      </c>
      <c r="H1061">
        <v>8999</v>
      </c>
      <c r="I1061">
        <v>2.4900000000000002</v>
      </c>
      <c r="J1061">
        <v>46</v>
      </c>
      <c r="P1061">
        <f t="shared" ca="1" si="65"/>
        <v>870</v>
      </c>
      <c r="Q1061" t="str" cm="1">
        <f t="array" ref="Q1061">_xlfn.IFS(I1061&gt;=3.5,"Excellent", I1061&gt;3,"Good",I1061&gt;2,"Average",I1061&lt;2,"Poor")</f>
        <v>Average</v>
      </c>
      <c r="S1061" t="b">
        <f t="shared" si="66"/>
        <v>1</v>
      </c>
      <c r="U1061">
        <f t="shared" si="67"/>
        <v>2023</v>
      </c>
      <c r="AA1061" t="str">
        <f t="shared" ca="1" si="68"/>
        <v/>
      </c>
    </row>
    <row r="1062" spans="1:27" x14ac:dyDescent="0.3">
      <c r="A1062" t="s">
        <v>2145</v>
      </c>
      <c r="B1062" t="s">
        <v>2146</v>
      </c>
      <c r="C1062" t="s">
        <v>22</v>
      </c>
      <c r="D1062" t="s">
        <v>62</v>
      </c>
      <c r="E1062" s="1">
        <v>44564</v>
      </c>
      <c r="F1062" t="s">
        <v>14</v>
      </c>
      <c r="G1062">
        <v>14185</v>
      </c>
      <c r="H1062">
        <v>3785</v>
      </c>
      <c r="I1062">
        <v>3.14</v>
      </c>
      <c r="J1062">
        <v>84</v>
      </c>
      <c r="P1062">
        <f t="shared" ca="1" si="65"/>
        <v>1288</v>
      </c>
      <c r="Q1062" t="str" cm="1">
        <f t="array" ref="Q1062">_xlfn.IFS(I1062&gt;=3.5,"Excellent", I1062&gt;3,"Good",I1062&gt;2,"Average",I1062&lt;2,"Poor")</f>
        <v>Good</v>
      </c>
      <c r="S1062" t="str">
        <f t="shared" si="66"/>
        <v xml:space="preserve"> </v>
      </c>
      <c r="U1062">
        <f t="shared" si="67"/>
        <v>2022</v>
      </c>
      <c r="AA1062" t="str">
        <f t="shared" ca="1" si="68"/>
        <v/>
      </c>
    </row>
    <row r="1063" spans="1:27" x14ac:dyDescent="0.3">
      <c r="A1063" t="s">
        <v>2147</v>
      </c>
      <c r="B1063" t="s">
        <v>2148</v>
      </c>
      <c r="C1063" t="s">
        <v>57</v>
      </c>
      <c r="D1063" t="s">
        <v>62</v>
      </c>
      <c r="E1063" s="1">
        <v>45091</v>
      </c>
      <c r="F1063" t="s">
        <v>14</v>
      </c>
      <c r="G1063">
        <v>13293</v>
      </c>
      <c r="H1063">
        <v>9628</v>
      </c>
      <c r="I1063">
        <v>2.66</v>
      </c>
      <c r="J1063">
        <v>99</v>
      </c>
      <c r="P1063">
        <f t="shared" ca="1" si="65"/>
        <v>761</v>
      </c>
      <c r="Q1063" t="str" cm="1">
        <f t="array" ref="Q1063">_xlfn.IFS(I1063&gt;=3.5,"Excellent", I1063&gt;3,"Good",I1063&gt;2,"Average",I1063&lt;2,"Poor")</f>
        <v>Average</v>
      </c>
      <c r="S1063" t="b">
        <f t="shared" si="66"/>
        <v>1</v>
      </c>
      <c r="U1063">
        <f t="shared" si="67"/>
        <v>2023</v>
      </c>
      <c r="AA1063" t="str">
        <f t="shared" ca="1" si="68"/>
        <v/>
      </c>
    </row>
    <row r="1064" spans="1:27" x14ac:dyDescent="0.3">
      <c r="A1064" t="s">
        <v>2149</v>
      </c>
      <c r="B1064" t="s">
        <v>2150</v>
      </c>
      <c r="C1064" t="s">
        <v>57</v>
      </c>
      <c r="D1064" t="s">
        <v>18</v>
      </c>
      <c r="E1064" s="1">
        <v>45124</v>
      </c>
      <c r="F1064" t="s">
        <v>19</v>
      </c>
      <c r="G1064">
        <v>7446</v>
      </c>
      <c r="H1064">
        <v>4781</v>
      </c>
      <c r="I1064">
        <v>3.43</v>
      </c>
      <c r="J1064">
        <v>101</v>
      </c>
      <c r="P1064" t="str">
        <f t="shared" ca="1" si="65"/>
        <v xml:space="preserve"> </v>
      </c>
      <c r="Q1064" t="str" cm="1">
        <f t="array" ref="Q1064">_xlfn.IFS(I1064&gt;=3.5,"Excellent", I1064&gt;3,"Good",I1064&gt;2,"Average",I1064&lt;2,"Poor")</f>
        <v>Good</v>
      </c>
      <c r="S1064" t="b">
        <f t="shared" si="66"/>
        <v>1</v>
      </c>
      <c r="U1064">
        <f t="shared" si="67"/>
        <v>2023</v>
      </c>
      <c r="AA1064">
        <f t="shared" ca="1" si="68"/>
        <v>728</v>
      </c>
    </row>
    <row r="1065" spans="1:27" x14ac:dyDescent="0.3">
      <c r="A1065" t="s">
        <v>2151</v>
      </c>
      <c r="B1065" t="s">
        <v>2152</v>
      </c>
      <c r="C1065" t="s">
        <v>28</v>
      </c>
      <c r="D1065" t="s">
        <v>62</v>
      </c>
      <c r="E1065" s="1">
        <v>44849</v>
      </c>
      <c r="F1065" t="s">
        <v>14</v>
      </c>
      <c r="G1065">
        <v>11119</v>
      </c>
      <c r="H1065">
        <v>8712</v>
      </c>
      <c r="I1065">
        <v>3.96</v>
      </c>
      <c r="J1065">
        <v>103</v>
      </c>
      <c r="P1065">
        <f t="shared" ca="1" si="65"/>
        <v>1003</v>
      </c>
      <c r="Q1065" t="str" cm="1">
        <f t="array" ref="Q1065">_xlfn.IFS(I1065&gt;=3.5,"Excellent", I1065&gt;3,"Good",I1065&gt;2,"Average",I1065&lt;2,"Poor")</f>
        <v>Excellent</v>
      </c>
      <c r="S1065" t="b">
        <f t="shared" si="66"/>
        <v>1</v>
      </c>
      <c r="U1065">
        <f t="shared" si="67"/>
        <v>2022</v>
      </c>
      <c r="AA1065" t="str">
        <f t="shared" ca="1" si="68"/>
        <v/>
      </c>
    </row>
    <row r="1066" spans="1:27" x14ac:dyDescent="0.3">
      <c r="A1066" t="s">
        <v>2153</v>
      </c>
      <c r="B1066" t="s">
        <v>2154</v>
      </c>
      <c r="C1066" t="s">
        <v>36</v>
      </c>
      <c r="D1066" t="s">
        <v>18</v>
      </c>
      <c r="E1066" s="1">
        <v>44806</v>
      </c>
      <c r="F1066" t="s">
        <v>14</v>
      </c>
      <c r="G1066">
        <v>13651</v>
      </c>
      <c r="H1066">
        <v>6144</v>
      </c>
      <c r="I1066">
        <v>3.84</v>
      </c>
      <c r="J1066">
        <v>76</v>
      </c>
      <c r="P1066">
        <f t="shared" ca="1" si="65"/>
        <v>1046</v>
      </c>
      <c r="Q1066" t="str" cm="1">
        <f t="array" ref="Q1066">_xlfn.IFS(I1066&gt;=3.5,"Excellent", I1066&gt;3,"Good",I1066&gt;2,"Average",I1066&lt;2,"Poor")</f>
        <v>Excellent</v>
      </c>
      <c r="S1066" t="str">
        <f t="shared" si="66"/>
        <v xml:space="preserve"> </v>
      </c>
      <c r="U1066">
        <f t="shared" si="67"/>
        <v>2022</v>
      </c>
      <c r="AA1066" t="str">
        <f t="shared" ca="1" si="68"/>
        <v/>
      </c>
    </row>
    <row r="1067" spans="1:27" x14ac:dyDescent="0.3">
      <c r="A1067" t="s">
        <v>2155</v>
      </c>
      <c r="B1067" t="s">
        <v>2156</v>
      </c>
      <c r="C1067" t="s">
        <v>12</v>
      </c>
      <c r="D1067" t="s">
        <v>62</v>
      </c>
      <c r="E1067" s="1">
        <v>44714</v>
      </c>
      <c r="F1067" t="s">
        <v>14</v>
      </c>
      <c r="G1067">
        <v>4701</v>
      </c>
      <c r="H1067">
        <v>5681</v>
      </c>
      <c r="I1067">
        <v>2.84</v>
      </c>
      <c r="J1067">
        <v>44</v>
      </c>
      <c r="P1067">
        <f t="shared" ca="1" si="65"/>
        <v>1138</v>
      </c>
      <c r="Q1067" t="str" cm="1">
        <f t="array" ref="Q1067">_xlfn.IFS(I1067&gt;=3.5,"Excellent", I1067&gt;3,"Good",I1067&gt;2,"Average",I1067&lt;2,"Poor")</f>
        <v>Average</v>
      </c>
      <c r="S1067" t="b">
        <f t="shared" si="66"/>
        <v>1</v>
      </c>
      <c r="U1067">
        <f t="shared" si="67"/>
        <v>2022</v>
      </c>
      <c r="AA1067" t="str">
        <f t="shared" ca="1" si="68"/>
        <v/>
      </c>
    </row>
    <row r="1068" spans="1:27" x14ac:dyDescent="0.3">
      <c r="A1068" t="s">
        <v>2157</v>
      </c>
      <c r="B1068" t="s">
        <v>2158</v>
      </c>
      <c r="C1068" t="s">
        <v>17</v>
      </c>
      <c r="D1068" t="s">
        <v>62</v>
      </c>
      <c r="E1068" s="1">
        <v>45395</v>
      </c>
      <c r="F1068" t="s">
        <v>39</v>
      </c>
      <c r="G1068">
        <v>9016</v>
      </c>
      <c r="H1068">
        <v>7292</v>
      </c>
      <c r="I1068">
        <v>2.7</v>
      </c>
      <c r="J1068">
        <v>5</v>
      </c>
      <c r="P1068" t="str">
        <f t="shared" ca="1" si="65"/>
        <v xml:space="preserve"> </v>
      </c>
      <c r="Q1068" t="str" cm="1">
        <f t="array" ref="Q1068">_xlfn.IFS(I1068&gt;=3.5,"Excellent", I1068&gt;3,"Good",I1068&gt;2,"Average",I1068&lt;2,"Poor")</f>
        <v>Average</v>
      </c>
      <c r="S1068" t="b">
        <f t="shared" si="66"/>
        <v>1</v>
      </c>
      <c r="U1068">
        <f t="shared" si="67"/>
        <v>2024</v>
      </c>
      <c r="AA1068" t="str">
        <f t="shared" ca="1" si="68"/>
        <v/>
      </c>
    </row>
    <row r="1069" spans="1:27" x14ac:dyDescent="0.3">
      <c r="A1069" t="s">
        <v>2159</v>
      </c>
      <c r="B1069" t="s">
        <v>2160</v>
      </c>
      <c r="C1069" t="s">
        <v>54</v>
      </c>
      <c r="D1069" t="s">
        <v>18</v>
      </c>
      <c r="E1069" s="1">
        <v>45120</v>
      </c>
      <c r="F1069" t="s">
        <v>19</v>
      </c>
      <c r="G1069">
        <v>6208</v>
      </c>
      <c r="H1069">
        <v>6067</v>
      </c>
      <c r="I1069">
        <v>3.75</v>
      </c>
      <c r="J1069">
        <v>93</v>
      </c>
      <c r="P1069" t="str">
        <f t="shared" ca="1" si="65"/>
        <v xml:space="preserve"> </v>
      </c>
      <c r="Q1069" t="str" cm="1">
        <f t="array" ref="Q1069">_xlfn.IFS(I1069&gt;=3.5,"Excellent", I1069&gt;3,"Good",I1069&gt;2,"Average",I1069&lt;2,"Poor")</f>
        <v>Excellent</v>
      </c>
      <c r="S1069" t="b">
        <f t="shared" si="66"/>
        <v>1</v>
      </c>
      <c r="U1069">
        <f t="shared" si="67"/>
        <v>2023</v>
      </c>
      <c r="AA1069">
        <f t="shared" ca="1" si="68"/>
        <v>732</v>
      </c>
    </row>
    <row r="1070" spans="1:27" x14ac:dyDescent="0.3">
      <c r="A1070" t="s">
        <v>2161</v>
      </c>
      <c r="B1070" t="s">
        <v>2162</v>
      </c>
      <c r="C1070" t="s">
        <v>28</v>
      </c>
      <c r="D1070" t="s">
        <v>13</v>
      </c>
      <c r="E1070" s="1">
        <v>45090</v>
      </c>
      <c r="F1070" t="s">
        <v>19</v>
      </c>
      <c r="G1070">
        <v>5697</v>
      </c>
      <c r="H1070">
        <v>3573</v>
      </c>
      <c r="I1070">
        <v>3.77</v>
      </c>
      <c r="J1070">
        <v>79</v>
      </c>
      <c r="P1070" t="str">
        <f t="shared" ca="1" si="65"/>
        <v xml:space="preserve"> </v>
      </c>
      <c r="Q1070" t="str" cm="1">
        <f t="array" ref="Q1070">_xlfn.IFS(I1070&gt;=3.5,"Excellent", I1070&gt;3,"Good",I1070&gt;2,"Average",I1070&lt;2,"Poor")</f>
        <v>Excellent</v>
      </c>
      <c r="S1070" t="b">
        <f t="shared" si="66"/>
        <v>1</v>
      </c>
      <c r="U1070">
        <f t="shared" si="67"/>
        <v>2023</v>
      </c>
      <c r="AA1070">
        <f t="shared" ca="1" si="68"/>
        <v>762</v>
      </c>
    </row>
    <row r="1071" spans="1:27" x14ac:dyDescent="0.3">
      <c r="A1071" t="s">
        <v>2163</v>
      </c>
      <c r="B1071" t="s">
        <v>2164</v>
      </c>
      <c r="C1071" t="s">
        <v>22</v>
      </c>
      <c r="D1071" t="s">
        <v>31</v>
      </c>
      <c r="E1071" s="1">
        <v>44568</v>
      </c>
      <c r="F1071" t="s">
        <v>14</v>
      </c>
      <c r="G1071">
        <v>14742</v>
      </c>
      <c r="H1071">
        <v>445</v>
      </c>
      <c r="I1071">
        <v>2.5499999999999998</v>
      </c>
      <c r="J1071">
        <v>6</v>
      </c>
      <c r="P1071">
        <f t="shared" ca="1" si="65"/>
        <v>1284</v>
      </c>
      <c r="Q1071" t="str" cm="1">
        <f t="array" ref="Q1071">_xlfn.IFS(I1071&gt;=3.5,"Excellent", I1071&gt;3,"Good",I1071&gt;2,"Average",I1071&lt;2,"Poor")</f>
        <v>Average</v>
      </c>
      <c r="S1071" t="str">
        <f t="shared" si="66"/>
        <v xml:space="preserve"> </v>
      </c>
      <c r="U1071">
        <f t="shared" si="67"/>
        <v>2022</v>
      </c>
      <c r="AA1071" t="str">
        <f t="shared" ca="1" si="68"/>
        <v/>
      </c>
    </row>
    <row r="1072" spans="1:27" x14ac:dyDescent="0.3">
      <c r="A1072" t="s">
        <v>2165</v>
      </c>
      <c r="B1072" t="s">
        <v>2166</v>
      </c>
      <c r="C1072" t="s">
        <v>54</v>
      </c>
      <c r="D1072" t="s">
        <v>62</v>
      </c>
      <c r="E1072" s="1">
        <v>44740</v>
      </c>
      <c r="F1072" t="s">
        <v>19</v>
      </c>
      <c r="G1072">
        <v>2296</v>
      </c>
      <c r="H1072">
        <v>325</v>
      </c>
      <c r="I1072">
        <v>2.64</v>
      </c>
      <c r="J1072">
        <v>71</v>
      </c>
      <c r="P1072" t="str">
        <f t="shared" ca="1" si="65"/>
        <v xml:space="preserve"> </v>
      </c>
      <c r="Q1072" t="str" cm="1">
        <f t="array" ref="Q1072">_xlfn.IFS(I1072&gt;=3.5,"Excellent", I1072&gt;3,"Good",I1072&gt;2,"Average",I1072&lt;2,"Poor")</f>
        <v>Average</v>
      </c>
      <c r="S1072" t="str">
        <f t="shared" si="66"/>
        <v xml:space="preserve"> </v>
      </c>
      <c r="U1072">
        <f t="shared" si="67"/>
        <v>2022</v>
      </c>
      <c r="AA1072">
        <f t="shared" ca="1" si="68"/>
        <v>1112</v>
      </c>
    </row>
    <row r="1073" spans="1:27" x14ac:dyDescent="0.3">
      <c r="A1073" t="s">
        <v>2167</v>
      </c>
      <c r="B1073" t="s">
        <v>2168</v>
      </c>
      <c r="C1073" t="s">
        <v>57</v>
      </c>
      <c r="D1073" t="s">
        <v>62</v>
      </c>
      <c r="E1073" s="1">
        <v>45231</v>
      </c>
      <c r="F1073" t="s">
        <v>14</v>
      </c>
      <c r="G1073">
        <v>10330</v>
      </c>
      <c r="H1073">
        <v>5973</v>
      </c>
      <c r="I1073">
        <v>2.65</v>
      </c>
      <c r="J1073">
        <v>50</v>
      </c>
      <c r="P1073">
        <f t="shared" ca="1" si="65"/>
        <v>621</v>
      </c>
      <c r="Q1073" t="str" cm="1">
        <f t="array" ref="Q1073">_xlfn.IFS(I1073&gt;=3.5,"Excellent", I1073&gt;3,"Good",I1073&gt;2,"Average",I1073&lt;2,"Poor")</f>
        <v>Average</v>
      </c>
      <c r="S1073" t="b">
        <f t="shared" si="66"/>
        <v>1</v>
      </c>
      <c r="U1073">
        <f t="shared" si="67"/>
        <v>2023</v>
      </c>
      <c r="AA1073" t="str">
        <f t="shared" ca="1" si="68"/>
        <v/>
      </c>
    </row>
    <row r="1074" spans="1:27" x14ac:dyDescent="0.3">
      <c r="A1074" t="s">
        <v>2169</v>
      </c>
      <c r="B1074" t="s">
        <v>2170</v>
      </c>
      <c r="C1074" t="s">
        <v>28</v>
      </c>
      <c r="D1074" t="s">
        <v>13</v>
      </c>
      <c r="E1074" s="1">
        <v>45271</v>
      </c>
      <c r="F1074" t="s">
        <v>39</v>
      </c>
      <c r="G1074">
        <v>2000</v>
      </c>
      <c r="H1074">
        <v>8608</v>
      </c>
      <c r="I1074">
        <v>3.95</v>
      </c>
      <c r="J1074">
        <v>2</v>
      </c>
      <c r="P1074" t="str">
        <f t="shared" ca="1" si="65"/>
        <v xml:space="preserve"> </v>
      </c>
      <c r="Q1074" t="str" cm="1">
        <f t="array" ref="Q1074">_xlfn.IFS(I1074&gt;=3.5,"Excellent", I1074&gt;3,"Good",I1074&gt;2,"Average",I1074&lt;2,"Poor")</f>
        <v>Excellent</v>
      </c>
      <c r="S1074" t="b">
        <f t="shared" si="66"/>
        <v>1</v>
      </c>
      <c r="U1074">
        <f t="shared" si="67"/>
        <v>2023</v>
      </c>
      <c r="AA1074" t="str">
        <f t="shared" ca="1" si="68"/>
        <v/>
      </c>
    </row>
    <row r="1075" spans="1:27" x14ac:dyDescent="0.3">
      <c r="A1075" t="s">
        <v>2171</v>
      </c>
      <c r="B1075" t="s">
        <v>2172</v>
      </c>
      <c r="C1075" t="s">
        <v>57</v>
      </c>
      <c r="D1075" t="s">
        <v>18</v>
      </c>
      <c r="E1075" s="1">
        <v>44982</v>
      </c>
      <c r="F1075" t="s">
        <v>19</v>
      </c>
      <c r="G1075">
        <v>8970</v>
      </c>
      <c r="H1075">
        <v>6430</v>
      </c>
      <c r="I1075">
        <v>2.04</v>
      </c>
      <c r="J1075">
        <v>97</v>
      </c>
      <c r="P1075" t="str">
        <f t="shared" ca="1" si="65"/>
        <v xml:space="preserve"> </v>
      </c>
      <c r="Q1075" t="str" cm="1">
        <f t="array" ref="Q1075">_xlfn.IFS(I1075&gt;=3.5,"Excellent", I1075&gt;3,"Good",I1075&gt;2,"Average",I1075&lt;2,"Poor")</f>
        <v>Average</v>
      </c>
      <c r="S1075" t="b">
        <f t="shared" si="66"/>
        <v>1</v>
      </c>
      <c r="U1075">
        <f t="shared" si="67"/>
        <v>2023</v>
      </c>
      <c r="AA1075">
        <f t="shared" ca="1" si="68"/>
        <v>870</v>
      </c>
    </row>
    <row r="1076" spans="1:27" x14ac:dyDescent="0.3">
      <c r="A1076" t="s">
        <v>2173</v>
      </c>
      <c r="B1076" t="s">
        <v>2174</v>
      </c>
      <c r="C1076" t="s">
        <v>57</v>
      </c>
      <c r="D1076" t="s">
        <v>18</v>
      </c>
      <c r="E1076" s="1">
        <v>45126</v>
      </c>
      <c r="F1076" t="s">
        <v>19</v>
      </c>
      <c r="G1076">
        <v>5560</v>
      </c>
      <c r="H1076">
        <v>6629</v>
      </c>
      <c r="I1076">
        <v>2.4700000000000002</v>
      </c>
      <c r="J1076">
        <v>66</v>
      </c>
      <c r="P1076" t="str">
        <f t="shared" ca="1" si="65"/>
        <v xml:space="preserve"> </v>
      </c>
      <c r="Q1076" t="str" cm="1">
        <f t="array" ref="Q1076">_xlfn.IFS(I1076&gt;=3.5,"Excellent", I1076&gt;3,"Good",I1076&gt;2,"Average",I1076&lt;2,"Poor")</f>
        <v>Average</v>
      </c>
      <c r="S1076" t="b">
        <f t="shared" si="66"/>
        <v>1</v>
      </c>
      <c r="U1076">
        <f t="shared" si="67"/>
        <v>2023</v>
      </c>
      <c r="AA1076">
        <f t="shared" ca="1" si="68"/>
        <v>726</v>
      </c>
    </row>
    <row r="1077" spans="1:27" x14ac:dyDescent="0.3">
      <c r="A1077" t="s">
        <v>2175</v>
      </c>
      <c r="B1077" t="s">
        <v>2176</v>
      </c>
      <c r="C1077" t="s">
        <v>12</v>
      </c>
      <c r="D1077" t="s">
        <v>13</v>
      </c>
      <c r="E1077" s="1">
        <v>45196</v>
      </c>
      <c r="F1077" t="s">
        <v>14</v>
      </c>
      <c r="G1077">
        <v>7903</v>
      </c>
      <c r="H1077">
        <v>897</v>
      </c>
      <c r="I1077">
        <v>2.0699999999999998</v>
      </c>
      <c r="J1077">
        <v>110</v>
      </c>
      <c r="P1077">
        <f t="shared" ca="1" si="65"/>
        <v>656</v>
      </c>
      <c r="Q1077" t="str" cm="1">
        <f t="array" ref="Q1077">_xlfn.IFS(I1077&gt;=3.5,"Excellent", I1077&gt;3,"Good",I1077&gt;2,"Average",I1077&lt;2,"Poor")</f>
        <v>Average</v>
      </c>
      <c r="S1077" t="str">
        <f t="shared" si="66"/>
        <v xml:space="preserve"> </v>
      </c>
      <c r="U1077">
        <f t="shared" si="67"/>
        <v>2023</v>
      </c>
      <c r="AA1077" t="str">
        <f t="shared" ca="1" si="68"/>
        <v/>
      </c>
    </row>
    <row r="1078" spans="1:27" x14ac:dyDescent="0.3">
      <c r="A1078" t="s">
        <v>2177</v>
      </c>
      <c r="B1078" t="s">
        <v>2178</v>
      </c>
      <c r="C1078" t="s">
        <v>57</v>
      </c>
      <c r="D1078" t="s">
        <v>31</v>
      </c>
      <c r="E1078" s="1">
        <v>45104</v>
      </c>
      <c r="F1078" t="s">
        <v>14</v>
      </c>
      <c r="G1078">
        <v>4119</v>
      </c>
      <c r="H1078">
        <v>8833</v>
      </c>
      <c r="I1078">
        <v>3.31</v>
      </c>
      <c r="J1078">
        <v>74</v>
      </c>
      <c r="P1078">
        <f t="shared" ca="1" si="65"/>
        <v>748</v>
      </c>
      <c r="Q1078" t="str" cm="1">
        <f t="array" ref="Q1078">_xlfn.IFS(I1078&gt;=3.5,"Excellent", I1078&gt;3,"Good",I1078&gt;2,"Average",I1078&lt;2,"Poor")</f>
        <v>Good</v>
      </c>
      <c r="S1078" t="b">
        <f t="shared" si="66"/>
        <v>1</v>
      </c>
      <c r="U1078">
        <f t="shared" si="67"/>
        <v>2023</v>
      </c>
      <c r="AA1078" t="str">
        <f t="shared" ca="1" si="68"/>
        <v/>
      </c>
    </row>
    <row r="1079" spans="1:27" x14ac:dyDescent="0.3">
      <c r="A1079" t="s">
        <v>2179</v>
      </c>
      <c r="B1079" t="s">
        <v>2180</v>
      </c>
      <c r="C1079" t="s">
        <v>28</v>
      </c>
      <c r="D1079" t="s">
        <v>62</v>
      </c>
      <c r="E1079" s="1">
        <v>45378</v>
      </c>
      <c r="F1079" t="s">
        <v>39</v>
      </c>
      <c r="G1079">
        <v>7853</v>
      </c>
      <c r="H1079">
        <v>2032</v>
      </c>
      <c r="I1079">
        <v>3.33</v>
      </c>
      <c r="J1079">
        <v>96</v>
      </c>
      <c r="P1079" t="str">
        <f t="shared" ca="1" si="65"/>
        <v xml:space="preserve"> </v>
      </c>
      <c r="Q1079" t="str" cm="1">
        <f t="array" ref="Q1079">_xlfn.IFS(I1079&gt;=3.5,"Excellent", I1079&gt;3,"Good",I1079&gt;2,"Average",I1079&lt;2,"Poor")</f>
        <v>Good</v>
      </c>
      <c r="S1079" t="str">
        <f t="shared" si="66"/>
        <v xml:space="preserve"> </v>
      </c>
      <c r="U1079">
        <f t="shared" si="67"/>
        <v>2024</v>
      </c>
      <c r="AA1079" t="str">
        <f t="shared" ca="1" si="68"/>
        <v/>
      </c>
    </row>
    <row r="1080" spans="1:27" x14ac:dyDescent="0.3">
      <c r="A1080" t="s">
        <v>2181</v>
      </c>
      <c r="B1080" t="s">
        <v>2182</v>
      </c>
      <c r="C1080" t="s">
        <v>12</v>
      </c>
      <c r="D1080" t="s">
        <v>13</v>
      </c>
      <c r="E1080" s="1">
        <v>44918</v>
      </c>
      <c r="F1080" t="s">
        <v>39</v>
      </c>
      <c r="G1080">
        <v>7107</v>
      </c>
      <c r="H1080">
        <v>1911</v>
      </c>
      <c r="I1080">
        <v>2.87</v>
      </c>
      <c r="J1080">
        <v>73</v>
      </c>
      <c r="P1080" t="str">
        <f t="shared" ca="1" si="65"/>
        <v xml:space="preserve"> </v>
      </c>
      <c r="Q1080" t="str" cm="1">
        <f t="array" ref="Q1080">_xlfn.IFS(I1080&gt;=3.5,"Excellent", I1080&gt;3,"Good",I1080&gt;2,"Average",I1080&lt;2,"Poor")</f>
        <v>Average</v>
      </c>
      <c r="S1080" t="str">
        <f t="shared" si="66"/>
        <v xml:space="preserve"> </v>
      </c>
      <c r="U1080">
        <f t="shared" si="67"/>
        <v>2022</v>
      </c>
      <c r="AA1080" t="str">
        <f t="shared" ca="1" si="68"/>
        <v/>
      </c>
    </row>
    <row r="1081" spans="1:27" x14ac:dyDescent="0.3">
      <c r="A1081" t="s">
        <v>2183</v>
      </c>
      <c r="B1081" t="s">
        <v>2184</v>
      </c>
      <c r="C1081" t="s">
        <v>17</v>
      </c>
      <c r="D1081" t="s">
        <v>18</v>
      </c>
      <c r="E1081" s="1">
        <v>45385</v>
      </c>
      <c r="F1081" t="s">
        <v>14</v>
      </c>
      <c r="G1081">
        <v>3245</v>
      </c>
      <c r="H1081">
        <v>6823</v>
      </c>
      <c r="I1081">
        <v>2.5</v>
      </c>
      <c r="J1081">
        <v>16</v>
      </c>
      <c r="P1081">
        <f t="shared" ca="1" si="65"/>
        <v>467</v>
      </c>
      <c r="Q1081" t="str" cm="1">
        <f t="array" ref="Q1081">_xlfn.IFS(I1081&gt;=3.5,"Excellent", I1081&gt;3,"Good",I1081&gt;2,"Average",I1081&lt;2,"Poor")</f>
        <v>Average</v>
      </c>
      <c r="S1081" t="b">
        <f t="shared" si="66"/>
        <v>1</v>
      </c>
      <c r="U1081">
        <f t="shared" si="67"/>
        <v>2024</v>
      </c>
      <c r="AA1081" t="str">
        <f t="shared" ca="1" si="68"/>
        <v/>
      </c>
    </row>
    <row r="1082" spans="1:27" x14ac:dyDescent="0.3">
      <c r="A1082" t="s">
        <v>2185</v>
      </c>
      <c r="B1082" t="s">
        <v>2186</v>
      </c>
      <c r="C1082" t="s">
        <v>17</v>
      </c>
      <c r="D1082" t="s">
        <v>13</v>
      </c>
      <c r="E1082" s="1">
        <v>45387</v>
      </c>
      <c r="F1082" t="s">
        <v>14</v>
      </c>
      <c r="G1082">
        <v>4892</v>
      </c>
      <c r="H1082">
        <v>7034</v>
      </c>
      <c r="I1082">
        <v>3.83</v>
      </c>
      <c r="J1082">
        <v>43</v>
      </c>
      <c r="P1082">
        <f t="shared" ca="1" si="65"/>
        <v>465</v>
      </c>
      <c r="Q1082" t="str" cm="1">
        <f t="array" ref="Q1082">_xlfn.IFS(I1082&gt;=3.5,"Excellent", I1082&gt;3,"Good",I1082&gt;2,"Average",I1082&lt;2,"Poor")</f>
        <v>Excellent</v>
      </c>
      <c r="S1082" t="b">
        <f t="shared" si="66"/>
        <v>1</v>
      </c>
      <c r="U1082">
        <f t="shared" si="67"/>
        <v>2024</v>
      </c>
      <c r="AA1082" t="str">
        <f t="shared" ca="1" si="68"/>
        <v/>
      </c>
    </row>
    <row r="1083" spans="1:27" x14ac:dyDescent="0.3">
      <c r="A1083" t="s">
        <v>2187</v>
      </c>
      <c r="B1083" t="s">
        <v>2188</v>
      </c>
      <c r="C1083" t="s">
        <v>54</v>
      </c>
      <c r="D1083" t="s">
        <v>62</v>
      </c>
      <c r="E1083" s="1">
        <v>44846</v>
      </c>
      <c r="F1083" t="s">
        <v>14</v>
      </c>
      <c r="G1083">
        <v>5130</v>
      </c>
      <c r="H1083">
        <v>9628</v>
      </c>
      <c r="I1083">
        <v>2.56</v>
      </c>
      <c r="J1083">
        <v>113</v>
      </c>
      <c r="P1083">
        <f t="shared" ca="1" si="65"/>
        <v>1006</v>
      </c>
      <c r="Q1083" t="str" cm="1">
        <f t="array" ref="Q1083">_xlfn.IFS(I1083&gt;=3.5,"Excellent", I1083&gt;3,"Good",I1083&gt;2,"Average",I1083&lt;2,"Poor")</f>
        <v>Average</v>
      </c>
      <c r="S1083" t="b">
        <f t="shared" si="66"/>
        <v>1</v>
      </c>
      <c r="U1083">
        <f t="shared" si="67"/>
        <v>2022</v>
      </c>
      <c r="AA1083" t="str">
        <f t="shared" ca="1" si="68"/>
        <v/>
      </c>
    </row>
    <row r="1084" spans="1:27" x14ac:dyDescent="0.3">
      <c r="A1084" t="s">
        <v>2189</v>
      </c>
      <c r="B1084" t="s">
        <v>2190</v>
      </c>
      <c r="C1084" t="s">
        <v>25</v>
      </c>
      <c r="D1084" t="s">
        <v>62</v>
      </c>
      <c r="E1084" s="1">
        <v>44831</v>
      </c>
      <c r="F1084" t="s">
        <v>14</v>
      </c>
      <c r="G1084">
        <v>12773</v>
      </c>
      <c r="H1084">
        <v>1546</v>
      </c>
      <c r="I1084">
        <v>3.89</v>
      </c>
      <c r="J1084">
        <v>96</v>
      </c>
      <c r="P1084">
        <f t="shared" ca="1" si="65"/>
        <v>1021</v>
      </c>
      <c r="Q1084" t="str" cm="1">
        <f t="array" ref="Q1084">_xlfn.IFS(I1084&gt;=3.5,"Excellent", I1084&gt;3,"Good",I1084&gt;2,"Average",I1084&lt;2,"Poor")</f>
        <v>Excellent</v>
      </c>
      <c r="S1084" t="str">
        <f t="shared" si="66"/>
        <v xml:space="preserve"> </v>
      </c>
      <c r="U1084">
        <f t="shared" si="67"/>
        <v>2022</v>
      </c>
      <c r="AA1084" t="str">
        <f t="shared" ca="1" si="68"/>
        <v/>
      </c>
    </row>
    <row r="1085" spans="1:27" x14ac:dyDescent="0.3">
      <c r="A1085" t="s">
        <v>2191</v>
      </c>
      <c r="B1085" t="s">
        <v>2192</v>
      </c>
      <c r="C1085" t="s">
        <v>54</v>
      </c>
      <c r="D1085" t="s">
        <v>18</v>
      </c>
      <c r="E1085" s="1">
        <v>44758</v>
      </c>
      <c r="F1085" t="s">
        <v>19</v>
      </c>
      <c r="G1085">
        <v>11415</v>
      </c>
      <c r="H1085">
        <v>2626</v>
      </c>
      <c r="I1085">
        <v>3.4</v>
      </c>
      <c r="J1085">
        <v>5</v>
      </c>
      <c r="P1085" t="str">
        <f t="shared" ca="1" si="65"/>
        <v xml:space="preserve"> </v>
      </c>
      <c r="Q1085" t="str" cm="1">
        <f t="array" ref="Q1085">_xlfn.IFS(I1085&gt;=3.5,"Excellent", I1085&gt;3,"Good",I1085&gt;2,"Average",I1085&lt;2,"Poor")</f>
        <v>Good</v>
      </c>
      <c r="S1085" t="str">
        <f t="shared" si="66"/>
        <v xml:space="preserve"> </v>
      </c>
      <c r="U1085">
        <f t="shared" si="67"/>
        <v>2022</v>
      </c>
      <c r="AA1085">
        <f t="shared" ca="1" si="68"/>
        <v>1094</v>
      </c>
    </row>
    <row r="1086" spans="1:27" x14ac:dyDescent="0.3">
      <c r="A1086" t="s">
        <v>2193</v>
      </c>
      <c r="B1086" t="s">
        <v>2194</v>
      </c>
      <c r="C1086" t="s">
        <v>54</v>
      </c>
      <c r="D1086" t="s">
        <v>62</v>
      </c>
      <c r="E1086" s="1">
        <v>44772</v>
      </c>
      <c r="F1086" t="s">
        <v>14</v>
      </c>
      <c r="G1086">
        <v>8463</v>
      </c>
      <c r="H1086">
        <v>6739</v>
      </c>
      <c r="I1086">
        <v>3.87</v>
      </c>
      <c r="J1086">
        <v>33</v>
      </c>
      <c r="P1086">
        <f t="shared" ca="1" si="65"/>
        <v>1080</v>
      </c>
      <c r="Q1086" t="str" cm="1">
        <f t="array" ref="Q1086">_xlfn.IFS(I1086&gt;=3.5,"Excellent", I1086&gt;3,"Good",I1086&gt;2,"Average",I1086&lt;2,"Poor")</f>
        <v>Excellent</v>
      </c>
      <c r="S1086" t="b">
        <f t="shared" si="66"/>
        <v>1</v>
      </c>
      <c r="U1086">
        <f t="shared" si="67"/>
        <v>2022</v>
      </c>
      <c r="AA1086" t="str">
        <f t="shared" ca="1" si="68"/>
        <v/>
      </c>
    </row>
    <row r="1087" spans="1:27" x14ac:dyDescent="0.3">
      <c r="A1087" t="s">
        <v>2195</v>
      </c>
      <c r="B1087" t="s">
        <v>2196</v>
      </c>
      <c r="C1087" t="s">
        <v>36</v>
      </c>
      <c r="D1087" t="s">
        <v>62</v>
      </c>
      <c r="E1087" s="1">
        <v>44618</v>
      </c>
      <c r="F1087" t="s">
        <v>14</v>
      </c>
      <c r="G1087">
        <v>13713</v>
      </c>
      <c r="H1087">
        <v>3304</v>
      </c>
      <c r="I1087">
        <v>3.81</v>
      </c>
      <c r="J1087">
        <v>54</v>
      </c>
      <c r="P1087">
        <f t="shared" ca="1" si="65"/>
        <v>1234</v>
      </c>
      <c r="Q1087" t="str" cm="1">
        <f t="array" ref="Q1087">_xlfn.IFS(I1087&gt;=3.5,"Excellent", I1087&gt;3,"Good",I1087&gt;2,"Average",I1087&lt;2,"Poor")</f>
        <v>Excellent</v>
      </c>
      <c r="S1087" t="str">
        <f t="shared" si="66"/>
        <v xml:space="preserve"> </v>
      </c>
      <c r="U1087">
        <f t="shared" si="67"/>
        <v>2022</v>
      </c>
      <c r="AA1087" t="str">
        <f t="shared" ca="1" si="68"/>
        <v/>
      </c>
    </row>
    <row r="1088" spans="1:27" x14ac:dyDescent="0.3">
      <c r="A1088" t="s">
        <v>2197</v>
      </c>
      <c r="B1088" t="s">
        <v>2198</v>
      </c>
      <c r="C1088" t="s">
        <v>28</v>
      </c>
      <c r="D1088" t="s">
        <v>62</v>
      </c>
      <c r="E1088" s="1">
        <v>44594</v>
      </c>
      <c r="F1088" t="s">
        <v>14</v>
      </c>
      <c r="G1088">
        <v>10725</v>
      </c>
      <c r="H1088">
        <v>6124</v>
      </c>
      <c r="I1088">
        <v>3.94</v>
      </c>
      <c r="J1088">
        <v>41</v>
      </c>
      <c r="P1088">
        <f t="shared" ca="1" si="65"/>
        <v>1258</v>
      </c>
      <c r="Q1088" t="str" cm="1">
        <f t="array" ref="Q1088">_xlfn.IFS(I1088&gt;=3.5,"Excellent", I1088&gt;3,"Good",I1088&gt;2,"Average",I1088&lt;2,"Poor")</f>
        <v>Excellent</v>
      </c>
      <c r="S1088" t="b">
        <f t="shared" si="66"/>
        <v>1</v>
      </c>
      <c r="U1088">
        <f t="shared" si="67"/>
        <v>2022</v>
      </c>
      <c r="AA1088" t="str">
        <f t="shared" ca="1" si="68"/>
        <v/>
      </c>
    </row>
    <row r="1089" spans="1:27" x14ac:dyDescent="0.3">
      <c r="A1089" t="s">
        <v>2199</v>
      </c>
      <c r="B1089" t="s">
        <v>2200</v>
      </c>
      <c r="C1089" t="s">
        <v>17</v>
      </c>
      <c r="D1089" t="s">
        <v>62</v>
      </c>
      <c r="E1089" s="1">
        <v>45105</v>
      </c>
      <c r="F1089" t="s">
        <v>39</v>
      </c>
      <c r="G1089">
        <v>11630</v>
      </c>
      <c r="H1089">
        <v>7578</v>
      </c>
      <c r="I1089">
        <v>3.65</v>
      </c>
      <c r="J1089">
        <v>111</v>
      </c>
      <c r="P1089" t="str">
        <f t="shared" ca="1" si="65"/>
        <v xml:space="preserve"> </v>
      </c>
      <c r="Q1089" t="str" cm="1">
        <f t="array" ref="Q1089">_xlfn.IFS(I1089&gt;=3.5,"Excellent", I1089&gt;3,"Good",I1089&gt;2,"Average",I1089&lt;2,"Poor")</f>
        <v>Excellent</v>
      </c>
      <c r="S1089" t="b">
        <f t="shared" si="66"/>
        <v>1</v>
      </c>
      <c r="U1089">
        <f t="shared" si="67"/>
        <v>2023</v>
      </c>
      <c r="AA1089" t="str">
        <f t="shared" ca="1" si="68"/>
        <v/>
      </c>
    </row>
    <row r="1090" spans="1:27" x14ac:dyDescent="0.3">
      <c r="A1090" t="s">
        <v>2201</v>
      </c>
      <c r="B1090" t="s">
        <v>2202</v>
      </c>
      <c r="C1090" t="s">
        <v>54</v>
      </c>
      <c r="D1090" t="s">
        <v>31</v>
      </c>
      <c r="E1090" s="1">
        <v>45413</v>
      </c>
      <c r="F1090" t="s">
        <v>14</v>
      </c>
      <c r="G1090">
        <v>12478</v>
      </c>
      <c r="H1090">
        <v>8335</v>
      </c>
      <c r="I1090">
        <v>3.01</v>
      </c>
      <c r="J1090">
        <v>22</v>
      </c>
      <c r="P1090">
        <f t="shared" ca="1" si="65"/>
        <v>439</v>
      </c>
      <c r="Q1090" t="str" cm="1">
        <f t="array" ref="Q1090">_xlfn.IFS(I1090&gt;=3.5,"Excellent", I1090&gt;3,"Good",I1090&gt;2,"Average",I1090&lt;2,"Poor")</f>
        <v>Good</v>
      </c>
      <c r="S1090" t="b">
        <f t="shared" si="66"/>
        <v>1</v>
      </c>
      <c r="U1090">
        <f t="shared" si="67"/>
        <v>2024</v>
      </c>
      <c r="AA1090" t="str">
        <f t="shared" ca="1" si="68"/>
        <v/>
      </c>
    </row>
    <row r="1091" spans="1:27" x14ac:dyDescent="0.3">
      <c r="A1091" t="s">
        <v>2203</v>
      </c>
      <c r="B1091" t="s">
        <v>2204</v>
      </c>
      <c r="C1091" t="s">
        <v>22</v>
      </c>
      <c r="D1091" t="s">
        <v>62</v>
      </c>
      <c r="E1091" s="1">
        <v>44725</v>
      </c>
      <c r="F1091" t="s">
        <v>39</v>
      </c>
      <c r="G1091">
        <v>8685</v>
      </c>
      <c r="H1091">
        <v>2204</v>
      </c>
      <c r="I1091">
        <v>2.29</v>
      </c>
      <c r="J1091">
        <v>1</v>
      </c>
      <c r="P1091" t="str">
        <f t="shared" ref="P1091:P1154" ca="1" si="69">IF(F1091="Enrolled",TODAY()-E1091, " ")</f>
        <v xml:space="preserve"> </v>
      </c>
      <c r="Q1091" t="str" cm="1">
        <f t="array" ref="Q1091">_xlfn.IFS(I1091&gt;=3.5,"Excellent", I1091&gt;3,"Good",I1091&gt;2,"Average",I1091&lt;2,"Poor")</f>
        <v>Average</v>
      </c>
      <c r="S1091" t="str">
        <f t="shared" ref="S1091:S1154" si="70">IF(H1091&gt;0.5*G1091,TRUE, " " )</f>
        <v xml:space="preserve"> </v>
      </c>
      <c r="U1091">
        <f t="shared" ref="U1091:U1154" si="71">YEAR(E1091)</f>
        <v>2022</v>
      </c>
      <c r="AA1091" t="str">
        <f t="shared" ref="AA1091:AA1154" ca="1" si="72">IF(F1091="Completed",TODAY()-E1091,"")</f>
        <v/>
      </c>
    </row>
    <row r="1092" spans="1:27" x14ac:dyDescent="0.3">
      <c r="A1092" t="s">
        <v>2205</v>
      </c>
      <c r="B1092" t="s">
        <v>2206</v>
      </c>
      <c r="C1092" t="s">
        <v>36</v>
      </c>
      <c r="D1092" t="s">
        <v>62</v>
      </c>
      <c r="E1092" s="1">
        <v>44983</v>
      </c>
      <c r="F1092" t="s">
        <v>14</v>
      </c>
      <c r="G1092">
        <v>6591</v>
      </c>
      <c r="H1092">
        <v>8495</v>
      </c>
      <c r="I1092">
        <v>2.29</v>
      </c>
      <c r="J1092">
        <v>46</v>
      </c>
      <c r="P1092">
        <f t="shared" ca="1" si="69"/>
        <v>869</v>
      </c>
      <c r="Q1092" t="str" cm="1">
        <f t="array" ref="Q1092">_xlfn.IFS(I1092&gt;=3.5,"Excellent", I1092&gt;3,"Good",I1092&gt;2,"Average",I1092&lt;2,"Poor")</f>
        <v>Average</v>
      </c>
      <c r="S1092" t="b">
        <f t="shared" si="70"/>
        <v>1</v>
      </c>
      <c r="U1092">
        <f t="shared" si="71"/>
        <v>2023</v>
      </c>
      <c r="AA1092" t="str">
        <f t="shared" ca="1" si="72"/>
        <v/>
      </c>
    </row>
    <row r="1093" spans="1:27" x14ac:dyDescent="0.3">
      <c r="A1093" t="s">
        <v>2207</v>
      </c>
      <c r="B1093" t="s">
        <v>2208</v>
      </c>
      <c r="C1093" t="s">
        <v>36</v>
      </c>
      <c r="D1093" t="s">
        <v>62</v>
      </c>
      <c r="E1093" s="1">
        <v>44983</v>
      </c>
      <c r="F1093" t="s">
        <v>14</v>
      </c>
      <c r="G1093">
        <v>8141</v>
      </c>
      <c r="H1093">
        <v>7905</v>
      </c>
      <c r="I1093">
        <v>2.77</v>
      </c>
      <c r="J1093">
        <v>46</v>
      </c>
      <c r="P1093">
        <f t="shared" ca="1" si="69"/>
        <v>869</v>
      </c>
      <c r="Q1093" t="str" cm="1">
        <f t="array" ref="Q1093">_xlfn.IFS(I1093&gt;=3.5,"Excellent", I1093&gt;3,"Good",I1093&gt;2,"Average",I1093&lt;2,"Poor")</f>
        <v>Average</v>
      </c>
      <c r="S1093" t="b">
        <f t="shared" si="70"/>
        <v>1</v>
      </c>
      <c r="U1093">
        <f t="shared" si="71"/>
        <v>2023</v>
      </c>
      <c r="AA1093" t="str">
        <f t="shared" ca="1" si="72"/>
        <v/>
      </c>
    </row>
    <row r="1094" spans="1:27" x14ac:dyDescent="0.3">
      <c r="A1094" t="s">
        <v>2209</v>
      </c>
      <c r="B1094" t="s">
        <v>2210</v>
      </c>
      <c r="C1094" t="s">
        <v>17</v>
      </c>
      <c r="D1094" t="s">
        <v>31</v>
      </c>
      <c r="E1094" s="1">
        <v>44635</v>
      </c>
      <c r="F1094" t="s">
        <v>14</v>
      </c>
      <c r="G1094">
        <v>3019</v>
      </c>
      <c r="H1094">
        <v>6321</v>
      </c>
      <c r="I1094">
        <v>2.82</v>
      </c>
      <c r="J1094">
        <v>79</v>
      </c>
      <c r="P1094">
        <f t="shared" ca="1" si="69"/>
        <v>1217</v>
      </c>
      <c r="Q1094" t="str" cm="1">
        <f t="array" ref="Q1094">_xlfn.IFS(I1094&gt;=3.5,"Excellent", I1094&gt;3,"Good",I1094&gt;2,"Average",I1094&lt;2,"Poor")</f>
        <v>Average</v>
      </c>
      <c r="S1094" t="b">
        <f t="shared" si="70"/>
        <v>1</v>
      </c>
      <c r="U1094">
        <f t="shared" si="71"/>
        <v>2022</v>
      </c>
      <c r="AA1094" t="str">
        <f t="shared" ca="1" si="72"/>
        <v/>
      </c>
    </row>
    <row r="1095" spans="1:27" x14ac:dyDescent="0.3">
      <c r="A1095" t="s">
        <v>2211</v>
      </c>
      <c r="B1095" t="s">
        <v>2212</v>
      </c>
      <c r="C1095" t="s">
        <v>57</v>
      </c>
      <c r="D1095" t="s">
        <v>31</v>
      </c>
      <c r="E1095" s="1">
        <v>45283</v>
      </c>
      <c r="F1095" t="s">
        <v>19</v>
      </c>
      <c r="G1095">
        <v>8929</v>
      </c>
      <c r="H1095">
        <v>7083</v>
      </c>
      <c r="I1095">
        <v>2.68</v>
      </c>
      <c r="J1095">
        <v>104</v>
      </c>
      <c r="P1095" t="str">
        <f t="shared" ca="1" si="69"/>
        <v xml:space="preserve"> </v>
      </c>
      <c r="Q1095" t="str" cm="1">
        <f t="array" ref="Q1095">_xlfn.IFS(I1095&gt;=3.5,"Excellent", I1095&gt;3,"Good",I1095&gt;2,"Average",I1095&lt;2,"Poor")</f>
        <v>Average</v>
      </c>
      <c r="S1095" t="b">
        <f t="shared" si="70"/>
        <v>1</v>
      </c>
      <c r="U1095">
        <f t="shared" si="71"/>
        <v>2023</v>
      </c>
      <c r="AA1095">
        <f t="shared" ca="1" si="72"/>
        <v>569</v>
      </c>
    </row>
    <row r="1096" spans="1:27" x14ac:dyDescent="0.3">
      <c r="A1096" t="s">
        <v>2213</v>
      </c>
      <c r="B1096" t="s">
        <v>2214</v>
      </c>
      <c r="C1096" t="s">
        <v>57</v>
      </c>
      <c r="D1096" t="s">
        <v>62</v>
      </c>
      <c r="E1096" s="1">
        <v>44576</v>
      </c>
      <c r="F1096" t="s">
        <v>14</v>
      </c>
      <c r="G1096">
        <v>11878</v>
      </c>
      <c r="H1096">
        <v>4182</v>
      </c>
      <c r="I1096">
        <v>3.52</v>
      </c>
      <c r="J1096">
        <v>96</v>
      </c>
      <c r="P1096">
        <f t="shared" ca="1" si="69"/>
        <v>1276</v>
      </c>
      <c r="Q1096" t="str" cm="1">
        <f t="array" ref="Q1096">_xlfn.IFS(I1096&gt;=3.5,"Excellent", I1096&gt;3,"Good",I1096&gt;2,"Average",I1096&lt;2,"Poor")</f>
        <v>Excellent</v>
      </c>
      <c r="S1096" t="str">
        <f t="shared" si="70"/>
        <v xml:space="preserve"> </v>
      </c>
      <c r="U1096">
        <f t="shared" si="71"/>
        <v>2022</v>
      </c>
      <c r="AA1096" t="str">
        <f t="shared" ca="1" si="72"/>
        <v/>
      </c>
    </row>
    <row r="1097" spans="1:27" x14ac:dyDescent="0.3">
      <c r="A1097" t="s">
        <v>2215</v>
      </c>
      <c r="B1097" t="s">
        <v>2216</v>
      </c>
      <c r="C1097" t="s">
        <v>36</v>
      </c>
      <c r="D1097" t="s">
        <v>13</v>
      </c>
      <c r="E1097" s="1">
        <v>45259</v>
      </c>
      <c r="F1097" t="s">
        <v>19</v>
      </c>
      <c r="G1097">
        <v>11961</v>
      </c>
      <c r="H1097">
        <v>8528</v>
      </c>
      <c r="I1097">
        <v>3.72</v>
      </c>
      <c r="J1097">
        <v>16</v>
      </c>
      <c r="P1097" t="str">
        <f t="shared" ca="1" si="69"/>
        <v xml:space="preserve"> </v>
      </c>
      <c r="Q1097" t="str" cm="1">
        <f t="array" ref="Q1097">_xlfn.IFS(I1097&gt;=3.5,"Excellent", I1097&gt;3,"Good",I1097&gt;2,"Average",I1097&lt;2,"Poor")</f>
        <v>Excellent</v>
      </c>
      <c r="S1097" t="b">
        <f t="shared" si="70"/>
        <v>1</v>
      </c>
      <c r="U1097">
        <f t="shared" si="71"/>
        <v>2023</v>
      </c>
      <c r="AA1097">
        <f t="shared" ca="1" si="72"/>
        <v>593</v>
      </c>
    </row>
    <row r="1098" spans="1:27" x14ac:dyDescent="0.3">
      <c r="A1098" t="s">
        <v>2217</v>
      </c>
      <c r="B1098" t="s">
        <v>2218</v>
      </c>
      <c r="C1098" t="s">
        <v>12</v>
      </c>
      <c r="D1098" t="s">
        <v>13</v>
      </c>
      <c r="E1098" s="1">
        <v>44721</v>
      </c>
      <c r="F1098" t="s">
        <v>19</v>
      </c>
      <c r="G1098">
        <v>14062</v>
      </c>
      <c r="H1098">
        <v>9193</v>
      </c>
      <c r="I1098">
        <v>3.07</v>
      </c>
      <c r="J1098">
        <v>103</v>
      </c>
      <c r="P1098" t="str">
        <f t="shared" ca="1" si="69"/>
        <v xml:space="preserve"> </v>
      </c>
      <c r="Q1098" t="str" cm="1">
        <f t="array" ref="Q1098">_xlfn.IFS(I1098&gt;=3.5,"Excellent", I1098&gt;3,"Good",I1098&gt;2,"Average",I1098&lt;2,"Poor")</f>
        <v>Good</v>
      </c>
      <c r="S1098" t="b">
        <f t="shared" si="70"/>
        <v>1</v>
      </c>
      <c r="U1098">
        <f t="shared" si="71"/>
        <v>2022</v>
      </c>
      <c r="AA1098">
        <f t="shared" ca="1" si="72"/>
        <v>1131</v>
      </c>
    </row>
    <row r="1099" spans="1:27" x14ac:dyDescent="0.3">
      <c r="A1099" t="s">
        <v>2219</v>
      </c>
      <c r="B1099" t="s">
        <v>2220</v>
      </c>
      <c r="C1099" t="s">
        <v>57</v>
      </c>
      <c r="D1099" t="s">
        <v>31</v>
      </c>
      <c r="E1099" s="1">
        <v>44780</v>
      </c>
      <c r="F1099" t="s">
        <v>19</v>
      </c>
      <c r="G1099">
        <v>7312</v>
      </c>
      <c r="H1099">
        <v>8464</v>
      </c>
      <c r="I1099">
        <v>2.74</v>
      </c>
      <c r="J1099">
        <v>104</v>
      </c>
      <c r="P1099" t="str">
        <f t="shared" ca="1" si="69"/>
        <v xml:space="preserve"> </v>
      </c>
      <c r="Q1099" t="str" cm="1">
        <f t="array" ref="Q1099">_xlfn.IFS(I1099&gt;=3.5,"Excellent", I1099&gt;3,"Good",I1099&gt;2,"Average",I1099&lt;2,"Poor")</f>
        <v>Average</v>
      </c>
      <c r="S1099" t="b">
        <f t="shared" si="70"/>
        <v>1</v>
      </c>
      <c r="U1099">
        <f t="shared" si="71"/>
        <v>2022</v>
      </c>
      <c r="AA1099">
        <f t="shared" ca="1" si="72"/>
        <v>1072</v>
      </c>
    </row>
    <row r="1100" spans="1:27" x14ac:dyDescent="0.3">
      <c r="A1100" t="s">
        <v>2221</v>
      </c>
      <c r="B1100" t="s">
        <v>2222</v>
      </c>
      <c r="C1100" t="s">
        <v>57</v>
      </c>
      <c r="D1100" t="s">
        <v>31</v>
      </c>
      <c r="E1100" s="1">
        <v>45023</v>
      </c>
      <c r="F1100" t="s">
        <v>14</v>
      </c>
      <c r="G1100">
        <v>5745</v>
      </c>
      <c r="H1100">
        <v>499</v>
      </c>
      <c r="I1100">
        <v>3.1</v>
      </c>
      <c r="J1100">
        <v>31</v>
      </c>
      <c r="P1100">
        <f t="shared" ca="1" si="69"/>
        <v>829</v>
      </c>
      <c r="Q1100" t="str" cm="1">
        <f t="array" ref="Q1100">_xlfn.IFS(I1100&gt;=3.5,"Excellent", I1100&gt;3,"Good",I1100&gt;2,"Average",I1100&lt;2,"Poor")</f>
        <v>Good</v>
      </c>
      <c r="S1100" t="str">
        <f t="shared" si="70"/>
        <v xml:space="preserve"> </v>
      </c>
      <c r="U1100">
        <f t="shared" si="71"/>
        <v>2023</v>
      </c>
      <c r="AA1100" t="str">
        <f t="shared" ca="1" si="72"/>
        <v/>
      </c>
    </row>
    <row r="1101" spans="1:27" x14ac:dyDescent="0.3">
      <c r="A1101" t="s">
        <v>2223</v>
      </c>
      <c r="B1101" t="s">
        <v>2224</v>
      </c>
      <c r="C1101" t="s">
        <v>17</v>
      </c>
      <c r="D1101" t="s">
        <v>62</v>
      </c>
      <c r="E1101" s="1">
        <v>44726</v>
      </c>
      <c r="F1101" t="s">
        <v>39</v>
      </c>
      <c r="G1101">
        <v>6844</v>
      </c>
      <c r="H1101">
        <v>1405</v>
      </c>
      <c r="I1101">
        <v>3.05</v>
      </c>
      <c r="J1101">
        <v>44</v>
      </c>
      <c r="P1101" t="str">
        <f t="shared" ca="1" si="69"/>
        <v xml:space="preserve"> </v>
      </c>
      <c r="Q1101" t="str" cm="1">
        <f t="array" ref="Q1101">_xlfn.IFS(I1101&gt;=3.5,"Excellent", I1101&gt;3,"Good",I1101&gt;2,"Average",I1101&lt;2,"Poor")</f>
        <v>Good</v>
      </c>
      <c r="S1101" t="str">
        <f t="shared" si="70"/>
        <v xml:space="preserve"> </v>
      </c>
      <c r="U1101">
        <f t="shared" si="71"/>
        <v>2022</v>
      </c>
      <c r="AA1101" t="str">
        <f t="shared" ca="1" si="72"/>
        <v/>
      </c>
    </row>
    <row r="1102" spans="1:27" x14ac:dyDescent="0.3">
      <c r="A1102" t="s">
        <v>2225</v>
      </c>
      <c r="B1102" t="s">
        <v>2226</v>
      </c>
      <c r="C1102" t="s">
        <v>57</v>
      </c>
      <c r="D1102" t="s">
        <v>18</v>
      </c>
      <c r="E1102" s="1">
        <v>44753</v>
      </c>
      <c r="F1102" t="s">
        <v>14</v>
      </c>
      <c r="G1102">
        <v>13054</v>
      </c>
      <c r="H1102">
        <v>4741</v>
      </c>
      <c r="I1102">
        <v>3.54</v>
      </c>
      <c r="J1102">
        <v>31</v>
      </c>
      <c r="P1102">
        <f t="shared" ca="1" si="69"/>
        <v>1099</v>
      </c>
      <c r="Q1102" t="str" cm="1">
        <f t="array" ref="Q1102">_xlfn.IFS(I1102&gt;=3.5,"Excellent", I1102&gt;3,"Good",I1102&gt;2,"Average",I1102&lt;2,"Poor")</f>
        <v>Excellent</v>
      </c>
      <c r="S1102" t="str">
        <f t="shared" si="70"/>
        <v xml:space="preserve"> </v>
      </c>
      <c r="U1102">
        <f t="shared" si="71"/>
        <v>2022</v>
      </c>
      <c r="AA1102" t="str">
        <f t="shared" ca="1" si="72"/>
        <v/>
      </c>
    </row>
    <row r="1103" spans="1:27" x14ac:dyDescent="0.3">
      <c r="A1103" t="s">
        <v>2227</v>
      </c>
      <c r="B1103" t="s">
        <v>2228</v>
      </c>
      <c r="C1103" t="s">
        <v>36</v>
      </c>
      <c r="D1103" t="s">
        <v>31</v>
      </c>
      <c r="E1103" s="1">
        <v>45007</v>
      </c>
      <c r="F1103" t="s">
        <v>14</v>
      </c>
      <c r="G1103">
        <v>10986</v>
      </c>
      <c r="H1103">
        <v>8048</v>
      </c>
      <c r="I1103">
        <v>3.16</v>
      </c>
      <c r="J1103">
        <v>70</v>
      </c>
      <c r="P1103">
        <f t="shared" ca="1" si="69"/>
        <v>845</v>
      </c>
      <c r="Q1103" t="str" cm="1">
        <f t="array" ref="Q1103">_xlfn.IFS(I1103&gt;=3.5,"Excellent", I1103&gt;3,"Good",I1103&gt;2,"Average",I1103&lt;2,"Poor")</f>
        <v>Good</v>
      </c>
      <c r="S1103" t="b">
        <f t="shared" si="70"/>
        <v>1</v>
      </c>
      <c r="U1103">
        <f t="shared" si="71"/>
        <v>2023</v>
      </c>
      <c r="AA1103" t="str">
        <f t="shared" ca="1" si="72"/>
        <v/>
      </c>
    </row>
    <row r="1104" spans="1:27" x14ac:dyDescent="0.3">
      <c r="A1104" t="s">
        <v>2229</v>
      </c>
      <c r="B1104" t="s">
        <v>2230</v>
      </c>
      <c r="C1104" t="s">
        <v>17</v>
      </c>
      <c r="D1104" t="s">
        <v>18</v>
      </c>
      <c r="E1104" s="1">
        <v>45421</v>
      </c>
      <c r="F1104" t="s">
        <v>39</v>
      </c>
      <c r="G1104">
        <v>3798</v>
      </c>
      <c r="H1104">
        <v>1392</v>
      </c>
      <c r="I1104">
        <v>2.2999999999999998</v>
      </c>
      <c r="J1104">
        <v>98</v>
      </c>
      <c r="P1104" t="str">
        <f t="shared" ca="1" si="69"/>
        <v xml:space="preserve"> </v>
      </c>
      <c r="Q1104" t="str" cm="1">
        <f t="array" ref="Q1104">_xlfn.IFS(I1104&gt;=3.5,"Excellent", I1104&gt;3,"Good",I1104&gt;2,"Average",I1104&lt;2,"Poor")</f>
        <v>Average</v>
      </c>
      <c r="S1104" t="str">
        <f t="shared" si="70"/>
        <v xml:space="preserve"> </v>
      </c>
      <c r="U1104">
        <f t="shared" si="71"/>
        <v>2024</v>
      </c>
      <c r="AA1104" t="str">
        <f t="shared" ca="1" si="72"/>
        <v/>
      </c>
    </row>
    <row r="1105" spans="1:27" x14ac:dyDescent="0.3">
      <c r="A1105" t="s">
        <v>2231</v>
      </c>
      <c r="B1105" t="s">
        <v>2232</v>
      </c>
      <c r="C1105" t="s">
        <v>54</v>
      </c>
      <c r="D1105" t="s">
        <v>13</v>
      </c>
      <c r="E1105" s="1">
        <v>45332</v>
      </c>
      <c r="F1105" t="s">
        <v>19</v>
      </c>
      <c r="G1105">
        <v>8999</v>
      </c>
      <c r="H1105">
        <v>7122</v>
      </c>
      <c r="I1105">
        <v>2.0499999999999998</v>
      </c>
      <c r="J1105">
        <v>115</v>
      </c>
      <c r="P1105" t="str">
        <f t="shared" ca="1" si="69"/>
        <v xml:space="preserve"> </v>
      </c>
      <c r="Q1105" t="str" cm="1">
        <f t="array" ref="Q1105">_xlfn.IFS(I1105&gt;=3.5,"Excellent", I1105&gt;3,"Good",I1105&gt;2,"Average",I1105&lt;2,"Poor")</f>
        <v>Average</v>
      </c>
      <c r="S1105" t="b">
        <f t="shared" si="70"/>
        <v>1</v>
      </c>
      <c r="U1105">
        <f t="shared" si="71"/>
        <v>2024</v>
      </c>
      <c r="AA1105">
        <f t="shared" ca="1" si="72"/>
        <v>520</v>
      </c>
    </row>
    <row r="1106" spans="1:27" x14ac:dyDescent="0.3">
      <c r="A1106" t="s">
        <v>2233</v>
      </c>
      <c r="B1106" t="s">
        <v>2234</v>
      </c>
      <c r="C1106" t="s">
        <v>12</v>
      </c>
      <c r="D1106" t="s">
        <v>62</v>
      </c>
      <c r="E1106" s="1">
        <v>44649</v>
      </c>
      <c r="F1106" t="s">
        <v>14</v>
      </c>
      <c r="G1106">
        <v>4243</v>
      </c>
      <c r="H1106">
        <v>6445</v>
      </c>
      <c r="I1106">
        <v>3.32</v>
      </c>
      <c r="J1106">
        <v>18</v>
      </c>
      <c r="P1106">
        <f t="shared" ca="1" si="69"/>
        <v>1203</v>
      </c>
      <c r="Q1106" t="str" cm="1">
        <f t="array" ref="Q1106">_xlfn.IFS(I1106&gt;=3.5,"Excellent", I1106&gt;3,"Good",I1106&gt;2,"Average",I1106&lt;2,"Poor")</f>
        <v>Good</v>
      </c>
      <c r="S1106" t="b">
        <f t="shared" si="70"/>
        <v>1</v>
      </c>
      <c r="U1106">
        <f t="shared" si="71"/>
        <v>2022</v>
      </c>
      <c r="AA1106" t="str">
        <f t="shared" ca="1" si="72"/>
        <v/>
      </c>
    </row>
    <row r="1107" spans="1:27" x14ac:dyDescent="0.3">
      <c r="A1107" t="s">
        <v>2235</v>
      </c>
      <c r="B1107" t="s">
        <v>2236</v>
      </c>
      <c r="C1107" t="s">
        <v>12</v>
      </c>
      <c r="D1107" t="s">
        <v>13</v>
      </c>
      <c r="E1107" s="1">
        <v>45071</v>
      </c>
      <c r="F1107" t="s">
        <v>19</v>
      </c>
      <c r="G1107">
        <v>2171</v>
      </c>
      <c r="H1107">
        <v>2358</v>
      </c>
      <c r="I1107">
        <v>2.4500000000000002</v>
      </c>
      <c r="J1107">
        <v>31</v>
      </c>
      <c r="P1107" t="str">
        <f t="shared" ca="1" si="69"/>
        <v xml:space="preserve"> </v>
      </c>
      <c r="Q1107" t="str" cm="1">
        <f t="array" ref="Q1107">_xlfn.IFS(I1107&gt;=3.5,"Excellent", I1107&gt;3,"Good",I1107&gt;2,"Average",I1107&lt;2,"Poor")</f>
        <v>Average</v>
      </c>
      <c r="S1107" t="b">
        <f t="shared" si="70"/>
        <v>1</v>
      </c>
      <c r="U1107">
        <f t="shared" si="71"/>
        <v>2023</v>
      </c>
      <c r="AA1107">
        <f t="shared" ca="1" si="72"/>
        <v>781</v>
      </c>
    </row>
    <row r="1108" spans="1:27" x14ac:dyDescent="0.3">
      <c r="A1108" t="s">
        <v>2237</v>
      </c>
      <c r="B1108" t="s">
        <v>2238</v>
      </c>
      <c r="C1108" t="s">
        <v>25</v>
      </c>
      <c r="D1108" t="s">
        <v>62</v>
      </c>
      <c r="E1108" s="1">
        <v>44839</v>
      </c>
      <c r="F1108" t="s">
        <v>19</v>
      </c>
      <c r="G1108">
        <v>4746</v>
      </c>
      <c r="H1108">
        <v>1220</v>
      </c>
      <c r="I1108">
        <v>3.26</v>
      </c>
      <c r="J1108">
        <v>10</v>
      </c>
      <c r="P1108" t="str">
        <f t="shared" ca="1" si="69"/>
        <v xml:space="preserve"> </v>
      </c>
      <c r="Q1108" t="str" cm="1">
        <f t="array" ref="Q1108">_xlfn.IFS(I1108&gt;=3.5,"Excellent", I1108&gt;3,"Good",I1108&gt;2,"Average",I1108&lt;2,"Poor")</f>
        <v>Good</v>
      </c>
      <c r="S1108" t="str">
        <f t="shared" si="70"/>
        <v xml:space="preserve"> </v>
      </c>
      <c r="U1108">
        <f t="shared" si="71"/>
        <v>2022</v>
      </c>
      <c r="AA1108">
        <f t="shared" ca="1" si="72"/>
        <v>1013</v>
      </c>
    </row>
    <row r="1109" spans="1:27" x14ac:dyDescent="0.3">
      <c r="A1109" t="s">
        <v>2239</v>
      </c>
      <c r="B1109" t="s">
        <v>2240</v>
      </c>
      <c r="C1109" t="s">
        <v>17</v>
      </c>
      <c r="D1109" t="s">
        <v>18</v>
      </c>
      <c r="E1109" s="1">
        <v>45329</v>
      </c>
      <c r="F1109" t="s">
        <v>14</v>
      </c>
      <c r="G1109">
        <v>5813</v>
      </c>
      <c r="H1109">
        <v>8271</v>
      </c>
      <c r="I1109">
        <v>3.89</v>
      </c>
      <c r="J1109">
        <v>13</v>
      </c>
      <c r="P1109">
        <f t="shared" ca="1" si="69"/>
        <v>523</v>
      </c>
      <c r="Q1109" t="str" cm="1">
        <f t="array" ref="Q1109">_xlfn.IFS(I1109&gt;=3.5,"Excellent", I1109&gt;3,"Good",I1109&gt;2,"Average",I1109&lt;2,"Poor")</f>
        <v>Excellent</v>
      </c>
      <c r="S1109" t="b">
        <f t="shared" si="70"/>
        <v>1</v>
      </c>
      <c r="U1109">
        <f t="shared" si="71"/>
        <v>2024</v>
      </c>
      <c r="AA1109" t="str">
        <f t="shared" ca="1" si="72"/>
        <v/>
      </c>
    </row>
    <row r="1110" spans="1:27" x14ac:dyDescent="0.3">
      <c r="A1110" t="s">
        <v>2241</v>
      </c>
      <c r="B1110" t="s">
        <v>2242</v>
      </c>
      <c r="C1110" t="s">
        <v>36</v>
      </c>
      <c r="D1110" t="s">
        <v>13</v>
      </c>
      <c r="E1110" s="1">
        <v>44599</v>
      </c>
      <c r="F1110" t="s">
        <v>14</v>
      </c>
      <c r="G1110">
        <v>11997</v>
      </c>
      <c r="H1110">
        <v>3979</v>
      </c>
      <c r="I1110">
        <v>3.75</v>
      </c>
      <c r="J1110">
        <v>81</v>
      </c>
      <c r="P1110">
        <f t="shared" ca="1" si="69"/>
        <v>1253</v>
      </c>
      <c r="Q1110" t="str" cm="1">
        <f t="array" ref="Q1110">_xlfn.IFS(I1110&gt;=3.5,"Excellent", I1110&gt;3,"Good",I1110&gt;2,"Average",I1110&lt;2,"Poor")</f>
        <v>Excellent</v>
      </c>
      <c r="S1110" t="str">
        <f t="shared" si="70"/>
        <v xml:space="preserve"> </v>
      </c>
      <c r="U1110">
        <f t="shared" si="71"/>
        <v>2022</v>
      </c>
      <c r="AA1110" t="str">
        <f t="shared" ca="1" si="72"/>
        <v/>
      </c>
    </row>
    <row r="1111" spans="1:27" x14ac:dyDescent="0.3">
      <c r="A1111" t="s">
        <v>2243</v>
      </c>
      <c r="B1111" t="s">
        <v>2244</v>
      </c>
      <c r="C1111" t="s">
        <v>36</v>
      </c>
      <c r="D1111" t="s">
        <v>31</v>
      </c>
      <c r="E1111" s="1">
        <v>44891</v>
      </c>
      <c r="F1111" t="s">
        <v>19</v>
      </c>
      <c r="G1111">
        <v>3129</v>
      </c>
      <c r="H1111">
        <v>3377</v>
      </c>
      <c r="I1111">
        <v>2.92</v>
      </c>
      <c r="J1111">
        <v>94</v>
      </c>
      <c r="P1111" t="str">
        <f t="shared" ca="1" si="69"/>
        <v xml:space="preserve"> </v>
      </c>
      <c r="Q1111" t="str" cm="1">
        <f t="array" ref="Q1111">_xlfn.IFS(I1111&gt;=3.5,"Excellent", I1111&gt;3,"Good",I1111&gt;2,"Average",I1111&lt;2,"Poor")</f>
        <v>Average</v>
      </c>
      <c r="S1111" t="b">
        <f t="shared" si="70"/>
        <v>1</v>
      </c>
      <c r="U1111">
        <f t="shared" si="71"/>
        <v>2022</v>
      </c>
      <c r="AA1111">
        <f t="shared" ca="1" si="72"/>
        <v>961</v>
      </c>
    </row>
    <row r="1112" spans="1:27" x14ac:dyDescent="0.3">
      <c r="A1112" t="s">
        <v>2245</v>
      </c>
      <c r="B1112" t="s">
        <v>2246</v>
      </c>
      <c r="C1112" t="s">
        <v>22</v>
      </c>
      <c r="D1112" t="s">
        <v>62</v>
      </c>
      <c r="E1112" s="1">
        <v>45278</v>
      </c>
      <c r="F1112" t="s">
        <v>14</v>
      </c>
      <c r="G1112">
        <v>4829</v>
      </c>
      <c r="H1112">
        <v>2463</v>
      </c>
      <c r="I1112">
        <v>3.81</v>
      </c>
      <c r="J1112">
        <v>71</v>
      </c>
      <c r="P1112">
        <f t="shared" ca="1" si="69"/>
        <v>574</v>
      </c>
      <c r="Q1112" t="str" cm="1">
        <f t="array" ref="Q1112">_xlfn.IFS(I1112&gt;=3.5,"Excellent", I1112&gt;3,"Good",I1112&gt;2,"Average",I1112&lt;2,"Poor")</f>
        <v>Excellent</v>
      </c>
      <c r="S1112" t="b">
        <f t="shared" si="70"/>
        <v>1</v>
      </c>
      <c r="U1112">
        <f t="shared" si="71"/>
        <v>2023</v>
      </c>
      <c r="AA1112" t="str">
        <f t="shared" ca="1" si="72"/>
        <v/>
      </c>
    </row>
    <row r="1113" spans="1:27" x14ac:dyDescent="0.3">
      <c r="A1113" t="s">
        <v>2247</v>
      </c>
      <c r="B1113" t="s">
        <v>2248</v>
      </c>
      <c r="C1113" t="s">
        <v>17</v>
      </c>
      <c r="D1113" t="s">
        <v>31</v>
      </c>
      <c r="E1113" s="1">
        <v>45270</v>
      </c>
      <c r="F1113" t="s">
        <v>14</v>
      </c>
      <c r="G1113">
        <v>13773</v>
      </c>
      <c r="H1113">
        <v>9595</v>
      </c>
      <c r="I1113">
        <v>2.15</v>
      </c>
      <c r="J1113">
        <v>22</v>
      </c>
      <c r="P1113">
        <f t="shared" ca="1" si="69"/>
        <v>582</v>
      </c>
      <c r="Q1113" t="str" cm="1">
        <f t="array" ref="Q1113">_xlfn.IFS(I1113&gt;=3.5,"Excellent", I1113&gt;3,"Good",I1113&gt;2,"Average",I1113&lt;2,"Poor")</f>
        <v>Average</v>
      </c>
      <c r="S1113" t="b">
        <f t="shared" si="70"/>
        <v>1</v>
      </c>
      <c r="U1113">
        <f t="shared" si="71"/>
        <v>2023</v>
      </c>
      <c r="AA1113" t="str">
        <f t="shared" ca="1" si="72"/>
        <v/>
      </c>
    </row>
    <row r="1114" spans="1:27" x14ac:dyDescent="0.3">
      <c r="A1114" t="s">
        <v>2249</v>
      </c>
      <c r="B1114" t="s">
        <v>2250</v>
      </c>
      <c r="C1114" t="s">
        <v>57</v>
      </c>
      <c r="D1114" t="s">
        <v>18</v>
      </c>
      <c r="E1114" s="1">
        <v>44879</v>
      </c>
      <c r="F1114" t="s">
        <v>19</v>
      </c>
      <c r="G1114">
        <v>7845</v>
      </c>
      <c r="H1114">
        <v>1768</v>
      </c>
      <c r="I1114">
        <v>3.79</v>
      </c>
      <c r="J1114">
        <v>82</v>
      </c>
      <c r="P1114" t="str">
        <f t="shared" ca="1" si="69"/>
        <v xml:space="preserve"> </v>
      </c>
      <c r="Q1114" t="str" cm="1">
        <f t="array" ref="Q1114">_xlfn.IFS(I1114&gt;=3.5,"Excellent", I1114&gt;3,"Good",I1114&gt;2,"Average",I1114&lt;2,"Poor")</f>
        <v>Excellent</v>
      </c>
      <c r="S1114" t="str">
        <f t="shared" si="70"/>
        <v xml:space="preserve"> </v>
      </c>
      <c r="U1114">
        <f t="shared" si="71"/>
        <v>2022</v>
      </c>
      <c r="AA1114">
        <f t="shared" ca="1" si="72"/>
        <v>973</v>
      </c>
    </row>
    <row r="1115" spans="1:27" x14ac:dyDescent="0.3">
      <c r="A1115" t="s">
        <v>2251</v>
      </c>
      <c r="B1115" t="s">
        <v>2252</v>
      </c>
      <c r="C1115" t="s">
        <v>28</v>
      </c>
      <c r="D1115" t="s">
        <v>31</v>
      </c>
      <c r="E1115" s="1">
        <v>45337</v>
      </c>
      <c r="F1115" t="s">
        <v>19</v>
      </c>
      <c r="G1115">
        <v>14112</v>
      </c>
      <c r="H1115">
        <v>4858</v>
      </c>
      <c r="I1115">
        <v>2.48</v>
      </c>
      <c r="J1115">
        <v>106</v>
      </c>
      <c r="P1115" t="str">
        <f t="shared" ca="1" si="69"/>
        <v xml:space="preserve"> </v>
      </c>
      <c r="Q1115" t="str" cm="1">
        <f t="array" ref="Q1115">_xlfn.IFS(I1115&gt;=3.5,"Excellent", I1115&gt;3,"Good",I1115&gt;2,"Average",I1115&lt;2,"Poor")</f>
        <v>Average</v>
      </c>
      <c r="S1115" t="str">
        <f t="shared" si="70"/>
        <v xml:space="preserve"> </v>
      </c>
      <c r="U1115">
        <f t="shared" si="71"/>
        <v>2024</v>
      </c>
      <c r="AA1115">
        <f t="shared" ca="1" si="72"/>
        <v>515</v>
      </c>
    </row>
    <row r="1116" spans="1:27" x14ac:dyDescent="0.3">
      <c r="A1116" t="s">
        <v>2253</v>
      </c>
      <c r="B1116" t="s">
        <v>2254</v>
      </c>
      <c r="C1116" t="s">
        <v>17</v>
      </c>
      <c r="D1116" t="s">
        <v>31</v>
      </c>
      <c r="E1116" s="1">
        <v>45429</v>
      </c>
      <c r="F1116" t="s">
        <v>14</v>
      </c>
      <c r="G1116">
        <v>8386</v>
      </c>
      <c r="H1116">
        <v>6949</v>
      </c>
      <c r="I1116">
        <v>2.54</v>
      </c>
      <c r="J1116">
        <v>97</v>
      </c>
      <c r="P1116">
        <f t="shared" ca="1" si="69"/>
        <v>423</v>
      </c>
      <c r="Q1116" t="str" cm="1">
        <f t="array" ref="Q1116">_xlfn.IFS(I1116&gt;=3.5,"Excellent", I1116&gt;3,"Good",I1116&gt;2,"Average",I1116&lt;2,"Poor")</f>
        <v>Average</v>
      </c>
      <c r="S1116" t="b">
        <f t="shared" si="70"/>
        <v>1</v>
      </c>
      <c r="U1116">
        <f t="shared" si="71"/>
        <v>2024</v>
      </c>
      <c r="AA1116" t="str">
        <f t="shared" ca="1" si="72"/>
        <v/>
      </c>
    </row>
    <row r="1117" spans="1:27" x14ac:dyDescent="0.3">
      <c r="A1117" t="s">
        <v>2255</v>
      </c>
      <c r="B1117" t="s">
        <v>2256</v>
      </c>
      <c r="C1117" t="s">
        <v>54</v>
      </c>
      <c r="D1117" t="s">
        <v>18</v>
      </c>
      <c r="E1117" s="1">
        <v>45136</v>
      </c>
      <c r="F1117" t="s">
        <v>14</v>
      </c>
      <c r="G1117">
        <v>11924</v>
      </c>
      <c r="H1117">
        <v>8400</v>
      </c>
      <c r="I1117">
        <v>3.46</v>
      </c>
      <c r="J1117">
        <v>23</v>
      </c>
      <c r="P1117">
        <f t="shared" ca="1" si="69"/>
        <v>716</v>
      </c>
      <c r="Q1117" t="str" cm="1">
        <f t="array" ref="Q1117">_xlfn.IFS(I1117&gt;=3.5,"Excellent", I1117&gt;3,"Good",I1117&gt;2,"Average",I1117&lt;2,"Poor")</f>
        <v>Good</v>
      </c>
      <c r="S1117" t="b">
        <f t="shared" si="70"/>
        <v>1</v>
      </c>
      <c r="U1117">
        <f t="shared" si="71"/>
        <v>2023</v>
      </c>
      <c r="AA1117" t="str">
        <f t="shared" ca="1" si="72"/>
        <v/>
      </c>
    </row>
    <row r="1118" spans="1:27" x14ac:dyDescent="0.3">
      <c r="A1118" t="s">
        <v>2257</v>
      </c>
      <c r="B1118" t="s">
        <v>2258</v>
      </c>
      <c r="C1118" t="s">
        <v>28</v>
      </c>
      <c r="D1118" t="s">
        <v>31</v>
      </c>
      <c r="E1118" s="1">
        <v>44647</v>
      </c>
      <c r="F1118" t="s">
        <v>19</v>
      </c>
      <c r="G1118">
        <v>6259</v>
      </c>
      <c r="H1118">
        <v>6330</v>
      </c>
      <c r="I1118">
        <v>3.7</v>
      </c>
      <c r="J1118">
        <v>69</v>
      </c>
      <c r="P1118" t="str">
        <f t="shared" ca="1" si="69"/>
        <v xml:space="preserve"> </v>
      </c>
      <c r="Q1118" t="str" cm="1">
        <f t="array" ref="Q1118">_xlfn.IFS(I1118&gt;=3.5,"Excellent", I1118&gt;3,"Good",I1118&gt;2,"Average",I1118&lt;2,"Poor")</f>
        <v>Excellent</v>
      </c>
      <c r="S1118" t="b">
        <f t="shared" si="70"/>
        <v>1</v>
      </c>
      <c r="U1118">
        <f t="shared" si="71"/>
        <v>2022</v>
      </c>
      <c r="AA1118">
        <f t="shared" ca="1" si="72"/>
        <v>1205</v>
      </c>
    </row>
    <row r="1119" spans="1:27" x14ac:dyDescent="0.3">
      <c r="A1119" t="s">
        <v>2259</v>
      </c>
      <c r="B1119" t="s">
        <v>2260</v>
      </c>
      <c r="C1119" t="s">
        <v>22</v>
      </c>
      <c r="D1119" t="s">
        <v>31</v>
      </c>
      <c r="E1119" s="1">
        <v>45347</v>
      </c>
      <c r="F1119" t="s">
        <v>14</v>
      </c>
      <c r="G1119">
        <v>2965</v>
      </c>
      <c r="H1119">
        <v>4420</v>
      </c>
      <c r="I1119">
        <v>3.5</v>
      </c>
      <c r="J1119">
        <v>79</v>
      </c>
      <c r="P1119">
        <f t="shared" ca="1" si="69"/>
        <v>505</v>
      </c>
      <c r="Q1119" t="str" cm="1">
        <f t="array" ref="Q1119">_xlfn.IFS(I1119&gt;=3.5,"Excellent", I1119&gt;3,"Good",I1119&gt;2,"Average",I1119&lt;2,"Poor")</f>
        <v>Excellent</v>
      </c>
      <c r="S1119" t="b">
        <f t="shared" si="70"/>
        <v>1</v>
      </c>
      <c r="U1119">
        <f t="shared" si="71"/>
        <v>2024</v>
      </c>
      <c r="AA1119" t="str">
        <f t="shared" ca="1" si="72"/>
        <v/>
      </c>
    </row>
    <row r="1120" spans="1:27" x14ac:dyDescent="0.3">
      <c r="A1120" t="s">
        <v>2261</v>
      </c>
      <c r="B1120" t="s">
        <v>2262</v>
      </c>
      <c r="C1120" t="s">
        <v>12</v>
      </c>
      <c r="D1120" t="s">
        <v>13</v>
      </c>
      <c r="E1120" s="1">
        <v>45347</v>
      </c>
      <c r="F1120" t="s">
        <v>14</v>
      </c>
      <c r="G1120">
        <v>10945</v>
      </c>
      <c r="H1120">
        <v>3789</v>
      </c>
      <c r="I1120">
        <v>3.56</v>
      </c>
      <c r="J1120">
        <v>39</v>
      </c>
      <c r="P1120">
        <f t="shared" ca="1" si="69"/>
        <v>505</v>
      </c>
      <c r="Q1120" t="str" cm="1">
        <f t="array" ref="Q1120">_xlfn.IFS(I1120&gt;=3.5,"Excellent", I1120&gt;3,"Good",I1120&gt;2,"Average",I1120&lt;2,"Poor")</f>
        <v>Excellent</v>
      </c>
      <c r="S1120" t="str">
        <f t="shared" si="70"/>
        <v xml:space="preserve"> </v>
      </c>
      <c r="U1120">
        <f t="shared" si="71"/>
        <v>2024</v>
      </c>
      <c r="AA1120" t="str">
        <f t="shared" ca="1" si="72"/>
        <v/>
      </c>
    </row>
    <row r="1121" spans="1:27" x14ac:dyDescent="0.3">
      <c r="A1121" t="s">
        <v>2263</v>
      </c>
      <c r="B1121" t="s">
        <v>2264</v>
      </c>
      <c r="C1121" t="s">
        <v>54</v>
      </c>
      <c r="D1121" t="s">
        <v>62</v>
      </c>
      <c r="E1121" s="1">
        <v>45406</v>
      </c>
      <c r="F1121" t="s">
        <v>19</v>
      </c>
      <c r="G1121">
        <v>5840</v>
      </c>
      <c r="H1121">
        <v>9839</v>
      </c>
      <c r="I1121">
        <v>3.91</v>
      </c>
      <c r="J1121">
        <v>21</v>
      </c>
      <c r="P1121" t="str">
        <f t="shared" ca="1" si="69"/>
        <v xml:space="preserve"> </v>
      </c>
      <c r="Q1121" t="str" cm="1">
        <f t="array" ref="Q1121">_xlfn.IFS(I1121&gt;=3.5,"Excellent", I1121&gt;3,"Good",I1121&gt;2,"Average",I1121&lt;2,"Poor")</f>
        <v>Excellent</v>
      </c>
      <c r="S1121" t="b">
        <f t="shared" si="70"/>
        <v>1</v>
      </c>
      <c r="U1121">
        <f t="shared" si="71"/>
        <v>2024</v>
      </c>
      <c r="AA1121">
        <f t="shared" ca="1" si="72"/>
        <v>446</v>
      </c>
    </row>
    <row r="1122" spans="1:27" x14ac:dyDescent="0.3">
      <c r="A1122" t="s">
        <v>2265</v>
      </c>
      <c r="B1122" t="s">
        <v>2266</v>
      </c>
      <c r="C1122" t="s">
        <v>28</v>
      </c>
      <c r="D1122" t="s">
        <v>62</v>
      </c>
      <c r="E1122" s="1">
        <v>45288</v>
      </c>
      <c r="F1122" t="s">
        <v>19</v>
      </c>
      <c r="G1122">
        <v>11837</v>
      </c>
      <c r="H1122">
        <v>4235</v>
      </c>
      <c r="I1122">
        <v>3.73</v>
      </c>
      <c r="J1122">
        <v>67</v>
      </c>
      <c r="P1122" t="str">
        <f t="shared" ca="1" si="69"/>
        <v xml:space="preserve"> </v>
      </c>
      <c r="Q1122" t="str" cm="1">
        <f t="array" ref="Q1122">_xlfn.IFS(I1122&gt;=3.5,"Excellent", I1122&gt;3,"Good",I1122&gt;2,"Average",I1122&lt;2,"Poor")</f>
        <v>Excellent</v>
      </c>
      <c r="S1122" t="str">
        <f t="shared" si="70"/>
        <v xml:space="preserve"> </v>
      </c>
      <c r="U1122">
        <f t="shared" si="71"/>
        <v>2023</v>
      </c>
      <c r="AA1122">
        <f t="shared" ca="1" si="72"/>
        <v>564</v>
      </c>
    </row>
    <row r="1123" spans="1:27" x14ac:dyDescent="0.3">
      <c r="A1123" t="s">
        <v>2267</v>
      </c>
      <c r="B1123" t="s">
        <v>2268</v>
      </c>
      <c r="C1123" t="s">
        <v>57</v>
      </c>
      <c r="D1123" t="s">
        <v>31</v>
      </c>
      <c r="E1123" s="1">
        <v>45245</v>
      </c>
      <c r="F1123" t="s">
        <v>19</v>
      </c>
      <c r="G1123">
        <v>2593</v>
      </c>
      <c r="H1123">
        <v>3001</v>
      </c>
      <c r="I1123">
        <v>2.4</v>
      </c>
      <c r="J1123">
        <v>25</v>
      </c>
      <c r="P1123" t="str">
        <f t="shared" ca="1" si="69"/>
        <v xml:space="preserve"> </v>
      </c>
      <c r="Q1123" t="str" cm="1">
        <f t="array" ref="Q1123">_xlfn.IFS(I1123&gt;=3.5,"Excellent", I1123&gt;3,"Good",I1123&gt;2,"Average",I1123&lt;2,"Poor")</f>
        <v>Average</v>
      </c>
      <c r="S1123" t="b">
        <f t="shared" si="70"/>
        <v>1</v>
      </c>
      <c r="U1123">
        <f t="shared" si="71"/>
        <v>2023</v>
      </c>
      <c r="AA1123">
        <f t="shared" ca="1" si="72"/>
        <v>607</v>
      </c>
    </row>
    <row r="1124" spans="1:27" x14ac:dyDescent="0.3">
      <c r="A1124" t="s">
        <v>2269</v>
      </c>
      <c r="B1124" t="s">
        <v>2270</v>
      </c>
      <c r="C1124" t="s">
        <v>17</v>
      </c>
      <c r="D1124" t="s">
        <v>62</v>
      </c>
      <c r="E1124" s="1">
        <v>45222</v>
      </c>
      <c r="F1124" t="s">
        <v>14</v>
      </c>
      <c r="G1124">
        <v>4320</v>
      </c>
      <c r="H1124">
        <v>5243</v>
      </c>
      <c r="I1124">
        <v>4</v>
      </c>
      <c r="J1124">
        <v>67</v>
      </c>
      <c r="P1124">
        <f t="shared" ca="1" si="69"/>
        <v>630</v>
      </c>
      <c r="Q1124" t="str" cm="1">
        <f t="array" ref="Q1124">_xlfn.IFS(I1124&gt;=3.5,"Excellent", I1124&gt;3,"Good",I1124&gt;2,"Average",I1124&lt;2,"Poor")</f>
        <v>Excellent</v>
      </c>
      <c r="S1124" t="b">
        <f t="shared" si="70"/>
        <v>1</v>
      </c>
      <c r="U1124">
        <f t="shared" si="71"/>
        <v>2023</v>
      </c>
      <c r="AA1124" t="str">
        <f t="shared" ca="1" si="72"/>
        <v/>
      </c>
    </row>
    <row r="1125" spans="1:27" x14ac:dyDescent="0.3">
      <c r="A1125" t="s">
        <v>2271</v>
      </c>
      <c r="B1125" t="s">
        <v>2272</v>
      </c>
      <c r="C1125" t="s">
        <v>17</v>
      </c>
      <c r="D1125" t="s">
        <v>13</v>
      </c>
      <c r="E1125" s="1">
        <v>44779</v>
      </c>
      <c r="F1125" t="s">
        <v>19</v>
      </c>
      <c r="G1125">
        <v>5074</v>
      </c>
      <c r="H1125">
        <v>3228</v>
      </c>
      <c r="I1125">
        <v>3.89</v>
      </c>
      <c r="J1125">
        <v>10</v>
      </c>
      <c r="P1125" t="str">
        <f t="shared" ca="1" si="69"/>
        <v xml:space="preserve"> </v>
      </c>
      <c r="Q1125" t="str" cm="1">
        <f t="array" ref="Q1125">_xlfn.IFS(I1125&gt;=3.5,"Excellent", I1125&gt;3,"Good",I1125&gt;2,"Average",I1125&lt;2,"Poor")</f>
        <v>Excellent</v>
      </c>
      <c r="S1125" t="b">
        <f t="shared" si="70"/>
        <v>1</v>
      </c>
      <c r="U1125">
        <f t="shared" si="71"/>
        <v>2022</v>
      </c>
      <c r="AA1125">
        <f t="shared" ca="1" si="72"/>
        <v>1073</v>
      </c>
    </row>
    <row r="1126" spans="1:27" x14ac:dyDescent="0.3">
      <c r="A1126" t="s">
        <v>2273</v>
      </c>
      <c r="B1126" t="s">
        <v>2274</v>
      </c>
      <c r="C1126" t="s">
        <v>17</v>
      </c>
      <c r="D1126" t="s">
        <v>62</v>
      </c>
      <c r="E1126" s="1">
        <v>45138</v>
      </c>
      <c r="F1126" t="s">
        <v>14</v>
      </c>
      <c r="G1126">
        <v>10173</v>
      </c>
      <c r="H1126">
        <v>2208</v>
      </c>
      <c r="I1126">
        <v>2.9</v>
      </c>
      <c r="J1126">
        <v>3</v>
      </c>
      <c r="P1126">
        <f t="shared" ca="1" si="69"/>
        <v>714</v>
      </c>
      <c r="Q1126" t="str" cm="1">
        <f t="array" ref="Q1126">_xlfn.IFS(I1126&gt;=3.5,"Excellent", I1126&gt;3,"Good",I1126&gt;2,"Average",I1126&lt;2,"Poor")</f>
        <v>Average</v>
      </c>
      <c r="S1126" t="str">
        <f t="shared" si="70"/>
        <v xml:space="preserve"> </v>
      </c>
      <c r="U1126">
        <f t="shared" si="71"/>
        <v>2023</v>
      </c>
      <c r="AA1126" t="str">
        <f t="shared" ca="1" si="72"/>
        <v/>
      </c>
    </row>
    <row r="1127" spans="1:27" x14ac:dyDescent="0.3">
      <c r="A1127" t="s">
        <v>2275</v>
      </c>
      <c r="B1127" t="s">
        <v>2276</v>
      </c>
      <c r="C1127" t="s">
        <v>28</v>
      </c>
      <c r="D1127" t="s">
        <v>13</v>
      </c>
      <c r="E1127" s="1">
        <v>44684</v>
      </c>
      <c r="F1127" t="s">
        <v>19</v>
      </c>
      <c r="G1127">
        <v>12039</v>
      </c>
      <c r="H1127">
        <v>2849</v>
      </c>
      <c r="I1127">
        <v>2.93</v>
      </c>
      <c r="J1127">
        <v>4</v>
      </c>
      <c r="P1127" t="str">
        <f t="shared" ca="1" si="69"/>
        <v xml:space="preserve"> </v>
      </c>
      <c r="Q1127" t="str" cm="1">
        <f t="array" ref="Q1127">_xlfn.IFS(I1127&gt;=3.5,"Excellent", I1127&gt;3,"Good",I1127&gt;2,"Average",I1127&lt;2,"Poor")</f>
        <v>Average</v>
      </c>
      <c r="S1127" t="str">
        <f t="shared" si="70"/>
        <v xml:space="preserve"> </v>
      </c>
      <c r="U1127">
        <f t="shared" si="71"/>
        <v>2022</v>
      </c>
      <c r="AA1127">
        <f t="shared" ca="1" si="72"/>
        <v>1168</v>
      </c>
    </row>
    <row r="1128" spans="1:27" x14ac:dyDescent="0.3">
      <c r="A1128" t="s">
        <v>2277</v>
      </c>
      <c r="B1128" t="s">
        <v>2278</v>
      </c>
      <c r="C1128" t="s">
        <v>57</v>
      </c>
      <c r="D1128" t="s">
        <v>31</v>
      </c>
      <c r="E1128" s="1">
        <v>45172</v>
      </c>
      <c r="F1128" t="s">
        <v>14</v>
      </c>
      <c r="G1128">
        <v>9593</v>
      </c>
      <c r="H1128">
        <v>3437</v>
      </c>
      <c r="I1128">
        <v>3.75</v>
      </c>
      <c r="J1128">
        <v>117</v>
      </c>
      <c r="P1128">
        <f t="shared" ca="1" si="69"/>
        <v>680</v>
      </c>
      <c r="Q1128" t="str" cm="1">
        <f t="array" ref="Q1128">_xlfn.IFS(I1128&gt;=3.5,"Excellent", I1128&gt;3,"Good",I1128&gt;2,"Average",I1128&lt;2,"Poor")</f>
        <v>Excellent</v>
      </c>
      <c r="S1128" t="str">
        <f t="shared" si="70"/>
        <v xml:space="preserve"> </v>
      </c>
      <c r="U1128">
        <f t="shared" si="71"/>
        <v>2023</v>
      </c>
      <c r="AA1128" t="str">
        <f t="shared" ca="1" si="72"/>
        <v/>
      </c>
    </row>
    <row r="1129" spans="1:27" x14ac:dyDescent="0.3">
      <c r="A1129" t="s">
        <v>2279</v>
      </c>
      <c r="B1129" t="s">
        <v>2280</v>
      </c>
      <c r="C1129" t="s">
        <v>57</v>
      </c>
      <c r="D1129" t="s">
        <v>31</v>
      </c>
      <c r="E1129" s="1">
        <v>44816</v>
      </c>
      <c r="F1129" t="s">
        <v>14</v>
      </c>
      <c r="G1129">
        <v>12305</v>
      </c>
      <c r="H1129">
        <v>4221</v>
      </c>
      <c r="I1129">
        <v>3.38</v>
      </c>
      <c r="J1129">
        <v>40</v>
      </c>
      <c r="P1129">
        <f t="shared" ca="1" si="69"/>
        <v>1036</v>
      </c>
      <c r="Q1129" t="str" cm="1">
        <f t="array" ref="Q1129">_xlfn.IFS(I1129&gt;=3.5,"Excellent", I1129&gt;3,"Good",I1129&gt;2,"Average",I1129&lt;2,"Poor")</f>
        <v>Good</v>
      </c>
      <c r="S1129" t="str">
        <f t="shared" si="70"/>
        <v xml:space="preserve"> </v>
      </c>
      <c r="U1129">
        <f t="shared" si="71"/>
        <v>2022</v>
      </c>
      <c r="AA1129" t="str">
        <f t="shared" ca="1" si="72"/>
        <v/>
      </c>
    </row>
    <row r="1130" spans="1:27" x14ac:dyDescent="0.3">
      <c r="A1130" t="s">
        <v>2281</v>
      </c>
      <c r="B1130" t="s">
        <v>2282</v>
      </c>
      <c r="C1130" t="s">
        <v>17</v>
      </c>
      <c r="D1130" t="s">
        <v>62</v>
      </c>
      <c r="E1130" s="1">
        <v>45196</v>
      </c>
      <c r="F1130" t="s">
        <v>14</v>
      </c>
      <c r="G1130">
        <v>10591</v>
      </c>
      <c r="H1130">
        <v>8903</v>
      </c>
      <c r="I1130">
        <v>3.69</v>
      </c>
      <c r="J1130">
        <v>106</v>
      </c>
      <c r="P1130">
        <f t="shared" ca="1" si="69"/>
        <v>656</v>
      </c>
      <c r="Q1130" t="str" cm="1">
        <f t="array" ref="Q1130">_xlfn.IFS(I1130&gt;=3.5,"Excellent", I1130&gt;3,"Good",I1130&gt;2,"Average",I1130&lt;2,"Poor")</f>
        <v>Excellent</v>
      </c>
      <c r="S1130" t="b">
        <f t="shared" si="70"/>
        <v>1</v>
      </c>
      <c r="U1130">
        <f t="shared" si="71"/>
        <v>2023</v>
      </c>
      <c r="AA1130" t="str">
        <f t="shared" ca="1" si="72"/>
        <v/>
      </c>
    </row>
    <row r="1131" spans="1:27" x14ac:dyDescent="0.3">
      <c r="A1131" t="s">
        <v>2283</v>
      </c>
      <c r="B1131" t="s">
        <v>2284</v>
      </c>
      <c r="C1131" t="s">
        <v>36</v>
      </c>
      <c r="D1131" t="s">
        <v>62</v>
      </c>
      <c r="E1131" s="1">
        <v>45199</v>
      </c>
      <c r="F1131" t="s">
        <v>14</v>
      </c>
      <c r="G1131">
        <v>7321</v>
      </c>
      <c r="H1131">
        <v>2534</v>
      </c>
      <c r="I1131">
        <v>3.52</v>
      </c>
      <c r="J1131">
        <v>33</v>
      </c>
      <c r="P1131">
        <f t="shared" ca="1" si="69"/>
        <v>653</v>
      </c>
      <c r="Q1131" t="str" cm="1">
        <f t="array" ref="Q1131">_xlfn.IFS(I1131&gt;=3.5,"Excellent", I1131&gt;3,"Good",I1131&gt;2,"Average",I1131&lt;2,"Poor")</f>
        <v>Excellent</v>
      </c>
      <c r="S1131" t="str">
        <f t="shared" si="70"/>
        <v xml:space="preserve"> </v>
      </c>
      <c r="U1131">
        <f t="shared" si="71"/>
        <v>2023</v>
      </c>
      <c r="AA1131" t="str">
        <f t="shared" ca="1" si="72"/>
        <v/>
      </c>
    </row>
    <row r="1132" spans="1:27" x14ac:dyDescent="0.3">
      <c r="A1132" t="s">
        <v>2285</v>
      </c>
      <c r="B1132" t="s">
        <v>2286</v>
      </c>
      <c r="C1132" t="s">
        <v>17</v>
      </c>
      <c r="D1132" t="s">
        <v>31</v>
      </c>
      <c r="E1132" s="1">
        <v>45234</v>
      </c>
      <c r="F1132" t="s">
        <v>14</v>
      </c>
      <c r="G1132">
        <v>7742</v>
      </c>
      <c r="H1132">
        <v>3650</v>
      </c>
      <c r="I1132">
        <v>3.42</v>
      </c>
      <c r="J1132">
        <v>60</v>
      </c>
      <c r="P1132">
        <f t="shared" ca="1" si="69"/>
        <v>618</v>
      </c>
      <c r="Q1132" t="str" cm="1">
        <f t="array" ref="Q1132">_xlfn.IFS(I1132&gt;=3.5,"Excellent", I1132&gt;3,"Good",I1132&gt;2,"Average",I1132&lt;2,"Poor")</f>
        <v>Good</v>
      </c>
      <c r="S1132" t="str">
        <f t="shared" si="70"/>
        <v xml:space="preserve"> </v>
      </c>
      <c r="U1132">
        <f t="shared" si="71"/>
        <v>2023</v>
      </c>
      <c r="AA1132" t="str">
        <f t="shared" ca="1" si="72"/>
        <v/>
      </c>
    </row>
    <row r="1133" spans="1:27" x14ac:dyDescent="0.3">
      <c r="A1133" t="s">
        <v>2287</v>
      </c>
      <c r="B1133" t="s">
        <v>2288</v>
      </c>
      <c r="C1133" t="s">
        <v>25</v>
      </c>
      <c r="D1133" t="s">
        <v>31</v>
      </c>
      <c r="E1133" s="1">
        <v>45371</v>
      </c>
      <c r="F1133" t="s">
        <v>14</v>
      </c>
      <c r="G1133">
        <v>11854</v>
      </c>
      <c r="H1133">
        <v>1254</v>
      </c>
      <c r="I1133">
        <v>3.76</v>
      </c>
      <c r="J1133">
        <v>1</v>
      </c>
      <c r="P1133">
        <f t="shared" ca="1" si="69"/>
        <v>481</v>
      </c>
      <c r="Q1133" t="str" cm="1">
        <f t="array" ref="Q1133">_xlfn.IFS(I1133&gt;=3.5,"Excellent", I1133&gt;3,"Good",I1133&gt;2,"Average",I1133&lt;2,"Poor")</f>
        <v>Excellent</v>
      </c>
      <c r="S1133" t="str">
        <f t="shared" si="70"/>
        <v xml:space="preserve"> </v>
      </c>
      <c r="U1133">
        <f t="shared" si="71"/>
        <v>2024</v>
      </c>
      <c r="AA1133" t="str">
        <f t="shared" ca="1" si="72"/>
        <v/>
      </c>
    </row>
    <row r="1134" spans="1:27" x14ac:dyDescent="0.3">
      <c r="A1134" t="s">
        <v>2289</v>
      </c>
      <c r="B1134" t="s">
        <v>2290</v>
      </c>
      <c r="C1134" t="s">
        <v>25</v>
      </c>
      <c r="D1134" t="s">
        <v>62</v>
      </c>
      <c r="E1134" s="1">
        <v>44982</v>
      </c>
      <c r="F1134" t="s">
        <v>39</v>
      </c>
      <c r="G1134">
        <v>3324</v>
      </c>
      <c r="H1134">
        <v>6168</v>
      </c>
      <c r="I1134">
        <v>3.97</v>
      </c>
      <c r="J1134">
        <v>54</v>
      </c>
      <c r="P1134" t="str">
        <f t="shared" ca="1" si="69"/>
        <v xml:space="preserve"> </v>
      </c>
      <c r="Q1134" t="str" cm="1">
        <f t="array" ref="Q1134">_xlfn.IFS(I1134&gt;=3.5,"Excellent", I1134&gt;3,"Good",I1134&gt;2,"Average",I1134&lt;2,"Poor")</f>
        <v>Excellent</v>
      </c>
      <c r="S1134" t="b">
        <f t="shared" si="70"/>
        <v>1</v>
      </c>
      <c r="U1134">
        <f t="shared" si="71"/>
        <v>2023</v>
      </c>
      <c r="AA1134" t="str">
        <f t="shared" ca="1" si="72"/>
        <v/>
      </c>
    </row>
    <row r="1135" spans="1:27" x14ac:dyDescent="0.3">
      <c r="A1135" t="s">
        <v>2291</v>
      </c>
      <c r="B1135" t="s">
        <v>2292</v>
      </c>
      <c r="C1135" t="s">
        <v>17</v>
      </c>
      <c r="D1135" t="s">
        <v>62</v>
      </c>
      <c r="E1135" s="1">
        <v>45381</v>
      </c>
      <c r="F1135" t="s">
        <v>14</v>
      </c>
      <c r="G1135">
        <v>6655</v>
      </c>
      <c r="H1135">
        <v>8989</v>
      </c>
      <c r="I1135">
        <v>3.86</v>
      </c>
      <c r="J1135">
        <v>82</v>
      </c>
      <c r="P1135">
        <f t="shared" ca="1" si="69"/>
        <v>471</v>
      </c>
      <c r="Q1135" t="str" cm="1">
        <f t="array" ref="Q1135">_xlfn.IFS(I1135&gt;=3.5,"Excellent", I1135&gt;3,"Good",I1135&gt;2,"Average",I1135&lt;2,"Poor")</f>
        <v>Excellent</v>
      </c>
      <c r="S1135" t="b">
        <f t="shared" si="70"/>
        <v>1</v>
      </c>
      <c r="U1135">
        <f t="shared" si="71"/>
        <v>2024</v>
      </c>
      <c r="AA1135" t="str">
        <f t="shared" ca="1" si="72"/>
        <v/>
      </c>
    </row>
    <row r="1136" spans="1:27" x14ac:dyDescent="0.3">
      <c r="A1136" t="s">
        <v>2293</v>
      </c>
      <c r="B1136" t="s">
        <v>2294</v>
      </c>
      <c r="C1136" t="s">
        <v>36</v>
      </c>
      <c r="D1136" t="s">
        <v>13</v>
      </c>
      <c r="E1136" s="1">
        <v>44571</v>
      </c>
      <c r="F1136" t="s">
        <v>14</v>
      </c>
      <c r="G1136">
        <v>6724</v>
      </c>
      <c r="H1136">
        <v>1796</v>
      </c>
      <c r="I1136">
        <v>3.56</v>
      </c>
      <c r="J1136">
        <v>9</v>
      </c>
      <c r="P1136">
        <f t="shared" ca="1" si="69"/>
        <v>1281</v>
      </c>
      <c r="Q1136" t="str" cm="1">
        <f t="array" ref="Q1136">_xlfn.IFS(I1136&gt;=3.5,"Excellent", I1136&gt;3,"Good",I1136&gt;2,"Average",I1136&lt;2,"Poor")</f>
        <v>Excellent</v>
      </c>
      <c r="S1136" t="str">
        <f t="shared" si="70"/>
        <v xml:space="preserve"> </v>
      </c>
      <c r="U1136">
        <f t="shared" si="71"/>
        <v>2022</v>
      </c>
      <c r="AA1136" t="str">
        <f t="shared" ca="1" si="72"/>
        <v/>
      </c>
    </row>
    <row r="1137" spans="1:27" x14ac:dyDescent="0.3">
      <c r="A1137" t="s">
        <v>2295</v>
      </c>
      <c r="B1137" t="s">
        <v>2296</v>
      </c>
      <c r="C1137" t="s">
        <v>57</v>
      </c>
      <c r="D1137" t="s">
        <v>62</v>
      </c>
      <c r="E1137" s="1">
        <v>45323</v>
      </c>
      <c r="F1137" t="s">
        <v>19</v>
      </c>
      <c r="G1137">
        <v>7277</v>
      </c>
      <c r="H1137">
        <v>7758</v>
      </c>
      <c r="I1137">
        <v>3.04</v>
      </c>
      <c r="J1137">
        <v>0</v>
      </c>
      <c r="P1137" t="str">
        <f t="shared" ca="1" si="69"/>
        <v xml:space="preserve"> </v>
      </c>
      <c r="Q1137" t="str" cm="1">
        <f t="array" ref="Q1137">_xlfn.IFS(I1137&gt;=3.5,"Excellent", I1137&gt;3,"Good",I1137&gt;2,"Average",I1137&lt;2,"Poor")</f>
        <v>Good</v>
      </c>
      <c r="S1137" t="b">
        <f t="shared" si="70"/>
        <v>1</v>
      </c>
      <c r="U1137">
        <f t="shared" si="71"/>
        <v>2024</v>
      </c>
      <c r="AA1137">
        <f t="shared" ca="1" si="72"/>
        <v>529</v>
      </c>
    </row>
    <row r="1138" spans="1:27" x14ac:dyDescent="0.3">
      <c r="A1138" t="s">
        <v>2297</v>
      </c>
      <c r="B1138" t="s">
        <v>2298</v>
      </c>
      <c r="C1138" t="s">
        <v>25</v>
      </c>
      <c r="D1138" t="s">
        <v>31</v>
      </c>
      <c r="E1138" s="1">
        <v>44637</v>
      </c>
      <c r="F1138" t="s">
        <v>14</v>
      </c>
      <c r="G1138">
        <v>10295</v>
      </c>
      <c r="H1138">
        <v>4718</v>
      </c>
      <c r="I1138">
        <v>2.93</v>
      </c>
      <c r="J1138">
        <v>80</v>
      </c>
      <c r="P1138">
        <f t="shared" ca="1" si="69"/>
        <v>1215</v>
      </c>
      <c r="Q1138" t="str" cm="1">
        <f t="array" ref="Q1138">_xlfn.IFS(I1138&gt;=3.5,"Excellent", I1138&gt;3,"Good",I1138&gt;2,"Average",I1138&lt;2,"Poor")</f>
        <v>Average</v>
      </c>
      <c r="S1138" t="str">
        <f t="shared" si="70"/>
        <v xml:space="preserve"> </v>
      </c>
      <c r="U1138">
        <f t="shared" si="71"/>
        <v>2022</v>
      </c>
      <c r="AA1138" t="str">
        <f t="shared" ca="1" si="72"/>
        <v/>
      </c>
    </row>
    <row r="1139" spans="1:27" x14ac:dyDescent="0.3">
      <c r="A1139" t="s">
        <v>2299</v>
      </c>
      <c r="B1139" t="s">
        <v>2300</v>
      </c>
      <c r="C1139" t="s">
        <v>22</v>
      </c>
      <c r="D1139" t="s">
        <v>31</v>
      </c>
      <c r="E1139" s="1">
        <v>44600</v>
      </c>
      <c r="F1139" t="s">
        <v>14</v>
      </c>
      <c r="G1139">
        <v>14993</v>
      </c>
      <c r="H1139">
        <v>3599</v>
      </c>
      <c r="I1139">
        <v>2.61</v>
      </c>
      <c r="J1139">
        <v>47</v>
      </c>
      <c r="P1139">
        <f t="shared" ca="1" si="69"/>
        <v>1252</v>
      </c>
      <c r="Q1139" t="str" cm="1">
        <f t="array" ref="Q1139">_xlfn.IFS(I1139&gt;=3.5,"Excellent", I1139&gt;3,"Good",I1139&gt;2,"Average",I1139&lt;2,"Poor")</f>
        <v>Average</v>
      </c>
      <c r="S1139" t="str">
        <f t="shared" si="70"/>
        <v xml:space="preserve"> </v>
      </c>
      <c r="U1139">
        <f t="shared" si="71"/>
        <v>2022</v>
      </c>
      <c r="AA1139" t="str">
        <f t="shared" ca="1" si="72"/>
        <v/>
      </c>
    </row>
    <row r="1140" spans="1:27" x14ac:dyDescent="0.3">
      <c r="A1140" t="s">
        <v>2301</v>
      </c>
      <c r="B1140" t="s">
        <v>2302</v>
      </c>
      <c r="C1140" t="s">
        <v>17</v>
      </c>
      <c r="D1140" t="s">
        <v>62</v>
      </c>
      <c r="E1140" s="1">
        <v>45284</v>
      </c>
      <c r="F1140" t="s">
        <v>14</v>
      </c>
      <c r="G1140">
        <v>4493</v>
      </c>
      <c r="H1140">
        <v>7576</v>
      </c>
      <c r="I1140">
        <v>2.69</v>
      </c>
      <c r="J1140">
        <v>99</v>
      </c>
      <c r="P1140">
        <f t="shared" ca="1" si="69"/>
        <v>568</v>
      </c>
      <c r="Q1140" t="str" cm="1">
        <f t="array" ref="Q1140">_xlfn.IFS(I1140&gt;=3.5,"Excellent", I1140&gt;3,"Good",I1140&gt;2,"Average",I1140&lt;2,"Poor")</f>
        <v>Average</v>
      </c>
      <c r="S1140" t="b">
        <f t="shared" si="70"/>
        <v>1</v>
      </c>
      <c r="U1140">
        <f t="shared" si="71"/>
        <v>2023</v>
      </c>
      <c r="AA1140" t="str">
        <f t="shared" ca="1" si="72"/>
        <v/>
      </c>
    </row>
    <row r="1141" spans="1:27" x14ac:dyDescent="0.3">
      <c r="A1141" t="s">
        <v>2303</v>
      </c>
      <c r="B1141" t="s">
        <v>2304</v>
      </c>
      <c r="C1141" t="s">
        <v>12</v>
      </c>
      <c r="D1141" t="s">
        <v>31</v>
      </c>
      <c r="E1141" s="1">
        <v>45010</v>
      </c>
      <c r="F1141" t="s">
        <v>14</v>
      </c>
      <c r="G1141">
        <v>6908</v>
      </c>
      <c r="H1141">
        <v>4097</v>
      </c>
      <c r="I1141">
        <v>3.41</v>
      </c>
      <c r="J1141">
        <v>65</v>
      </c>
      <c r="P1141">
        <f t="shared" ca="1" si="69"/>
        <v>842</v>
      </c>
      <c r="Q1141" t="str" cm="1">
        <f t="array" ref="Q1141">_xlfn.IFS(I1141&gt;=3.5,"Excellent", I1141&gt;3,"Good",I1141&gt;2,"Average",I1141&lt;2,"Poor")</f>
        <v>Good</v>
      </c>
      <c r="S1141" t="b">
        <f t="shared" si="70"/>
        <v>1</v>
      </c>
      <c r="U1141">
        <f t="shared" si="71"/>
        <v>2023</v>
      </c>
      <c r="AA1141" t="str">
        <f t="shared" ca="1" si="72"/>
        <v/>
      </c>
    </row>
    <row r="1142" spans="1:27" x14ac:dyDescent="0.3">
      <c r="A1142" t="s">
        <v>2305</v>
      </c>
      <c r="B1142" t="s">
        <v>2306</v>
      </c>
      <c r="C1142" t="s">
        <v>57</v>
      </c>
      <c r="D1142" t="s">
        <v>31</v>
      </c>
      <c r="E1142" s="1">
        <v>44727</v>
      </c>
      <c r="F1142" t="s">
        <v>14</v>
      </c>
      <c r="G1142">
        <v>13292</v>
      </c>
      <c r="H1142">
        <v>1593</v>
      </c>
      <c r="I1142">
        <v>3.54</v>
      </c>
      <c r="J1142">
        <v>72</v>
      </c>
      <c r="P1142">
        <f t="shared" ca="1" si="69"/>
        <v>1125</v>
      </c>
      <c r="Q1142" t="str" cm="1">
        <f t="array" ref="Q1142">_xlfn.IFS(I1142&gt;=3.5,"Excellent", I1142&gt;3,"Good",I1142&gt;2,"Average",I1142&lt;2,"Poor")</f>
        <v>Excellent</v>
      </c>
      <c r="S1142" t="str">
        <f t="shared" si="70"/>
        <v xml:space="preserve"> </v>
      </c>
      <c r="U1142">
        <f t="shared" si="71"/>
        <v>2022</v>
      </c>
      <c r="AA1142" t="str">
        <f t="shared" ca="1" si="72"/>
        <v/>
      </c>
    </row>
    <row r="1143" spans="1:27" x14ac:dyDescent="0.3">
      <c r="A1143" t="s">
        <v>2307</v>
      </c>
      <c r="B1143" t="s">
        <v>2308</v>
      </c>
      <c r="C1143" t="s">
        <v>54</v>
      </c>
      <c r="D1143" t="s">
        <v>31</v>
      </c>
      <c r="E1143" s="1">
        <v>45363</v>
      </c>
      <c r="F1143" t="s">
        <v>14</v>
      </c>
      <c r="G1143">
        <v>14486</v>
      </c>
      <c r="H1143">
        <v>3971</v>
      </c>
      <c r="I1143">
        <v>3.31</v>
      </c>
      <c r="J1143">
        <v>97</v>
      </c>
      <c r="P1143">
        <f t="shared" ca="1" si="69"/>
        <v>489</v>
      </c>
      <c r="Q1143" t="str" cm="1">
        <f t="array" ref="Q1143">_xlfn.IFS(I1143&gt;=3.5,"Excellent", I1143&gt;3,"Good",I1143&gt;2,"Average",I1143&lt;2,"Poor")</f>
        <v>Good</v>
      </c>
      <c r="S1143" t="str">
        <f t="shared" si="70"/>
        <v xml:space="preserve"> </v>
      </c>
      <c r="U1143">
        <f t="shared" si="71"/>
        <v>2024</v>
      </c>
      <c r="AA1143" t="str">
        <f t="shared" ca="1" si="72"/>
        <v/>
      </c>
    </row>
    <row r="1144" spans="1:27" x14ac:dyDescent="0.3">
      <c r="A1144" t="s">
        <v>2309</v>
      </c>
      <c r="B1144" t="s">
        <v>2310</v>
      </c>
      <c r="C1144" t="s">
        <v>25</v>
      </c>
      <c r="D1144" t="s">
        <v>18</v>
      </c>
      <c r="E1144" s="1">
        <v>45441</v>
      </c>
      <c r="F1144" t="s">
        <v>19</v>
      </c>
      <c r="G1144">
        <v>9401</v>
      </c>
      <c r="H1144">
        <v>6397</v>
      </c>
      <c r="I1144">
        <v>3.79</v>
      </c>
      <c r="J1144">
        <v>99</v>
      </c>
      <c r="P1144" t="str">
        <f t="shared" ca="1" si="69"/>
        <v xml:space="preserve"> </v>
      </c>
      <c r="Q1144" t="str" cm="1">
        <f t="array" ref="Q1144">_xlfn.IFS(I1144&gt;=3.5,"Excellent", I1144&gt;3,"Good",I1144&gt;2,"Average",I1144&lt;2,"Poor")</f>
        <v>Excellent</v>
      </c>
      <c r="S1144" t="b">
        <f t="shared" si="70"/>
        <v>1</v>
      </c>
      <c r="U1144">
        <f t="shared" si="71"/>
        <v>2024</v>
      </c>
      <c r="AA1144">
        <f t="shared" ca="1" si="72"/>
        <v>411</v>
      </c>
    </row>
    <row r="1145" spans="1:27" x14ac:dyDescent="0.3">
      <c r="A1145" t="s">
        <v>2311</v>
      </c>
      <c r="B1145" t="s">
        <v>2312</v>
      </c>
      <c r="C1145" t="s">
        <v>25</v>
      </c>
      <c r="D1145" t="s">
        <v>13</v>
      </c>
      <c r="E1145" s="1">
        <v>45335</v>
      </c>
      <c r="F1145" t="s">
        <v>14</v>
      </c>
      <c r="G1145">
        <v>9412</v>
      </c>
      <c r="H1145">
        <v>8356</v>
      </c>
      <c r="I1145">
        <v>2.4900000000000002</v>
      </c>
      <c r="J1145">
        <v>57</v>
      </c>
      <c r="P1145">
        <f t="shared" ca="1" si="69"/>
        <v>517</v>
      </c>
      <c r="Q1145" t="str" cm="1">
        <f t="array" ref="Q1145">_xlfn.IFS(I1145&gt;=3.5,"Excellent", I1145&gt;3,"Good",I1145&gt;2,"Average",I1145&lt;2,"Poor")</f>
        <v>Average</v>
      </c>
      <c r="S1145" t="b">
        <f t="shared" si="70"/>
        <v>1</v>
      </c>
      <c r="U1145">
        <f t="shared" si="71"/>
        <v>2024</v>
      </c>
      <c r="AA1145" t="str">
        <f t="shared" ca="1" si="72"/>
        <v/>
      </c>
    </row>
    <row r="1146" spans="1:27" x14ac:dyDescent="0.3">
      <c r="A1146" t="s">
        <v>2313</v>
      </c>
      <c r="B1146" t="s">
        <v>2314</v>
      </c>
      <c r="C1146" t="s">
        <v>54</v>
      </c>
      <c r="D1146" t="s">
        <v>13</v>
      </c>
      <c r="E1146" s="1">
        <v>45271</v>
      </c>
      <c r="F1146" t="s">
        <v>14</v>
      </c>
      <c r="G1146">
        <v>4940</v>
      </c>
      <c r="H1146">
        <v>3090</v>
      </c>
      <c r="I1146">
        <v>3.66</v>
      </c>
      <c r="J1146">
        <v>59</v>
      </c>
      <c r="P1146">
        <f t="shared" ca="1" si="69"/>
        <v>581</v>
      </c>
      <c r="Q1146" t="str" cm="1">
        <f t="array" ref="Q1146">_xlfn.IFS(I1146&gt;=3.5,"Excellent", I1146&gt;3,"Good",I1146&gt;2,"Average",I1146&lt;2,"Poor")</f>
        <v>Excellent</v>
      </c>
      <c r="S1146" t="b">
        <f t="shared" si="70"/>
        <v>1</v>
      </c>
      <c r="U1146">
        <f t="shared" si="71"/>
        <v>2023</v>
      </c>
      <c r="AA1146" t="str">
        <f t="shared" ca="1" si="72"/>
        <v/>
      </c>
    </row>
    <row r="1147" spans="1:27" x14ac:dyDescent="0.3">
      <c r="A1147" t="s">
        <v>2315</v>
      </c>
      <c r="B1147" t="s">
        <v>2316</v>
      </c>
      <c r="C1147" t="s">
        <v>17</v>
      </c>
      <c r="D1147" t="s">
        <v>62</v>
      </c>
      <c r="E1147" s="1">
        <v>45416</v>
      </c>
      <c r="F1147" t="s">
        <v>19</v>
      </c>
      <c r="G1147">
        <v>2258</v>
      </c>
      <c r="H1147">
        <v>2167</v>
      </c>
      <c r="I1147">
        <v>3.71</v>
      </c>
      <c r="J1147">
        <v>37</v>
      </c>
      <c r="P1147" t="str">
        <f t="shared" ca="1" si="69"/>
        <v xml:space="preserve"> </v>
      </c>
      <c r="Q1147" t="str" cm="1">
        <f t="array" ref="Q1147">_xlfn.IFS(I1147&gt;=3.5,"Excellent", I1147&gt;3,"Good",I1147&gt;2,"Average",I1147&lt;2,"Poor")</f>
        <v>Excellent</v>
      </c>
      <c r="S1147" t="b">
        <f t="shared" si="70"/>
        <v>1</v>
      </c>
      <c r="U1147">
        <f t="shared" si="71"/>
        <v>2024</v>
      </c>
      <c r="AA1147">
        <f t="shared" ca="1" si="72"/>
        <v>436</v>
      </c>
    </row>
    <row r="1148" spans="1:27" x14ac:dyDescent="0.3">
      <c r="A1148" t="s">
        <v>2317</v>
      </c>
      <c r="B1148" t="s">
        <v>2318</v>
      </c>
      <c r="C1148" t="s">
        <v>54</v>
      </c>
      <c r="D1148" t="s">
        <v>62</v>
      </c>
      <c r="E1148" s="1">
        <v>45105</v>
      </c>
      <c r="F1148" t="s">
        <v>14</v>
      </c>
      <c r="G1148">
        <v>12187</v>
      </c>
      <c r="H1148">
        <v>6773</v>
      </c>
      <c r="I1148">
        <v>3.49</v>
      </c>
      <c r="J1148">
        <v>74</v>
      </c>
      <c r="P1148">
        <f t="shared" ca="1" si="69"/>
        <v>747</v>
      </c>
      <c r="Q1148" t="str" cm="1">
        <f t="array" ref="Q1148">_xlfn.IFS(I1148&gt;=3.5,"Excellent", I1148&gt;3,"Good",I1148&gt;2,"Average",I1148&lt;2,"Poor")</f>
        <v>Good</v>
      </c>
      <c r="S1148" t="b">
        <f t="shared" si="70"/>
        <v>1</v>
      </c>
      <c r="U1148">
        <f t="shared" si="71"/>
        <v>2023</v>
      </c>
      <c r="AA1148" t="str">
        <f t="shared" ca="1" si="72"/>
        <v/>
      </c>
    </row>
    <row r="1149" spans="1:27" x14ac:dyDescent="0.3">
      <c r="A1149" t="s">
        <v>2319</v>
      </c>
      <c r="B1149" t="s">
        <v>2320</v>
      </c>
      <c r="C1149" t="s">
        <v>57</v>
      </c>
      <c r="D1149" t="s">
        <v>31</v>
      </c>
      <c r="E1149" s="1">
        <v>44855</v>
      </c>
      <c r="F1149" t="s">
        <v>14</v>
      </c>
      <c r="G1149">
        <v>11200</v>
      </c>
      <c r="H1149">
        <v>302</v>
      </c>
      <c r="I1149">
        <v>2.75</v>
      </c>
      <c r="J1149">
        <v>13</v>
      </c>
      <c r="P1149">
        <f t="shared" ca="1" si="69"/>
        <v>997</v>
      </c>
      <c r="Q1149" t="str" cm="1">
        <f t="array" ref="Q1149">_xlfn.IFS(I1149&gt;=3.5,"Excellent", I1149&gt;3,"Good",I1149&gt;2,"Average",I1149&lt;2,"Poor")</f>
        <v>Average</v>
      </c>
      <c r="S1149" t="str">
        <f t="shared" si="70"/>
        <v xml:space="preserve"> </v>
      </c>
      <c r="U1149">
        <f t="shared" si="71"/>
        <v>2022</v>
      </c>
      <c r="AA1149" t="str">
        <f t="shared" ca="1" si="72"/>
        <v/>
      </c>
    </row>
    <row r="1150" spans="1:27" x14ac:dyDescent="0.3">
      <c r="A1150" t="s">
        <v>2321</v>
      </c>
      <c r="B1150" t="s">
        <v>2322</v>
      </c>
      <c r="C1150" t="s">
        <v>25</v>
      </c>
      <c r="D1150" t="s">
        <v>18</v>
      </c>
      <c r="E1150" s="1">
        <v>44909</v>
      </c>
      <c r="F1150" t="s">
        <v>14</v>
      </c>
      <c r="G1150">
        <v>3576</v>
      </c>
      <c r="H1150">
        <v>1605</v>
      </c>
      <c r="I1150">
        <v>2.0699999999999998</v>
      </c>
      <c r="J1150">
        <v>18</v>
      </c>
      <c r="P1150">
        <f t="shared" ca="1" si="69"/>
        <v>943</v>
      </c>
      <c r="Q1150" t="str" cm="1">
        <f t="array" ref="Q1150">_xlfn.IFS(I1150&gt;=3.5,"Excellent", I1150&gt;3,"Good",I1150&gt;2,"Average",I1150&lt;2,"Poor")</f>
        <v>Average</v>
      </c>
      <c r="S1150" t="str">
        <f t="shared" si="70"/>
        <v xml:space="preserve"> </v>
      </c>
      <c r="U1150">
        <f t="shared" si="71"/>
        <v>2022</v>
      </c>
      <c r="AA1150" t="str">
        <f t="shared" ca="1" si="72"/>
        <v/>
      </c>
    </row>
    <row r="1151" spans="1:27" x14ac:dyDescent="0.3">
      <c r="A1151" t="s">
        <v>2323</v>
      </c>
      <c r="B1151" t="s">
        <v>2324</v>
      </c>
      <c r="C1151" t="s">
        <v>22</v>
      </c>
      <c r="D1151" t="s">
        <v>31</v>
      </c>
      <c r="E1151" s="1">
        <v>45250</v>
      </c>
      <c r="F1151" t="s">
        <v>14</v>
      </c>
      <c r="G1151">
        <v>6142</v>
      </c>
      <c r="H1151">
        <v>1679</v>
      </c>
      <c r="I1151">
        <v>2.72</v>
      </c>
      <c r="J1151">
        <v>82</v>
      </c>
      <c r="P1151">
        <f t="shared" ca="1" si="69"/>
        <v>602</v>
      </c>
      <c r="Q1151" t="str" cm="1">
        <f t="array" ref="Q1151">_xlfn.IFS(I1151&gt;=3.5,"Excellent", I1151&gt;3,"Good",I1151&gt;2,"Average",I1151&lt;2,"Poor")</f>
        <v>Average</v>
      </c>
      <c r="S1151" t="str">
        <f t="shared" si="70"/>
        <v xml:space="preserve"> </v>
      </c>
      <c r="U1151">
        <f t="shared" si="71"/>
        <v>2023</v>
      </c>
      <c r="AA1151" t="str">
        <f t="shared" ca="1" si="72"/>
        <v/>
      </c>
    </row>
    <row r="1152" spans="1:27" x14ac:dyDescent="0.3">
      <c r="A1152" t="s">
        <v>2325</v>
      </c>
      <c r="B1152" t="s">
        <v>2326</v>
      </c>
      <c r="C1152" t="s">
        <v>28</v>
      </c>
      <c r="D1152" t="s">
        <v>18</v>
      </c>
      <c r="E1152" s="1">
        <v>45054</v>
      </c>
      <c r="F1152" t="s">
        <v>14</v>
      </c>
      <c r="G1152">
        <v>11980</v>
      </c>
      <c r="H1152">
        <v>6646</v>
      </c>
      <c r="I1152">
        <v>2.04</v>
      </c>
      <c r="J1152">
        <v>84</v>
      </c>
      <c r="P1152">
        <f t="shared" ca="1" si="69"/>
        <v>798</v>
      </c>
      <c r="Q1152" t="str" cm="1">
        <f t="array" ref="Q1152">_xlfn.IFS(I1152&gt;=3.5,"Excellent", I1152&gt;3,"Good",I1152&gt;2,"Average",I1152&lt;2,"Poor")</f>
        <v>Average</v>
      </c>
      <c r="S1152" t="b">
        <f t="shared" si="70"/>
        <v>1</v>
      </c>
      <c r="U1152">
        <f t="shared" si="71"/>
        <v>2023</v>
      </c>
      <c r="AA1152" t="str">
        <f t="shared" ca="1" si="72"/>
        <v/>
      </c>
    </row>
    <row r="1153" spans="1:27" x14ac:dyDescent="0.3">
      <c r="A1153" t="s">
        <v>2327</v>
      </c>
      <c r="B1153" t="s">
        <v>2328</v>
      </c>
      <c r="C1153" t="s">
        <v>25</v>
      </c>
      <c r="D1153" t="s">
        <v>18</v>
      </c>
      <c r="E1153" s="1">
        <v>45461</v>
      </c>
      <c r="F1153" t="s">
        <v>14</v>
      </c>
      <c r="G1153">
        <v>7486</v>
      </c>
      <c r="H1153">
        <v>7006</v>
      </c>
      <c r="I1153">
        <v>2.86</v>
      </c>
      <c r="J1153">
        <v>104</v>
      </c>
      <c r="P1153">
        <f t="shared" ca="1" si="69"/>
        <v>391</v>
      </c>
      <c r="Q1153" t="str" cm="1">
        <f t="array" ref="Q1153">_xlfn.IFS(I1153&gt;=3.5,"Excellent", I1153&gt;3,"Good",I1153&gt;2,"Average",I1153&lt;2,"Poor")</f>
        <v>Average</v>
      </c>
      <c r="S1153" t="b">
        <f t="shared" si="70"/>
        <v>1</v>
      </c>
      <c r="U1153">
        <f t="shared" si="71"/>
        <v>2024</v>
      </c>
      <c r="AA1153" t="str">
        <f t="shared" ca="1" si="72"/>
        <v/>
      </c>
    </row>
    <row r="1154" spans="1:27" x14ac:dyDescent="0.3">
      <c r="A1154" t="s">
        <v>2329</v>
      </c>
      <c r="B1154" t="s">
        <v>2330</v>
      </c>
      <c r="C1154" t="s">
        <v>54</v>
      </c>
      <c r="D1154" t="s">
        <v>13</v>
      </c>
      <c r="E1154" s="1">
        <v>45233</v>
      </c>
      <c r="F1154" t="s">
        <v>14</v>
      </c>
      <c r="G1154">
        <v>5997</v>
      </c>
      <c r="H1154">
        <v>6311</v>
      </c>
      <c r="I1154">
        <v>2.66</v>
      </c>
      <c r="J1154">
        <v>49</v>
      </c>
      <c r="P1154">
        <f t="shared" ca="1" si="69"/>
        <v>619</v>
      </c>
      <c r="Q1154" t="str" cm="1">
        <f t="array" ref="Q1154">_xlfn.IFS(I1154&gt;=3.5,"Excellent", I1154&gt;3,"Good",I1154&gt;2,"Average",I1154&lt;2,"Poor")</f>
        <v>Average</v>
      </c>
      <c r="S1154" t="b">
        <f t="shared" si="70"/>
        <v>1</v>
      </c>
      <c r="U1154">
        <f t="shared" si="71"/>
        <v>2023</v>
      </c>
      <c r="AA1154" t="str">
        <f t="shared" ca="1" si="72"/>
        <v/>
      </c>
    </row>
    <row r="1155" spans="1:27" x14ac:dyDescent="0.3">
      <c r="A1155" t="s">
        <v>2331</v>
      </c>
      <c r="B1155" t="s">
        <v>2332</v>
      </c>
      <c r="C1155" t="s">
        <v>54</v>
      </c>
      <c r="D1155" t="s">
        <v>31</v>
      </c>
      <c r="E1155" s="1">
        <v>44609</v>
      </c>
      <c r="F1155" t="s">
        <v>19</v>
      </c>
      <c r="G1155">
        <v>10841</v>
      </c>
      <c r="H1155">
        <v>3690</v>
      </c>
      <c r="I1155">
        <v>2.39</v>
      </c>
      <c r="J1155">
        <v>68</v>
      </c>
      <c r="P1155" t="str">
        <f t="shared" ref="P1155:P1201" ca="1" si="73">IF(F1155="Enrolled",TODAY()-E1155, " ")</f>
        <v xml:space="preserve"> </v>
      </c>
      <c r="Q1155" t="str" cm="1">
        <f t="array" ref="Q1155">_xlfn.IFS(I1155&gt;=3.5,"Excellent", I1155&gt;3,"Good",I1155&gt;2,"Average",I1155&lt;2,"Poor")</f>
        <v>Average</v>
      </c>
      <c r="S1155" t="str">
        <f t="shared" ref="S1155:S1200" si="74">IF(H1155&gt;0.5*G1155,TRUE, " " )</f>
        <v xml:space="preserve"> </v>
      </c>
      <c r="U1155">
        <f t="shared" ref="U1155:U1200" si="75">YEAR(E1155)</f>
        <v>2022</v>
      </c>
      <c r="AA1155">
        <f t="shared" ref="AA1155:AA1201" ca="1" si="76">IF(F1155="Completed",TODAY()-E1155,"")</f>
        <v>1243</v>
      </c>
    </row>
    <row r="1156" spans="1:27" x14ac:dyDescent="0.3">
      <c r="A1156" t="s">
        <v>2333</v>
      </c>
      <c r="B1156" t="s">
        <v>2334</v>
      </c>
      <c r="C1156" t="s">
        <v>25</v>
      </c>
      <c r="D1156" t="s">
        <v>62</v>
      </c>
      <c r="E1156" s="1">
        <v>45176</v>
      </c>
      <c r="F1156" t="s">
        <v>14</v>
      </c>
      <c r="G1156">
        <v>3841</v>
      </c>
      <c r="H1156">
        <v>4198</v>
      </c>
      <c r="I1156">
        <v>2.38</v>
      </c>
      <c r="J1156">
        <v>53</v>
      </c>
      <c r="P1156">
        <f t="shared" ca="1" si="73"/>
        <v>676</v>
      </c>
      <c r="Q1156" t="str" cm="1">
        <f t="array" ref="Q1156">_xlfn.IFS(I1156&gt;=3.5,"Excellent", I1156&gt;3,"Good",I1156&gt;2,"Average",I1156&lt;2,"Poor")</f>
        <v>Average</v>
      </c>
      <c r="S1156" t="b">
        <f t="shared" si="74"/>
        <v>1</v>
      </c>
      <c r="U1156">
        <f t="shared" si="75"/>
        <v>2023</v>
      </c>
      <c r="AA1156" t="str">
        <f t="shared" ca="1" si="76"/>
        <v/>
      </c>
    </row>
    <row r="1157" spans="1:27" x14ac:dyDescent="0.3">
      <c r="A1157" t="s">
        <v>2335</v>
      </c>
      <c r="B1157" t="s">
        <v>2336</v>
      </c>
      <c r="C1157" t="s">
        <v>12</v>
      </c>
      <c r="D1157" t="s">
        <v>62</v>
      </c>
      <c r="E1157" s="1">
        <v>45455</v>
      </c>
      <c r="F1157" t="s">
        <v>14</v>
      </c>
      <c r="G1157">
        <v>13164</v>
      </c>
      <c r="H1157">
        <v>4550</v>
      </c>
      <c r="I1157">
        <v>3.08</v>
      </c>
      <c r="J1157">
        <v>62</v>
      </c>
      <c r="P1157">
        <f t="shared" ca="1" si="73"/>
        <v>397</v>
      </c>
      <c r="Q1157" t="str" cm="1">
        <f t="array" ref="Q1157">_xlfn.IFS(I1157&gt;=3.5,"Excellent", I1157&gt;3,"Good",I1157&gt;2,"Average",I1157&lt;2,"Poor")</f>
        <v>Good</v>
      </c>
      <c r="S1157" t="str">
        <f t="shared" si="74"/>
        <v xml:space="preserve"> </v>
      </c>
      <c r="U1157">
        <f t="shared" si="75"/>
        <v>2024</v>
      </c>
      <c r="AA1157" t="str">
        <f t="shared" ca="1" si="76"/>
        <v/>
      </c>
    </row>
    <row r="1158" spans="1:27" x14ac:dyDescent="0.3">
      <c r="A1158" t="s">
        <v>2337</v>
      </c>
      <c r="B1158" t="s">
        <v>2338</v>
      </c>
      <c r="C1158" t="s">
        <v>22</v>
      </c>
      <c r="D1158" t="s">
        <v>13</v>
      </c>
      <c r="E1158" s="1">
        <v>44983</v>
      </c>
      <c r="F1158" t="s">
        <v>39</v>
      </c>
      <c r="G1158">
        <v>5796</v>
      </c>
      <c r="H1158">
        <v>9267</v>
      </c>
      <c r="I1158">
        <v>3.81</v>
      </c>
      <c r="J1158">
        <v>68</v>
      </c>
      <c r="P1158" t="str">
        <f t="shared" ca="1" si="73"/>
        <v xml:space="preserve"> </v>
      </c>
      <c r="Q1158" t="str" cm="1">
        <f t="array" ref="Q1158">_xlfn.IFS(I1158&gt;=3.5,"Excellent", I1158&gt;3,"Good",I1158&gt;2,"Average",I1158&lt;2,"Poor")</f>
        <v>Excellent</v>
      </c>
      <c r="S1158" t="b">
        <f t="shared" si="74"/>
        <v>1</v>
      </c>
      <c r="U1158">
        <f t="shared" si="75"/>
        <v>2023</v>
      </c>
      <c r="AA1158" t="str">
        <f t="shared" ca="1" si="76"/>
        <v/>
      </c>
    </row>
    <row r="1159" spans="1:27" x14ac:dyDescent="0.3">
      <c r="A1159" t="s">
        <v>2339</v>
      </c>
      <c r="B1159" t="s">
        <v>2340</v>
      </c>
      <c r="C1159" t="s">
        <v>22</v>
      </c>
      <c r="D1159" t="s">
        <v>31</v>
      </c>
      <c r="E1159" s="1">
        <v>44734</v>
      </c>
      <c r="F1159" t="s">
        <v>14</v>
      </c>
      <c r="G1159">
        <v>9635</v>
      </c>
      <c r="H1159">
        <v>3090</v>
      </c>
      <c r="I1159">
        <v>2.99</v>
      </c>
      <c r="J1159">
        <v>33</v>
      </c>
      <c r="P1159">
        <f t="shared" ca="1" si="73"/>
        <v>1118</v>
      </c>
      <c r="Q1159" t="str" cm="1">
        <f t="array" ref="Q1159">_xlfn.IFS(I1159&gt;=3.5,"Excellent", I1159&gt;3,"Good",I1159&gt;2,"Average",I1159&lt;2,"Poor")</f>
        <v>Average</v>
      </c>
      <c r="S1159" t="str">
        <f t="shared" si="74"/>
        <v xml:space="preserve"> </v>
      </c>
      <c r="U1159">
        <f t="shared" si="75"/>
        <v>2022</v>
      </c>
      <c r="AA1159" t="str">
        <f t="shared" ca="1" si="76"/>
        <v/>
      </c>
    </row>
    <row r="1160" spans="1:27" x14ac:dyDescent="0.3">
      <c r="A1160" t="s">
        <v>2341</v>
      </c>
      <c r="B1160" t="s">
        <v>2342</v>
      </c>
      <c r="C1160" t="s">
        <v>17</v>
      </c>
      <c r="D1160" t="s">
        <v>13</v>
      </c>
      <c r="E1160" s="1">
        <v>45343</v>
      </c>
      <c r="F1160" t="s">
        <v>14</v>
      </c>
      <c r="G1160">
        <v>2086</v>
      </c>
      <c r="H1160">
        <v>9790</v>
      </c>
      <c r="I1160">
        <v>2.17</v>
      </c>
      <c r="J1160">
        <v>27</v>
      </c>
      <c r="P1160">
        <f t="shared" ca="1" si="73"/>
        <v>509</v>
      </c>
      <c r="Q1160" t="str" cm="1">
        <f t="array" ref="Q1160">_xlfn.IFS(I1160&gt;=3.5,"Excellent", I1160&gt;3,"Good",I1160&gt;2,"Average",I1160&lt;2,"Poor")</f>
        <v>Average</v>
      </c>
      <c r="S1160" t="b">
        <f t="shared" si="74"/>
        <v>1</v>
      </c>
      <c r="U1160">
        <f t="shared" si="75"/>
        <v>2024</v>
      </c>
      <c r="AA1160" t="str">
        <f t="shared" ca="1" si="76"/>
        <v/>
      </c>
    </row>
    <row r="1161" spans="1:27" x14ac:dyDescent="0.3">
      <c r="A1161" t="s">
        <v>2343</v>
      </c>
      <c r="B1161" t="s">
        <v>2344</v>
      </c>
      <c r="C1161" t="s">
        <v>22</v>
      </c>
      <c r="D1161" t="s">
        <v>31</v>
      </c>
      <c r="E1161" s="1">
        <v>44866</v>
      </c>
      <c r="F1161" t="s">
        <v>14</v>
      </c>
      <c r="G1161">
        <v>8164</v>
      </c>
      <c r="H1161">
        <v>1674</v>
      </c>
      <c r="I1161">
        <v>3.24</v>
      </c>
      <c r="J1161">
        <v>114</v>
      </c>
      <c r="P1161">
        <f t="shared" ca="1" si="73"/>
        <v>986</v>
      </c>
      <c r="Q1161" t="str" cm="1">
        <f t="array" ref="Q1161">_xlfn.IFS(I1161&gt;=3.5,"Excellent", I1161&gt;3,"Good",I1161&gt;2,"Average",I1161&lt;2,"Poor")</f>
        <v>Good</v>
      </c>
      <c r="S1161" t="str">
        <f t="shared" si="74"/>
        <v xml:space="preserve"> </v>
      </c>
      <c r="U1161">
        <f t="shared" si="75"/>
        <v>2022</v>
      </c>
      <c r="AA1161" t="str">
        <f t="shared" ca="1" si="76"/>
        <v/>
      </c>
    </row>
    <row r="1162" spans="1:27" x14ac:dyDescent="0.3">
      <c r="A1162" t="s">
        <v>2345</v>
      </c>
      <c r="B1162" t="s">
        <v>2346</v>
      </c>
      <c r="C1162" t="s">
        <v>28</v>
      </c>
      <c r="D1162" t="s">
        <v>18</v>
      </c>
      <c r="E1162" s="1">
        <v>45446</v>
      </c>
      <c r="F1162" t="s">
        <v>19</v>
      </c>
      <c r="G1162">
        <v>8694</v>
      </c>
      <c r="H1162">
        <v>4198</v>
      </c>
      <c r="I1162">
        <v>3.36</v>
      </c>
      <c r="J1162">
        <v>28</v>
      </c>
      <c r="P1162" t="str">
        <f t="shared" ca="1" si="73"/>
        <v xml:space="preserve"> </v>
      </c>
      <c r="Q1162" t="str" cm="1">
        <f t="array" ref="Q1162">_xlfn.IFS(I1162&gt;=3.5,"Excellent", I1162&gt;3,"Good",I1162&gt;2,"Average",I1162&lt;2,"Poor")</f>
        <v>Good</v>
      </c>
      <c r="S1162" t="str">
        <f t="shared" si="74"/>
        <v xml:space="preserve"> </v>
      </c>
      <c r="U1162">
        <f t="shared" si="75"/>
        <v>2024</v>
      </c>
      <c r="AA1162">
        <f t="shared" ca="1" si="76"/>
        <v>406</v>
      </c>
    </row>
    <row r="1163" spans="1:27" x14ac:dyDescent="0.3">
      <c r="A1163" t="s">
        <v>2347</v>
      </c>
      <c r="B1163" t="s">
        <v>2348</v>
      </c>
      <c r="C1163" t="s">
        <v>17</v>
      </c>
      <c r="D1163" t="s">
        <v>13</v>
      </c>
      <c r="E1163" s="1">
        <v>45108</v>
      </c>
      <c r="F1163" t="s">
        <v>39</v>
      </c>
      <c r="G1163">
        <v>2766</v>
      </c>
      <c r="H1163">
        <v>3689</v>
      </c>
      <c r="I1163">
        <v>2.29</v>
      </c>
      <c r="J1163">
        <v>38</v>
      </c>
      <c r="P1163" t="str">
        <f t="shared" ca="1" si="73"/>
        <v xml:space="preserve"> </v>
      </c>
      <c r="Q1163" t="str" cm="1">
        <f t="array" ref="Q1163">_xlfn.IFS(I1163&gt;=3.5,"Excellent", I1163&gt;3,"Good",I1163&gt;2,"Average",I1163&lt;2,"Poor")</f>
        <v>Average</v>
      </c>
      <c r="S1163" t="b">
        <f t="shared" si="74"/>
        <v>1</v>
      </c>
      <c r="U1163">
        <f t="shared" si="75"/>
        <v>2023</v>
      </c>
      <c r="AA1163" t="str">
        <f t="shared" ca="1" si="76"/>
        <v/>
      </c>
    </row>
    <row r="1164" spans="1:27" x14ac:dyDescent="0.3">
      <c r="A1164" t="s">
        <v>2349</v>
      </c>
      <c r="B1164" t="s">
        <v>2350</v>
      </c>
      <c r="C1164" t="s">
        <v>57</v>
      </c>
      <c r="D1164" t="s">
        <v>18</v>
      </c>
      <c r="E1164" s="1">
        <v>44817</v>
      </c>
      <c r="F1164" t="s">
        <v>14</v>
      </c>
      <c r="G1164">
        <v>8228</v>
      </c>
      <c r="H1164">
        <v>2328</v>
      </c>
      <c r="I1164">
        <v>2.2000000000000002</v>
      </c>
      <c r="J1164">
        <v>113</v>
      </c>
      <c r="P1164">
        <f t="shared" ca="1" si="73"/>
        <v>1035</v>
      </c>
      <c r="Q1164" t="str" cm="1">
        <f t="array" ref="Q1164">_xlfn.IFS(I1164&gt;=3.5,"Excellent", I1164&gt;3,"Good",I1164&gt;2,"Average",I1164&lt;2,"Poor")</f>
        <v>Average</v>
      </c>
      <c r="S1164" t="str">
        <f t="shared" si="74"/>
        <v xml:space="preserve"> </v>
      </c>
      <c r="U1164">
        <f t="shared" si="75"/>
        <v>2022</v>
      </c>
      <c r="AA1164" t="str">
        <f t="shared" ca="1" si="76"/>
        <v/>
      </c>
    </row>
    <row r="1165" spans="1:27" x14ac:dyDescent="0.3">
      <c r="A1165" t="s">
        <v>2351</v>
      </c>
      <c r="B1165" t="s">
        <v>2352</v>
      </c>
      <c r="C1165" t="s">
        <v>17</v>
      </c>
      <c r="D1165" t="s">
        <v>31</v>
      </c>
      <c r="E1165" s="1">
        <v>44946</v>
      </c>
      <c r="F1165" t="s">
        <v>14</v>
      </c>
      <c r="G1165">
        <v>6310</v>
      </c>
      <c r="H1165">
        <v>6133</v>
      </c>
      <c r="I1165">
        <v>3.37</v>
      </c>
      <c r="J1165">
        <v>82</v>
      </c>
      <c r="P1165">
        <f t="shared" ca="1" si="73"/>
        <v>906</v>
      </c>
      <c r="Q1165" t="str" cm="1">
        <f t="array" ref="Q1165">_xlfn.IFS(I1165&gt;=3.5,"Excellent", I1165&gt;3,"Good",I1165&gt;2,"Average",I1165&lt;2,"Poor")</f>
        <v>Good</v>
      </c>
      <c r="S1165" t="b">
        <f t="shared" si="74"/>
        <v>1</v>
      </c>
      <c r="U1165">
        <f t="shared" si="75"/>
        <v>2023</v>
      </c>
      <c r="AA1165" t="str">
        <f t="shared" ca="1" si="76"/>
        <v/>
      </c>
    </row>
    <row r="1166" spans="1:27" x14ac:dyDescent="0.3">
      <c r="A1166" t="s">
        <v>2353</v>
      </c>
      <c r="B1166" t="s">
        <v>2354</v>
      </c>
      <c r="C1166" t="s">
        <v>22</v>
      </c>
      <c r="D1166" t="s">
        <v>13</v>
      </c>
      <c r="E1166" s="1">
        <v>44730</v>
      </c>
      <c r="F1166" t="s">
        <v>19</v>
      </c>
      <c r="G1166">
        <v>7845</v>
      </c>
      <c r="H1166">
        <v>8796</v>
      </c>
      <c r="I1166">
        <v>3.54</v>
      </c>
      <c r="J1166">
        <v>22</v>
      </c>
      <c r="P1166" t="str">
        <f t="shared" ca="1" si="73"/>
        <v xml:space="preserve"> </v>
      </c>
      <c r="Q1166" t="str" cm="1">
        <f t="array" ref="Q1166">_xlfn.IFS(I1166&gt;=3.5,"Excellent", I1166&gt;3,"Good",I1166&gt;2,"Average",I1166&lt;2,"Poor")</f>
        <v>Excellent</v>
      </c>
      <c r="S1166" t="b">
        <f t="shared" si="74"/>
        <v>1</v>
      </c>
      <c r="U1166">
        <f t="shared" si="75"/>
        <v>2022</v>
      </c>
      <c r="AA1166">
        <f t="shared" ca="1" si="76"/>
        <v>1122</v>
      </c>
    </row>
    <row r="1167" spans="1:27" x14ac:dyDescent="0.3">
      <c r="A1167" t="s">
        <v>2355</v>
      </c>
      <c r="B1167" t="s">
        <v>2356</v>
      </c>
      <c r="C1167" t="s">
        <v>12</v>
      </c>
      <c r="D1167" t="s">
        <v>13</v>
      </c>
      <c r="E1167" s="1">
        <v>44800</v>
      </c>
      <c r="F1167" t="s">
        <v>14</v>
      </c>
      <c r="G1167">
        <v>9700</v>
      </c>
      <c r="H1167">
        <v>5277</v>
      </c>
      <c r="I1167">
        <v>3.74</v>
      </c>
      <c r="J1167">
        <v>61</v>
      </c>
      <c r="P1167">
        <f t="shared" ca="1" si="73"/>
        <v>1052</v>
      </c>
      <c r="Q1167" t="str" cm="1">
        <f t="array" ref="Q1167">_xlfn.IFS(I1167&gt;=3.5,"Excellent", I1167&gt;3,"Good",I1167&gt;2,"Average",I1167&lt;2,"Poor")</f>
        <v>Excellent</v>
      </c>
      <c r="S1167" t="b">
        <f t="shared" si="74"/>
        <v>1</v>
      </c>
      <c r="U1167">
        <f t="shared" si="75"/>
        <v>2022</v>
      </c>
      <c r="AA1167" t="str">
        <f t="shared" ca="1" si="76"/>
        <v/>
      </c>
    </row>
    <row r="1168" spans="1:27" x14ac:dyDescent="0.3">
      <c r="A1168" t="s">
        <v>2357</v>
      </c>
      <c r="B1168" t="s">
        <v>2358</v>
      </c>
      <c r="C1168" t="s">
        <v>36</v>
      </c>
      <c r="D1168" t="s">
        <v>31</v>
      </c>
      <c r="E1168" s="1">
        <v>45438</v>
      </c>
      <c r="F1168" t="s">
        <v>14</v>
      </c>
      <c r="G1168">
        <v>6402</v>
      </c>
      <c r="H1168">
        <v>8298</v>
      </c>
      <c r="I1168">
        <v>2.7</v>
      </c>
      <c r="J1168">
        <v>24</v>
      </c>
      <c r="P1168">
        <f t="shared" ca="1" si="73"/>
        <v>414</v>
      </c>
      <c r="Q1168" t="str" cm="1">
        <f t="array" ref="Q1168">_xlfn.IFS(I1168&gt;=3.5,"Excellent", I1168&gt;3,"Good",I1168&gt;2,"Average",I1168&lt;2,"Poor")</f>
        <v>Average</v>
      </c>
      <c r="S1168" t="b">
        <f t="shared" si="74"/>
        <v>1</v>
      </c>
      <c r="U1168">
        <f t="shared" si="75"/>
        <v>2024</v>
      </c>
      <c r="AA1168" t="str">
        <f t="shared" ca="1" si="76"/>
        <v/>
      </c>
    </row>
    <row r="1169" spans="1:27" x14ac:dyDescent="0.3">
      <c r="A1169" t="s">
        <v>2359</v>
      </c>
      <c r="B1169" t="s">
        <v>2360</v>
      </c>
      <c r="C1169" t="s">
        <v>57</v>
      </c>
      <c r="D1169" t="s">
        <v>31</v>
      </c>
      <c r="E1169" s="1">
        <v>45143</v>
      </c>
      <c r="F1169" t="s">
        <v>14</v>
      </c>
      <c r="G1169">
        <v>9573</v>
      </c>
      <c r="H1169">
        <v>6314</v>
      </c>
      <c r="I1169">
        <v>3.03</v>
      </c>
      <c r="J1169">
        <v>20</v>
      </c>
      <c r="P1169">
        <f t="shared" ca="1" si="73"/>
        <v>709</v>
      </c>
      <c r="Q1169" t="str" cm="1">
        <f t="array" ref="Q1169">_xlfn.IFS(I1169&gt;=3.5,"Excellent", I1169&gt;3,"Good",I1169&gt;2,"Average",I1169&lt;2,"Poor")</f>
        <v>Good</v>
      </c>
      <c r="S1169" t="b">
        <f t="shared" si="74"/>
        <v>1</v>
      </c>
      <c r="U1169">
        <f t="shared" si="75"/>
        <v>2023</v>
      </c>
      <c r="AA1169" t="str">
        <f t="shared" ca="1" si="76"/>
        <v/>
      </c>
    </row>
    <row r="1170" spans="1:27" x14ac:dyDescent="0.3">
      <c r="A1170" t="s">
        <v>2361</v>
      </c>
      <c r="B1170" t="s">
        <v>2362</v>
      </c>
      <c r="C1170" t="s">
        <v>28</v>
      </c>
      <c r="D1170" t="s">
        <v>13</v>
      </c>
      <c r="E1170" s="1">
        <v>44945</v>
      </c>
      <c r="F1170" t="s">
        <v>19</v>
      </c>
      <c r="G1170">
        <v>7706</v>
      </c>
      <c r="H1170">
        <v>6640</v>
      </c>
      <c r="I1170">
        <v>3.18</v>
      </c>
      <c r="J1170">
        <v>59</v>
      </c>
      <c r="P1170" t="str">
        <f t="shared" ca="1" si="73"/>
        <v xml:space="preserve"> </v>
      </c>
      <c r="Q1170" t="str" cm="1">
        <f t="array" ref="Q1170">_xlfn.IFS(I1170&gt;=3.5,"Excellent", I1170&gt;3,"Good",I1170&gt;2,"Average",I1170&lt;2,"Poor")</f>
        <v>Good</v>
      </c>
      <c r="S1170" t="b">
        <f t="shared" si="74"/>
        <v>1</v>
      </c>
      <c r="U1170">
        <f t="shared" si="75"/>
        <v>2023</v>
      </c>
      <c r="AA1170">
        <f t="shared" ca="1" si="76"/>
        <v>907</v>
      </c>
    </row>
    <row r="1171" spans="1:27" x14ac:dyDescent="0.3">
      <c r="A1171" t="s">
        <v>2363</v>
      </c>
      <c r="B1171" t="s">
        <v>2364</v>
      </c>
      <c r="C1171" t="s">
        <v>12</v>
      </c>
      <c r="D1171" t="s">
        <v>31</v>
      </c>
      <c r="E1171" s="1">
        <v>44744</v>
      </c>
      <c r="F1171" t="s">
        <v>14</v>
      </c>
      <c r="G1171">
        <v>12608</v>
      </c>
      <c r="H1171">
        <v>1280</v>
      </c>
      <c r="I1171">
        <v>2.16</v>
      </c>
      <c r="J1171">
        <v>69</v>
      </c>
      <c r="P1171">
        <f t="shared" ca="1" si="73"/>
        <v>1108</v>
      </c>
      <c r="Q1171" t="str" cm="1">
        <f t="array" ref="Q1171">_xlfn.IFS(I1171&gt;=3.5,"Excellent", I1171&gt;3,"Good",I1171&gt;2,"Average",I1171&lt;2,"Poor")</f>
        <v>Average</v>
      </c>
      <c r="S1171" t="str">
        <f t="shared" si="74"/>
        <v xml:space="preserve"> </v>
      </c>
      <c r="U1171">
        <f t="shared" si="75"/>
        <v>2022</v>
      </c>
      <c r="AA1171" t="str">
        <f t="shared" ca="1" si="76"/>
        <v/>
      </c>
    </row>
    <row r="1172" spans="1:27" x14ac:dyDescent="0.3">
      <c r="A1172" t="s">
        <v>2365</v>
      </c>
      <c r="B1172" t="s">
        <v>2366</v>
      </c>
      <c r="C1172" t="s">
        <v>25</v>
      </c>
      <c r="D1172" t="s">
        <v>62</v>
      </c>
      <c r="E1172" s="1">
        <v>45435</v>
      </c>
      <c r="F1172" t="s">
        <v>19</v>
      </c>
      <c r="G1172">
        <v>8446</v>
      </c>
      <c r="H1172">
        <v>2499</v>
      </c>
      <c r="I1172">
        <v>2.5099999999999998</v>
      </c>
      <c r="J1172">
        <v>20</v>
      </c>
      <c r="P1172" t="str">
        <f t="shared" ca="1" si="73"/>
        <v xml:space="preserve"> </v>
      </c>
      <c r="Q1172" t="str" cm="1">
        <f t="array" ref="Q1172">_xlfn.IFS(I1172&gt;=3.5,"Excellent", I1172&gt;3,"Good",I1172&gt;2,"Average",I1172&lt;2,"Poor")</f>
        <v>Average</v>
      </c>
      <c r="S1172" t="str">
        <f t="shared" si="74"/>
        <v xml:space="preserve"> </v>
      </c>
      <c r="U1172">
        <f t="shared" si="75"/>
        <v>2024</v>
      </c>
      <c r="AA1172">
        <f t="shared" ca="1" si="76"/>
        <v>417</v>
      </c>
    </row>
    <row r="1173" spans="1:27" x14ac:dyDescent="0.3">
      <c r="A1173" t="s">
        <v>2367</v>
      </c>
      <c r="B1173" t="s">
        <v>2368</v>
      </c>
      <c r="C1173" t="s">
        <v>28</v>
      </c>
      <c r="D1173" t="s">
        <v>18</v>
      </c>
      <c r="E1173" s="1">
        <v>45363</v>
      </c>
      <c r="F1173" t="s">
        <v>14</v>
      </c>
      <c r="G1173">
        <v>2545</v>
      </c>
      <c r="H1173">
        <v>7321</v>
      </c>
      <c r="I1173">
        <v>3.37</v>
      </c>
      <c r="J1173">
        <v>92</v>
      </c>
      <c r="P1173">
        <f t="shared" ca="1" si="73"/>
        <v>489</v>
      </c>
      <c r="Q1173" t="str" cm="1">
        <f t="array" ref="Q1173">_xlfn.IFS(I1173&gt;=3.5,"Excellent", I1173&gt;3,"Good",I1173&gt;2,"Average",I1173&lt;2,"Poor")</f>
        <v>Good</v>
      </c>
      <c r="S1173" t="b">
        <f t="shared" si="74"/>
        <v>1</v>
      </c>
      <c r="U1173">
        <f t="shared" si="75"/>
        <v>2024</v>
      </c>
      <c r="AA1173" t="str">
        <f t="shared" ca="1" si="76"/>
        <v/>
      </c>
    </row>
    <row r="1174" spans="1:27" x14ac:dyDescent="0.3">
      <c r="A1174" t="s">
        <v>2369</v>
      </c>
      <c r="B1174" t="s">
        <v>2370</v>
      </c>
      <c r="C1174" t="s">
        <v>28</v>
      </c>
      <c r="D1174" t="s">
        <v>62</v>
      </c>
      <c r="E1174" s="1">
        <v>44723</v>
      </c>
      <c r="F1174" t="s">
        <v>14</v>
      </c>
      <c r="G1174">
        <v>8550</v>
      </c>
      <c r="H1174">
        <v>4769</v>
      </c>
      <c r="I1174">
        <v>3.71</v>
      </c>
      <c r="J1174">
        <v>96</v>
      </c>
      <c r="P1174">
        <f t="shared" ca="1" si="73"/>
        <v>1129</v>
      </c>
      <c r="Q1174" t="str" cm="1">
        <f t="array" ref="Q1174">_xlfn.IFS(I1174&gt;=3.5,"Excellent", I1174&gt;3,"Good",I1174&gt;2,"Average",I1174&lt;2,"Poor")</f>
        <v>Excellent</v>
      </c>
      <c r="S1174" t="b">
        <f t="shared" si="74"/>
        <v>1</v>
      </c>
      <c r="U1174">
        <f t="shared" si="75"/>
        <v>2022</v>
      </c>
      <c r="AA1174" t="str">
        <f t="shared" ca="1" si="76"/>
        <v/>
      </c>
    </row>
    <row r="1175" spans="1:27" x14ac:dyDescent="0.3">
      <c r="A1175" t="s">
        <v>2371</v>
      </c>
      <c r="B1175" t="s">
        <v>2372</v>
      </c>
      <c r="C1175" t="s">
        <v>12</v>
      </c>
      <c r="D1175" t="s">
        <v>18</v>
      </c>
      <c r="E1175" s="1">
        <v>45163</v>
      </c>
      <c r="F1175" t="s">
        <v>14</v>
      </c>
      <c r="G1175">
        <v>12524</v>
      </c>
      <c r="H1175">
        <v>7194</v>
      </c>
      <c r="I1175">
        <v>2.37</v>
      </c>
      <c r="J1175">
        <v>83</v>
      </c>
      <c r="P1175">
        <f t="shared" ca="1" si="73"/>
        <v>689</v>
      </c>
      <c r="Q1175" t="str" cm="1">
        <f t="array" ref="Q1175">_xlfn.IFS(I1175&gt;=3.5,"Excellent", I1175&gt;3,"Good",I1175&gt;2,"Average",I1175&lt;2,"Poor")</f>
        <v>Average</v>
      </c>
      <c r="S1175" t="b">
        <f t="shared" si="74"/>
        <v>1</v>
      </c>
      <c r="U1175">
        <f t="shared" si="75"/>
        <v>2023</v>
      </c>
      <c r="AA1175" t="str">
        <f t="shared" ca="1" si="76"/>
        <v/>
      </c>
    </row>
    <row r="1176" spans="1:27" x14ac:dyDescent="0.3">
      <c r="A1176" t="s">
        <v>2373</v>
      </c>
      <c r="B1176" t="s">
        <v>2374</v>
      </c>
      <c r="C1176" t="s">
        <v>36</v>
      </c>
      <c r="D1176" t="s">
        <v>31</v>
      </c>
      <c r="E1176" s="1">
        <v>44772</v>
      </c>
      <c r="F1176" t="s">
        <v>19</v>
      </c>
      <c r="G1176">
        <v>10890</v>
      </c>
      <c r="H1176">
        <v>155</v>
      </c>
      <c r="I1176">
        <v>3.4</v>
      </c>
      <c r="J1176">
        <v>5</v>
      </c>
      <c r="P1176" t="str">
        <f t="shared" ca="1" si="73"/>
        <v xml:space="preserve"> </v>
      </c>
      <c r="Q1176" t="str" cm="1">
        <f t="array" ref="Q1176">_xlfn.IFS(I1176&gt;=3.5,"Excellent", I1176&gt;3,"Good",I1176&gt;2,"Average",I1176&lt;2,"Poor")</f>
        <v>Good</v>
      </c>
      <c r="S1176" t="str">
        <f t="shared" si="74"/>
        <v xml:space="preserve"> </v>
      </c>
      <c r="U1176">
        <f t="shared" si="75"/>
        <v>2022</v>
      </c>
      <c r="AA1176">
        <f t="shared" ca="1" si="76"/>
        <v>1080</v>
      </c>
    </row>
    <row r="1177" spans="1:27" x14ac:dyDescent="0.3">
      <c r="A1177" t="s">
        <v>2375</v>
      </c>
      <c r="B1177" t="s">
        <v>2376</v>
      </c>
      <c r="C1177" t="s">
        <v>54</v>
      </c>
      <c r="D1177" t="s">
        <v>62</v>
      </c>
      <c r="E1177" s="1">
        <v>44697</v>
      </c>
      <c r="F1177" t="s">
        <v>14</v>
      </c>
      <c r="G1177">
        <v>2192</v>
      </c>
      <c r="H1177">
        <v>6436</v>
      </c>
      <c r="I1177">
        <v>2.78</v>
      </c>
      <c r="J1177">
        <v>40</v>
      </c>
      <c r="P1177">
        <f t="shared" ca="1" si="73"/>
        <v>1155</v>
      </c>
      <c r="Q1177" t="str" cm="1">
        <f t="array" ref="Q1177">_xlfn.IFS(I1177&gt;=3.5,"Excellent", I1177&gt;3,"Good",I1177&gt;2,"Average",I1177&lt;2,"Poor")</f>
        <v>Average</v>
      </c>
      <c r="S1177" t="b">
        <f t="shared" si="74"/>
        <v>1</v>
      </c>
      <c r="U1177">
        <f t="shared" si="75"/>
        <v>2022</v>
      </c>
      <c r="AA1177" t="str">
        <f t="shared" ca="1" si="76"/>
        <v/>
      </c>
    </row>
    <row r="1178" spans="1:27" x14ac:dyDescent="0.3">
      <c r="A1178" t="s">
        <v>2377</v>
      </c>
      <c r="B1178" t="s">
        <v>2378</v>
      </c>
      <c r="C1178" t="s">
        <v>57</v>
      </c>
      <c r="D1178" t="s">
        <v>13</v>
      </c>
      <c r="E1178" s="1">
        <v>45429</v>
      </c>
      <c r="F1178" t="s">
        <v>14</v>
      </c>
      <c r="G1178">
        <v>5414</v>
      </c>
      <c r="H1178">
        <v>7691</v>
      </c>
      <c r="I1178">
        <v>2.96</v>
      </c>
      <c r="J1178">
        <v>85</v>
      </c>
      <c r="P1178">
        <f t="shared" ca="1" si="73"/>
        <v>423</v>
      </c>
      <c r="Q1178" t="str" cm="1">
        <f t="array" ref="Q1178">_xlfn.IFS(I1178&gt;=3.5,"Excellent", I1178&gt;3,"Good",I1178&gt;2,"Average",I1178&lt;2,"Poor")</f>
        <v>Average</v>
      </c>
      <c r="S1178" t="b">
        <f t="shared" si="74"/>
        <v>1</v>
      </c>
      <c r="U1178">
        <f t="shared" si="75"/>
        <v>2024</v>
      </c>
      <c r="AA1178" t="str">
        <f t="shared" ca="1" si="76"/>
        <v/>
      </c>
    </row>
    <row r="1179" spans="1:27" x14ac:dyDescent="0.3">
      <c r="A1179" t="s">
        <v>2379</v>
      </c>
      <c r="B1179" t="s">
        <v>2380</v>
      </c>
      <c r="C1179" t="s">
        <v>28</v>
      </c>
      <c r="D1179" t="s">
        <v>13</v>
      </c>
      <c r="E1179" s="1">
        <v>44954</v>
      </c>
      <c r="F1179" t="s">
        <v>14</v>
      </c>
      <c r="G1179">
        <v>14445</v>
      </c>
      <c r="H1179">
        <v>8067</v>
      </c>
      <c r="I1179">
        <v>2.42</v>
      </c>
      <c r="J1179">
        <v>115</v>
      </c>
      <c r="P1179">
        <f t="shared" ca="1" si="73"/>
        <v>898</v>
      </c>
      <c r="Q1179" t="str" cm="1">
        <f t="array" ref="Q1179">_xlfn.IFS(I1179&gt;=3.5,"Excellent", I1179&gt;3,"Good",I1179&gt;2,"Average",I1179&lt;2,"Poor")</f>
        <v>Average</v>
      </c>
      <c r="S1179" t="b">
        <f t="shared" si="74"/>
        <v>1</v>
      </c>
      <c r="U1179">
        <f t="shared" si="75"/>
        <v>2023</v>
      </c>
      <c r="AA1179" t="str">
        <f t="shared" ca="1" si="76"/>
        <v/>
      </c>
    </row>
    <row r="1180" spans="1:27" x14ac:dyDescent="0.3">
      <c r="A1180" t="s">
        <v>2381</v>
      </c>
      <c r="B1180" t="s">
        <v>2382</v>
      </c>
      <c r="C1180" t="s">
        <v>28</v>
      </c>
      <c r="D1180" t="s">
        <v>18</v>
      </c>
      <c r="E1180" s="1">
        <v>44807</v>
      </c>
      <c r="F1180" t="s">
        <v>19</v>
      </c>
      <c r="G1180">
        <v>6203</v>
      </c>
      <c r="H1180">
        <v>4414</v>
      </c>
      <c r="I1180">
        <v>3.19</v>
      </c>
      <c r="J1180">
        <v>8</v>
      </c>
      <c r="P1180" t="str">
        <f t="shared" ca="1" si="73"/>
        <v xml:space="preserve"> </v>
      </c>
      <c r="Q1180" t="str" cm="1">
        <f t="array" ref="Q1180">_xlfn.IFS(I1180&gt;=3.5,"Excellent", I1180&gt;3,"Good",I1180&gt;2,"Average",I1180&lt;2,"Poor")</f>
        <v>Good</v>
      </c>
      <c r="S1180" t="b">
        <f t="shared" si="74"/>
        <v>1</v>
      </c>
      <c r="U1180">
        <f t="shared" si="75"/>
        <v>2022</v>
      </c>
      <c r="AA1180">
        <f t="shared" ca="1" si="76"/>
        <v>1045</v>
      </c>
    </row>
    <row r="1181" spans="1:27" x14ac:dyDescent="0.3">
      <c r="A1181" t="s">
        <v>2383</v>
      </c>
      <c r="B1181" t="s">
        <v>2384</v>
      </c>
      <c r="C1181" t="s">
        <v>57</v>
      </c>
      <c r="D1181" t="s">
        <v>31</v>
      </c>
      <c r="E1181" s="1">
        <v>44927</v>
      </c>
      <c r="F1181" t="s">
        <v>19</v>
      </c>
      <c r="G1181">
        <v>2102</v>
      </c>
      <c r="H1181">
        <v>541</v>
      </c>
      <c r="I1181">
        <v>2.87</v>
      </c>
      <c r="J1181">
        <v>65</v>
      </c>
      <c r="P1181" t="str">
        <f t="shared" ca="1" si="73"/>
        <v xml:space="preserve"> </v>
      </c>
      <c r="Q1181" t="str" cm="1">
        <f t="array" ref="Q1181">_xlfn.IFS(I1181&gt;=3.5,"Excellent", I1181&gt;3,"Good",I1181&gt;2,"Average",I1181&lt;2,"Poor")</f>
        <v>Average</v>
      </c>
      <c r="S1181" t="str">
        <f t="shared" si="74"/>
        <v xml:space="preserve"> </v>
      </c>
      <c r="U1181">
        <f t="shared" si="75"/>
        <v>2023</v>
      </c>
      <c r="AA1181">
        <f t="shared" ca="1" si="76"/>
        <v>925</v>
      </c>
    </row>
    <row r="1182" spans="1:27" x14ac:dyDescent="0.3">
      <c r="A1182" t="s">
        <v>2385</v>
      </c>
      <c r="B1182" t="s">
        <v>2386</v>
      </c>
      <c r="C1182" t="s">
        <v>57</v>
      </c>
      <c r="D1182" t="s">
        <v>31</v>
      </c>
      <c r="E1182" s="1">
        <v>44742</v>
      </c>
      <c r="F1182" t="s">
        <v>14</v>
      </c>
      <c r="G1182">
        <v>11324</v>
      </c>
      <c r="H1182">
        <v>3891</v>
      </c>
      <c r="I1182">
        <v>2.94</v>
      </c>
      <c r="J1182">
        <v>86</v>
      </c>
      <c r="P1182">
        <f t="shared" ca="1" si="73"/>
        <v>1110</v>
      </c>
      <c r="Q1182" t="str" cm="1">
        <f t="array" ref="Q1182">_xlfn.IFS(I1182&gt;=3.5,"Excellent", I1182&gt;3,"Good",I1182&gt;2,"Average",I1182&lt;2,"Poor")</f>
        <v>Average</v>
      </c>
      <c r="S1182" t="str">
        <f t="shared" si="74"/>
        <v xml:space="preserve"> </v>
      </c>
      <c r="U1182">
        <f t="shared" si="75"/>
        <v>2022</v>
      </c>
      <c r="AA1182" t="str">
        <f t="shared" ca="1" si="76"/>
        <v/>
      </c>
    </row>
    <row r="1183" spans="1:27" x14ac:dyDescent="0.3">
      <c r="A1183" t="s">
        <v>2387</v>
      </c>
      <c r="B1183" t="s">
        <v>2388</v>
      </c>
      <c r="C1183" t="s">
        <v>17</v>
      </c>
      <c r="D1183" t="s">
        <v>13</v>
      </c>
      <c r="E1183" s="1">
        <v>44723</v>
      </c>
      <c r="F1183" t="s">
        <v>14</v>
      </c>
      <c r="G1183">
        <v>5209</v>
      </c>
      <c r="H1183">
        <v>438</v>
      </c>
      <c r="I1183">
        <v>3.47</v>
      </c>
      <c r="J1183">
        <v>60</v>
      </c>
      <c r="P1183">
        <f t="shared" ca="1" si="73"/>
        <v>1129</v>
      </c>
      <c r="Q1183" t="str" cm="1">
        <f t="array" ref="Q1183">_xlfn.IFS(I1183&gt;=3.5,"Excellent", I1183&gt;3,"Good",I1183&gt;2,"Average",I1183&lt;2,"Poor")</f>
        <v>Good</v>
      </c>
      <c r="S1183" t="str">
        <f t="shared" si="74"/>
        <v xml:space="preserve"> </v>
      </c>
      <c r="U1183">
        <f t="shared" si="75"/>
        <v>2022</v>
      </c>
      <c r="AA1183" t="str">
        <f t="shared" ca="1" si="76"/>
        <v/>
      </c>
    </row>
    <row r="1184" spans="1:27" x14ac:dyDescent="0.3">
      <c r="A1184" t="s">
        <v>2389</v>
      </c>
      <c r="B1184" t="s">
        <v>2390</v>
      </c>
      <c r="C1184" t="s">
        <v>17</v>
      </c>
      <c r="D1184" t="s">
        <v>62</v>
      </c>
      <c r="E1184" s="1">
        <v>44991</v>
      </c>
      <c r="F1184" t="s">
        <v>14</v>
      </c>
      <c r="G1184">
        <v>6599</v>
      </c>
      <c r="H1184">
        <v>5901</v>
      </c>
      <c r="I1184">
        <v>2.14</v>
      </c>
      <c r="J1184">
        <v>108</v>
      </c>
      <c r="P1184">
        <f t="shared" ca="1" si="73"/>
        <v>861</v>
      </c>
      <c r="Q1184" t="str" cm="1">
        <f t="array" ref="Q1184">_xlfn.IFS(I1184&gt;=3.5,"Excellent", I1184&gt;3,"Good",I1184&gt;2,"Average",I1184&lt;2,"Poor")</f>
        <v>Average</v>
      </c>
      <c r="S1184" t="b">
        <f t="shared" si="74"/>
        <v>1</v>
      </c>
      <c r="U1184">
        <f t="shared" si="75"/>
        <v>2023</v>
      </c>
      <c r="AA1184" t="str">
        <f t="shared" ca="1" si="76"/>
        <v/>
      </c>
    </row>
    <row r="1185" spans="1:27" x14ac:dyDescent="0.3">
      <c r="A1185" t="s">
        <v>2391</v>
      </c>
      <c r="B1185" t="s">
        <v>2392</v>
      </c>
      <c r="C1185" t="s">
        <v>54</v>
      </c>
      <c r="D1185" t="s">
        <v>13</v>
      </c>
      <c r="E1185" s="1">
        <v>45151</v>
      </c>
      <c r="F1185" t="s">
        <v>19</v>
      </c>
      <c r="G1185">
        <v>4959</v>
      </c>
      <c r="H1185">
        <v>7747</v>
      </c>
      <c r="I1185">
        <v>3.05</v>
      </c>
      <c r="J1185">
        <v>96</v>
      </c>
      <c r="P1185" t="str">
        <f t="shared" ca="1" si="73"/>
        <v xml:space="preserve"> </v>
      </c>
      <c r="Q1185" t="str" cm="1">
        <f t="array" ref="Q1185">_xlfn.IFS(I1185&gt;=3.5,"Excellent", I1185&gt;3,"Good",I1185&gt;2,"Average",I1185&lt;2,"Poor")</f>
        <v>Good</v>
      </c>
      <c r="S1185" t="b">
        <f t="shared" si="74"/>
        <v>1</v>
      </c>
      <c r="U1185">
        <f t="shared" si="75"/>
        <v>2023</v>
      </c>
      <c r="AA1185">
        <f t="shared" ca="1" si="76"/>
        <v>701</v>
      </c>
    </row>
    <row r="1186" spans="1:27" x14ac:dyDescent="0.3">
      <c r="A1186" t="s">
        <v>2393</v>
      </c>
      <c r="B1186" t="s">
        <v>2394</v>
      </c>
      <c r="C1186" t="s">
        <v>17</v>
      </c>
      <c r="D1186" t="s">
        <v>62</v>
      </c>
      <c r="E1186" s="1">
        <v>45416</v>
      </c>
      <c r="F1186" t="s">
        <v>14</v>
      </c>
      <c r="G1186">
        <v>8084</v>
      </c>
      <c r="H1186">
        <v>6788</v>
      </c>
      <c r="I1186">
        <v>3.26</v>
      </c>
      <c r="J1186">
        <v>115</v>
      </c>
      <c r="P1186">
        <f t="shared" ca="1" si="73"/>
        <v>436</v>
      </c>
      <c r="Q1186" t="str" cm="1">
        <f t="array" ref="Q1186">_xlfn.IFS(I1186&gt;=3.5,"Excellent", I1186&gt;3,"Good",I1186&gt;2,"Average",I1186&lt;2,"Poor")</f>
        <v>Good</v>
      </c>
      <c r="S1186" t="b">
        <f t="shared" si="74"/>
        <v>1</v>
      </c>
      <c r="U1186">
        <f t="shared" si="75"/>
        <v>2024</v>
      </c>
      <c r="AA1186" t="str">
        <f t="shared" ca="1" si="76"/>
        <v/>
      </c>
    </row>
    <row r="1187" spans="1:27" x14ac:dyDescent="0.3">
      <c r="A1187" t="s">
        <v>2395</v>
      </c>
      <c r="B1187" t="s">
        <v>2396</v>
      </c>
      <c r="C1187" t="s">
        <v>12</v>
      </c>
      <c r="D1187" t="s">
        <v>13</v>
      </c>
      <c r="E1187" s="1">
        <v>44626</v>
      </c>
      <c r="F1187" t="s">
        <v>19</v>
      </c>
      <c r="G1187">
        <v>4306</v>
      </c>
      <c r="H1187">
        <v>3004</v>
      </c>
      <c r="I1187">
        <v>2</v>
      </c>
      <c r="J1187">
        <v>60</v>
      </c>
      <c r="P1187" t="str">
        <f t="shared" ca="1" si="73"/>
        <v xml:space="preserve"> </v>
      </c>
      <c r="Q1187" t="e" cm="1">
        <f t="array" ref="Q1187">_xlfn.IFS(I1187&gt;=3.5,"Excellent", I1187&gt;3,"Good",I1187&gt;2,"Average",I1187&lt;2,"Poor")</f>
        <v>#N/A</v>
      </c>
      <c r="S1187" t="b">
        <f t="shared" si="74"/>
        <v>1</v>
      </c>
      <c r="U1187">
        <f t="shared" si="75"/>
        <v>2022</v>
      </c>
      <c r="AA1187">
        <f t="shared" ca="1" si="76"/>
        <v>1226</v>
      </c>
    </row>
    <row r="1188" spans="1:27" x14ac:dyDescent="0.3">
      <c r="A1188" t="s">
        <v>2397</v>
      </c>
      <c r="B1188" t="s">
        <v>2398</v>
      </c>
      <c r="C1188" t="s">
        <v>22</v>
      </c>
      <c r="D1188" t="s">
        <v>31</v>
      </c>
      <c r="E1188" s="1">
        <v>44678</v>
      </c>
      <c r="F1188" t="s">
        <v>39</v>
      </c>
      <c r="G1188">
        <v>6691</v>
      </c>
      <c r="H1188">
        <v>7758</v>
      </c>
      <c r="I1188">
        <v>3.21</v>
      </c>
      <c r="J1188">
        <v>87</v>
      </c>
      <c r="P1188" t="str">
        <f t="shared" ca="1" si="73"/>
        <v xml:space="preserve"> </v>
      </c>
      <c r="Q1188" t="str" cm="1">
        <f t="array" ref="Q1188">_xlfn.IFS(I1188&gt;=3.5,"Excellent", I1188&gt;3,"Good",I1188&gt;2,"Average",I1188&lt;2,"Poor")</f>
        <v>Good</v>
      </c>
      <c r="S1188" t="b">
        <f t="shared" si="74"/>
        <v>1</v>
      </c>
      <c r="U1188">
        <f t="shared" si="75"/>
        <v>2022</v>
      </c>
      <c r="AA1188" t="str">
        <f t="shared" ca="1" si="76"/>
        <v/>
      </c>
    </row>
    <row r="1189" spans="1:27" x14ac:dyDescent="0.3">
      <c r="A1189" t="s">
        <v>2399</v>
      </c>
      <c r="B1189" t="s">
        <v>2400</v>
      </c>
      <c r="C1189" t="s">
        <v>22</v>
      </c>
      <c r="D1189" t="s">
        <v>18</v>
      </c>
      <c r="E1189" s="1">
        <v>44928</v>
      </c>
      <c r="F1189" t="s">
        <v>19</v>
      </c>
      <c r="G1189">
        <v>7712</v>
      </c>
      <c r="H1189">
        <v>5785</v>
      </c>
      <c r="I1189">
        <v>3.48</v>
      </c>
      <c r="J1189">
        <v>115</v>
      </c>
      <c r="P1189" t="str">
        <f t="shared" ca="1" si="73"/>
        <v xml:space="preserve"> </v>
      </c>
      <c r="Q1189" t="str" cm="1">
        <f t="array" ref="Q1189">_xlfn.IFS(I1189&gt;=3.5,"Excellent", I1189&gt;3,"Good",I1189&gt;2,"Average",I1189&lt;2,"Poor")</f>
        <v>Good</v>
      </c>
      <c r="S1189" t="b">
        <f t="shared" si="74"/>
        <v>1</v>
      </c>
      <c r="U1189">
        <f t="shared" si="75"/>
        <v>2023</v>
      </c>
      <c r="AA1189">
        <f t="shared" ca="1" si="76"/>
        <v>924</v>
      </c>
    </row>
    <row r="1190" spans="1:27" x14ac:dyDescent="0.3">
      <c r="A1190" t="s">
        <v>2401</v>
      </c>
      <c r="B1190" t="s">
        <v>2402</v>
      </c>
      <c r="C1190" t="s">
        <v>28</v>
      </c>
      <c r="D1190" t="s">
        <v>18</v>
      </c>
      <c r="E1190" s="1">
        <v>44757</v>
      </c>
      <c r="F1190" t="s">
        <v>39</v>
      </c>
      <c r="G1190">
        <v>7597</v>
      </c>
      <c r="H1190">
        <v>9463</v>
      </c>
      <c r="I1190">
        <v>3.9</v>
      </c>
      <c r="J1190">
        <v>65</v>
      </c>
      <c r="P1190" t="str">
        <f t="shared" ca="1" si="73"/>
        <v xml:space="preserve"> </v>
      </c>
      <c r="Q1190" t="str" cm="1">
        <f t="array" ref="Q1190">_xlfn.IFS(I1190&gt;=3.5,"Excellent", I1190&gt;3,"Good",I1190&gt;2,"Average",I1190&lt;2,"Poor")</f>
        <v>Excellent</v>
      </c>
      <c r="S1190" t="b">
        <f t="shared" si="74"/>
        <v>1</v>
      </c>
      <c r="U1190">
        <f t="shared" si="75"/>
        <v>2022</v>
      </c>
      <c r="AA1190" t="str">
        <f t="shared" ca="1" si="76"/>
        <v/>
      </c>
    </row>
    <row r="1191" spans="1:27" x14ac:dyDescent="0.3">
      <c r="A1191" t="s">
        <v>2403</v>
      </c>
      <c r="B1191" t="s">
        <v>2404</v>
      </c>
      <c r="C1191" t="s">
        <v>12</v>
      </c>
      <c r="D1191" t="s">
        <v>13</v>
      </c>
      <c r="E1191" s="1">
        <v>45133</v>
      </c>
      <c r="F1191" t="s">
        <v>19</v>
      </c>
      <c r="G1191">
        <v>9288</v>
      </c>
      <c r="H1191">
        <v>8158</v>
      </c>
      <c r="I1191">
        <v>3.65</v>
      </c>
      <c r="J1191">
        <v>55</v>
      </c>
      <c r="P1191" t="str">
        <f t="shared" ca="1" si="73"/>
        <v xml:space="preserve"> </v>
      </c>
      <c r="Q1191" t="str" cm="1">
        <f t="array" ref="Q1191">_xlfn.IFS(I1191&gt;=3.5,"Excellent", I1191&gt;3,"Good",I1191&gt;2,"Average",I1191&lt;2,"Poor")</f>
        <v>Excellent</v>
      </c>
      <c r="S1191" t="b">
        <f t="shared" si="74"/>
        <v>1</v>
      </c>
      <c r="U1191">
        <f t="shared" si="75"/>
        <v>2023</v>
      </c>
      <c r="AA1191">
        <f t="shared" ca="1" si="76"/>
        <v>719</v>
      </c>
    </row>
    <row r="1192" spans="1:27" x14ac:dyDescent="0.3">
      <c r="A1192" t="s">
        <v>2405</v>
      </c>
      <c r="B1192" t="s">
        <v>2406</v>
      </c>
      <c r="C1192" t="s">
        <v>54</v>
      </c>
      <c r="D1192" t="s">
        <v>62</v>
      </c>
      <c r="E1192" s="1">
        <v>45397</v>
      </c>
      <c r="F1192" t="s">
        <v>14</v>
      </c>
      <c r="G1192">
        <v>3940</v>
      </c>
      <c r="H1192">
        <v>4690</v>
      </c>
      <c r="I1192">
        <v>3.42</v>
      </c>
      <c r="J1192">
        <v>12</v>
      </c>
      <c r="P1192">
        <f t="shared" ca="1" si="73"/>
        <v>455</v>
      </c>
      <c r="Q1192" t="str" cm="1">
        <f t="array" ref="Q1192">_xlfn.IFS(I1192&gt;=3.5,"Excellent", I1192&gt;3,"Good",I1192&gt;2,"Average",I1192&lt;2,"Poor")</f>
        <v>Good</v>
      </c>
      <c r="S1192" t="b">
        <f t="shared" si="74"/>
        <v>1</v>
      </c>
      <c r="U1192">
        <f t="shared" si="75"/>
        <v>2024</v>
      </c>
      <c r="AA1192" t="str">
        <f t="shared" ca="1" si="76"/>
        <v/>
      </c>
    </row>
    <row r="1193" spans="1:27" x14ac:dyDescent="0.3">
      <c r="A1193" t="s">
        <v>2407</v>
      </c>
      <c r="B1193" t="s">
        <v>2408</v>
      </c>
      <c r="C1193" t="s">
        <v>12</v>
      </c>
      <c r="D1193" t="s">
        <v>31</v>
      </c>
      <c r="E1193" s="1">
        <v>44949</v>
      </c>
      <c r="F1193" t="s">
        <v>14</v>
      </c>
      <c r="G1193">
        <v>10498</v>
      </c>
      <c r="H1193">
        <v>3841</v>
      </c>
      <c r="I1193">
        <v>3.76</v>
      </c>
      <c r="J1193">
        <v>94</v>
      </c>
      <c r="P1193">
        <f t="shared" ca="1" si="73"/>
        <v>903</v>
      </c>
      <c r="Q1193" t="str" cm="1">
        <f t="array" ref="Q1193">_xlfn.IFS(I1193&gt;=3.5,"Excellent", I1193&gt;3,"Good",I1193&gt;2,"Average",I1193&lt;2,"Poor")</f>
        <v>Excellent</v>
      </c>
      <c r="S1193" t="str">
        <f t="shared" si="74"/>
        <v xml:space="preserve"> </v>
      </c>
      <c r="U1193">
        <f t="shared" si="75"/>
        <v>2023</v>
      </c>
      <c r="AA1193" t="str">
        <f t="shared" ca="1" si="76"/>
        <v/>
      </c>
    </row>
    <row r="1194" spans="1:27" x14ac:dyDescent="0.3">
      <c r="A1194" t="s">
        <v>2409</v>
      </c>
      <c r="B1194" t="s">
        <v>2410</v>
      </c>
      <c r="C1194" t="s">
        <v>22</v>
      </c>
      <c r="D1194" t="s">
        <v>18</v>
      </c>
      <c r="E1194" s="1">
        <v>45309</v>
      </c>
      <c r="F1194" t="s">
        <v>19</v>
      </c>
      <c r="G1194">
        <v>9664</v>
      </c>
      <c r="H1194">
        <v>5928</v>
      </c>
      <c r="I1194">
        <v>2.8</v>
      </c>
      <c r="J1194">
        <v>52</v>
      </c>
      <c r="P1194" t="str">
        <f t="shared" ca="1" si="73"/>
        <v xml:space="preserve"> </v>
      </c>
      <c r="Q1194" t="str" cm="1">
        <f t="array" ref="Q1194">_xlfn.IFS(I1194&gt;=3.5,"Excellent", I1194&gt;3,"Good",I1194&gt;2,"Average",I1194&lt;2,"Poor")</f>
        <v>Average</v>
      </c>
      <c r="S1194" t="b">
        <f t="shared" si="74"/>
        <v>1</v>
      </c>
      <c r="U1194">
        <f t="shared" si="75"/>
        <v>2024</v>
      </c>
      <c r="AA1194">
        <f t="shared" ca="1" si="76"/>
        <v>543</v>
      </c>
    </row>
    <row r="1195" spans="1:27" x14ac:dyDescent="0.3">
      <c r="A1195" t="s">
        <v>2411</v>
      </c>
      <c r="B1195" t="s">
        <v>2412</v>
      </c>
      <c r="C1195" t="s">
        <v>57</v>
      </c>
      <c r="D1195" t="s">
        <v>31</v>
      </c>
      <c r="E1195" s="1">
        <v>45089</v>
      </c>
      <c r="F1195" t="s">
        <v>19</v>
      </c>
      <c r="G1195">
        <v>13106</v>
      </c>
      <c r="H1195">
        <v>6487</v>
      </c>
      <c r="I1195">
        <v>2.5299999999999998</v>
      </c>
      <c r="J1195">
        <v>61</v>
      </c>
      <c r="P1195" t="str">
        <f t="shared" ca="1" si="73"/>
        <v xml:space="preserve"> </v>
      </c>
      <c r="Q1195" t="str" cm="1">
        <f t="array" ref="Q1195">_xlfn.IFS(I1195&gt;=3.5,"Excellent", I1195&gt;3,"Good",I1195&gt;2,"Average",I1195&lt;2,"Poor")</f>
        <v>Average</v>
      </c>
      <c r="S1195" t="str">
        <f t="shared" si="74"/>
        <v xml:space="preserve"> </v>
      </c>
      <c r="U1195">
        <f t="shared" si="75"/>
        <v>2023</v>
      </c>
      <c r="AA1195">
        <f t="shared" ca="1" si="76"/>
        <v>763</v>
      </c>
    </row>
    <row r="1196" spans="1:27" x14ac:dyDescent="0.3">
      <c r="A1196" t="s">
        <v>2413</v>
      </c>
      <c r="B1196" t="s">
        <v>2414</v>
      </c>
      <c r="C1196" t="s">
        <v>54</v>
      </c>
      <c r="D1196" t="s">
        <v>18</v>
      </c>
      <c r="E1196" s="1">
        <v>44968</v>
      </c>
      <c r="F1196" t="s">
        <v>19</v>
      </c>
      <c r="G1196">
        <v>9730</v>
      </c>
      <c r="H1196">
        <v>4810</v>
      </c>
      <c r="I1196">
        <v>3.13</v>
      </c>
      <c r="J1196">
        <v>73</v>
      </c>
      <c r="P1196" t="str">
        <f t="shared" ca="1" si="73"/>
        <v xml:space="preserve"> </v>
      </c>
      <c r="Q1196" t="str" cm="1">
        <f t="array" ref="Q1196">_xlfn.IFS(I1196&gt;=3.5,"Excellent", I1196&gt;3,"Good",I1196&gt;2,"Average",I1196&lt;2,"Poor")</f>
        <v>Good</v>
      </c>
      <c r="S1196" t="str">
        <f t="shared" si="74"/>
        <v xml:space="preserve"> </v>
      </c>
      <c r="U1196">
        <f t="shared" si="75"/>
        <v>2023</v>
      </c>
      <c r="AA1196">
        <f t="shared" ca="1" si="76"/>
        <v>884</v>
      </c>
    </row>
    <row r="1197" spans="1:27" x14ac:dyDescent="0.3">
      <c r="A1197" t="s">
        <v>2415</v>
      </c>
      <c r="B1197" t="s">
        <v>2416</v>
      </c>
      <c r="C1197" t="s">
        <v>36</v>
      </c>
      <c r="D1197" t="s">
        <v>18</v>
      </c>
      <c r="E1197" s="1">
        <v>45211</v>
      </c>
      <c r="F1197" t="s">
        <v>14</v>
      </c>
      <c r="G1197">
        <v>8764</v>
      </c>
      <c r="H1197">
        <v>6811</v>
      </c>
      <c r="I1197">
        <v>3.72</v>
      </c>
      <c r="J1197">
        <v>100</v>
      </c>
      <c r="P1197">
        <f t="shared" ca="1" si="73"/>
        <v>641</v>
      </c>
      <c r="Q1197" t="str" cm="1">
        <f t="array" ref="Q1197">_xlfn.IFS(I1197&gt;=3.5,"Excellent", I1197&gt;3,"Good",I1197&gt;2,"Average",I1197&lt;2,"Poor")</f>
        <v>Excellent</v>
      </c>
      <c r="S1197" t="b">
        <f t="shared" si="74"/>
        <v>1</v>
      </c>
      <c r="U1197">
        <f t="shared" si="75"/>
        <v>2023</v>
      </c>
      <c r="AA1197" t="str">
        <f t="shared" ca="1" si="76"/>
        <v/>
      </c>
    </row>
    <row r="1198" spans="1:27" x14ac:dyDescent="0.3">
      <c r="A1198" t="s">
        <v>2417</v>
      </c>
      <c r="B1198" t="s">
        <v>2418</v>
      </c>
      <c r="C1198" t="s">
        <v>25</v>
      </c>
      <c r="D1198" t="s">
        <v>18</v>
      </c>
      <c r="E1198" s="1">
        <v>45260</v>
      </c>
      <c r="F1198" t="s">
        <v>39</v>
      </c>
      <c r="G1198">
        <v>11719</v>
      </c>
      <c r="H1198">
        <v>8671</v>
      </c>
      <c r="I1198">
        <v>2.4500000000000002</v>
      </c>
      <c r="J1198">
        <v>60</v>
      </c>
      <c r="P1198" t="str">
        <f t="shared" ca="1" si="73"/>
        <v xml:space="preserve"> </v>
      </c>
      <c r="Q1198" t="str" cm="1">
        <f t="array" ref="Q1198">_xlfn.IFS(I1198&gt;=3.5,"Excellent", I1198&gt;3,"Good",I1198&gt;2,"Average",I1198&lt;2,"Poor")</f>
        <v>Average</v>
      </c>
      <c r="S1198" t="b">
        <f t="shared" si="74"/>
        <v>1</v>
      </c>
      <c r="U1198">
        <f t="shared" si="75"/>
        <v>2023</v>
      </c>
      <c r="AA1198" t="str">
        <f t="shared" ca="1" si="76"/>
        <v/>
      </c>
    </row>
    <row r="1199" spans="1:27" x14ac:dyDescent="0.3">
      <c r="A1199" t="s">
        <v>2419</v>
      </c>
      <c r="B1199" t="s">
        <v>2420</v>
      </c>
      <c r="C1199" t="s">
        <v>12</v>
      </c>
      <c r="D1199" t="s">
        <v>18</v>
      </c>
      <c r="E1199" s="1">
        <v>44816</v>
      </c>
      <c r="F1199" t="s">
        <v>14</v>
      </c>
      <c r="G1199">
        <v>14745</v>
      </c>
      <c r="H1199">
        <v>5188</v>
      </c>
      <c r="I1199">
        <v>2.2999999999999998</v>
      </c>
      <c r="J1199">
        <v>106</v>
      </c>
      <c r="P1199">
        <f t="shared" ca="1" si="73"/>
        <v>1036</v>
      </c>
      <c r="Q1199" t="str" cm="1">
        <f t="array" ref="Q1199">_xlfn.IFS(I1199&gt;=3.5,"Excellent", I1199&gt;3,"Good",I1199&gt;2,"Average",I1199&lt;2,"Poor")</f>
        <v>Average</v>
      </c>
      <c r="S1199" t="str">
        <f t="shared" si="74"/>
        <v xml:space="preserve"> </v>
      </c>
      <c r="U1199">
        <f t="shared" si="75"/>
        <v>2022</v>
      </c>
      <c r="AA1199" t="str">
        <f t="shared" ca="1" si="76"/>
        <v/>
      </c>
    </row>
    <row r="1200" spans="1:27" x14ac:dyDescent="0.3">
      <c r="A1200" t="s">
        <v>2421</v>
      </c>
      <c r="B1200" t="s">
        <v>2422</v>
      </c>
      <c r="C1200" t="s">
        <v>12</v>
      </c>
      <c r="D1200" t="s">
        <v>18</v>
      </c>
      <c r="E1200" s="1">
        <v>45177</v>
      </c>
      <c r="F1200" t="s">
        <v>14</v>
      </c>
      <c r="G1200">
        <v>9290</v>
      </c>
      <c r="H1200">
        <v>2010</v>
      </c>
      <c r="I1200">
        <v>3.08</v>
      </c>
      <c r="J1200">
        <v>65</v>
      </c>
      <c r="P1200">
        <f t="shared" ca="1" si="73"/>
        <v>675</v>
      </c>
      <c r="Q1200" t="str" cm="1">
        <f t="array" ref="Q1200">_xlfn.IFS(I1200&gt;=3.5,"Excellent", I1200&gt;3,"Good",I1200&gt;2,"Average",I1200&lt;2,"Poor")</f>
        <v>Good</v>
      </c>
      <c r="S1200" t="str">
        <f t="shared" si="74"/>
        <v xml:space="preserve"> </v>
      </c>
      <c r="U1200">
        <f t="shared" si="75"/>
        <v>2023</v>
      </c>
      <c r="AA1200" t="str">
        <f t="shared" ca="1" si="76"/>
        <v/>
      </c>
    </row>
    <row r="1201" spans="1:27" x14ac:dyDescent="0.3">
      <c r="A1201" t="s">
        <v>2423</v>
      </c>
      <c r="B1201" t="s">
        <v>2424</v>
      </c>
      <c r="C1201" t="s">
        <v>25</v>
      </c>
      <c r="D1201" t="s">
        <v>62</v>
      </c>
      <c r="E1201" s="1">
        <v>45322</v>
      </c>
      <c r="F1201" t="s">
        <v>19</v>
      </c>
      <c r="G1201">
        <v>2623</v>
      </c>
      <c r="H1201">
        <v>5298</v>
      </c>
      <c r="I1201">
        <v>2.14</v>
      </c>
      <c r="J1201">
        <v>119</v>
      </c>
      <c r="P1201" t="str">
        <f t="shared" ca="1" si="73"/>
        <v xml:space="preserve"> </v>
      </c>
      <c r="AA1201">
        <f t="shared" ca="1" si="76"/>
        <v>530</v>
      </c>
    </row>
  </sheetData>
  <conditionalFormatting sqref="H2:H1201">
    <cfRule type="cellIs" dxfId="4" priority="1" operator="greaterThan">
      <formula>5000</formula>
    </cfRule>
    <cfRule type="cellIs" dxfId="3" priority="2" operator="greaterThan">
      <formula>5000</formula>
    </cfRule>
  </conditionalFormatting>
  <conditionalFormatting sqref="I1:I1048576">
    <cfRule type="cellIs" dxfId="2" priority="3" operator="lessThan">
      <formula>2.5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BAA0-834A-4F76-A867-A08077717FB0}">
  <dimension ref="A1:B5"/>
  <sheetViews>
    <sheetView workbookViewId="0">
      <selection activeCell="D11" sqref="D11"/>
    </sheetView>
  </sheetViews>
  <sheetFormatPr defaultRowHeight="14.4" x14ac:dyDescent="0.3"/>
  <cols>
    <col min="1" max="1" width="10.33203125" bestFit="1" customWidth="1"/>
    <col min="2" max="2" width="12.6640625" customWidth="1"/>
  </cols>
  <sheetData>
    <row r="1" spans="1:2" x14ac:dyDescent="0.3">
      <c r="A1" t="s">
        <v>2425</v>
      </c>
      <c r="B1" t="s">
        <v>2426</v>
      </c>
    </row>
    <row r="2" spans="1:2" x14ac:dyDescent="0.3">
      <c r="A2" t="s">
        <v>13</v>
      </c>
      <c r="B2" t="s">
        <v>2427</v>
      </c>
    </row>
    <row r="3" spans="1:2" x14ac:dyDescent="0.3">
      <c r="A3" t="s">
        <v>2428</v>
      </c>
      <c r="B3" t="s">
        <v>2429</v>
      </c>
    </row>
    <row r="4" spans="1:2" x14ac:dyDescent="0.3">
      <c r="A4" t="s">
        <v>2430</v>
      </c>
      <c r="B4" t="s">
        <v>2431</v>
      </c>
    </row>
    <row r="5" spans="1:2" x14ac:dyDescent="0.3">
      <c r="A5" t="s">
        <v>2432</v>
      </c>
      <c r="B5" t="s">
        <v>2433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E492-D2A2-46CC-BA60-433A6FD8B4E3}">
  <dimension ref="A2:M11"/>
  <sheetViews>
    <sheetView workbookViewId="0">
      <selection activeCell="E3" sqref="E3:M3"/>
    </sheetView>
  </sheetViews>
  <sheetFormatPr defaultRowHeight="14.4" x14ac:dyDescent="0.3"/>
  <cols>
    <col min="1" max="1" width="20.33203125" bestFit="1" customWidth="1"/>
    <col min="2" max="2" width="14.21875" bestFit="1" customWidth="1"/>
  </cols>
  <sheetData>
    <row r="2" spans="1:13" x14ac:dyDescent="0.3">
      <c r="A2" s="2" t="s">
        <v>2436</v>
      </c>
      <c r="B2" t="s">
        <v>2438</v>
      </c>
    </row>
    <row r="3" spans="1:13" x14ac:dyDescent="0.3">
      <c r="A3" s="3" t="s">
        <v>57</v>
      </c>
      <c r="B3">
        <v>3.007792207792209</v>
      </c>
      <c r="D3" t="s">
        <v>2439</v>
      </c>
      <c r="E3" s="7" t="s">
        <v>2440</v>
      </c>
      <c r="F3" s="7"/>
      <c r="G3" s="7"/>
      <c r="H3" s="7"/>
      <c r="I3" s="7"/>
      <c r="J3" s="7"/>
      <c r="K3" s="7"/>
      <c r="L3" s="7"/>
      <c r="M3" s="7"/>
    </row>
    <row r="4" spans="1:13" x14ac:dyDescent="0.3">
      <c r="A4" s="3" t="s">
        <v>12</v>
      </c>
      <c r="B4">
        <v>3.0239716312056717</v>
      </c>
    </row>
    <row r="5" spans="1:13" x14ac:dyDescent="0.3">
      <c r="A5" s="3" t="s">
        <v>22</v>
      </c>
      <c r="B5">
        <v>2.9818181818181828</v>
      </c>
    </row>
    <row r="6" spans="1:13" x14ac:dyDescent="0.3">
      <c r="A6" s="3" t="s">
        <v>17</v>
      </c>
      <c r="B6">
        <v>3.0338194444444451</v>
      </c>
    </row>
    <row r="7" spans="1:13" x14ac:dyDescent="0.3">
      <c r="A7" s="3" t="s">
        <v>28</v>
      </c>
      <c r="B7">
        <v>3.0026506024096373</v>
      </c>
    </row>
    <row r="8" spans="1:13" x14ac:dyDescent="0.3">
      <c r="A8" s="4" t="s">
        <v>36</v>
      </c>
      <c r="B8">
        <v>2.9522424242424252</v>
      </c>
    </row>
    <row r="9" spans="1:13" x14ac:dyDescent="0.3">
      <c r="A9" s="3" t="s">
        <v>54</v>
      </c>
      <c r="B9">
        <v>2.9608860759493676</v>
      </c>
    </row>
    <row r="10" spans="1:13" x14ac:dyDescent="0.3">
      <c r="A10" s="3" t="s">
        <v>25</v>
      </c>
      <c r="B10">
        <v>3.032500000000002</v>
      </c>
    </row>
    <row r="11" spans="1:13" x14ac:dyDescent="0.3">
      <c r="A11" s="3" t="s">
        <v>2437</v>
      </c>
      <c r="B11">
        <v>2.9983166666666663</v>
      </c>
    </row>
  </sheetData>
  <mergeCells count="1">
    <mergeCell ref="E3:M3"/>
  </mergeCells>
  <conditionalFormatting sqref="A8">
    <cfRule type="top10" priority="1" percent="1" bottom="1" rank="1"/>
    <cfRule type="top10" dxfId="1" priority="2" bottom="1" rank="1"/>
  </conditionalFormatting>
  <conditionalFormatting sqref="B1:B1048576">
    <cfRule type="top10" dxfId="0" priority="3" percent="1" bottom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10DF-D8D7-4856-8C44-40EDB0E4CE0D}">
  <dimension ref="A3:D20"/>
  <sheetViews>
    <sheetView workbookViewId="0">
      <selection activeCell="A3" sqref="A3"/>
    </sheetView>
  </sheetViews>
  <sheetFormatPr defaultRowHeight="14.4" x14ac:dyDescent="0.3"/>
  <cols>
    <col min="1" max="1" width="13.88671875" bestFit="1" customWidth="1"/>
    <col min="2" max="2" width="17.88671875" bestFit="1" customWidth="1"/>
    <col min="3" max="3" width="14.21875" bestFit="1" customWidth="1"/>
    <col min="4" max="4" width="17.33203125" bestFit="1" customWidth="1"/>
    <col min="5" max="5" width="11" bestFit="1" customWidth="1"/>
    <col min="6" max="6" width="17.33203125" bestFit="1" customWidth="1"/>
    <col min="7" max="7" width="11" bestFit="1" customWidth="1"/>
    <col min="8" max="8" width="17.33203125" bestFit="1" customWidth="1"/>
    <col min="9" max="9" width="11" bestFit="1" customWidth="1"/>
    <col min="10" max="10" width="17.33203125" bestFit="1" customWidth="1"/>
    <col min="11" max="11" width="11" bestFit="1" customWidth="1"/>
    <col min="12" max="12" width="17.33203125" bestFit="1" customWidth="1"/>
    <col min="13" max="13" width="11" bestFit="1" customWidth="1"/>
    <col min="14" max="14" width="17.33203125" bestFit="1" customWidth="1"/>
    <col min="15" max="15" width="11" bestFit="1" customWidth="1"/>
    <col min="16" max="16" width="17.33203125" bestFit="1" customWidth="1"/>
    <col min="17" max="17" width="11" bestFit="1" customWidth="1"/>
    <col min="18" max="18" width="17.33203125" bestFit="1" customWidth="1"/>
    <col min="19" max="19" width="11" bestFit="1" customWidth="1"/>
    <col min="20" max="20" width="17.33203125" bestFit="1" customWidth="1"/>
    <col min="21" max="21" width="11" bestFit="1" customWidth="1"/>
    <col min="22" max="22" width="17.33203125" bestFit="1" customWidth="1"/>
    <col min="23" max="23" width="11" bestFit="1" customWidth="1"/>
    <col min="24" max="24" width="17.33203125" bestFit="1" customWidth="1"/>
    <col min="25" max="25" width="11" bestFit="1" customWidth="1"/>
    <col min="26" max="26" width="17.33203125" bestFit="1" customWidth="1"/>
    <col min="27" max="27" width="11" bestFit="1" customWidth="1"/>
    <col min="28" max="28" width="17.33203125" bestFit="1" customWidth="1"/>
    <col min="29" max="29" width="11" bestFit="1" customWidth="1"/>
    <col min="30" max="30" width="17.33203125" bestFit="1" customWidth="1"/>
    <col min="31" max="31" width="11" bestFit="1" customWidth="1"/>
    <col min="32" max="32" width="17.33203125" bestFit="1" customWidth="1"/>
    <col min="33" max="33" width="11" bestFit="1" customWidth="1"/>
    <col min="34" max="34" width="17.33203125" bestFit="1" customWidth="1"/>
    <col min="35" max="35" width="11" bestFit="1" customWidth="1"/>
    <col min="36" max="36" width="17.33203125" bestFit="1" customWidth="1"/>
    <col min="37" max="37" width="11" bestFit="1" customWidth="1"/>
    <col min="38" max="38" width="17.33203125" bestFit="1" customWidth="1"/>
    <col min="39" max="39" width="11" bestFit="1" customWidth="1"/>
    <col min="40" max="40" width="17.33203125" bestFit="1" customWidth="1"/>
    <col min="41" max="41" width="11" bestFit="1" customWidth="1"/>
    <col min="42" max="42" width="17.33203125" bestFit="1" customWidth="1"/>
    <col min="43" max="43" width="11" bestFit="1" customWidth="1"/>
    <col min="44" max="44" width="17.33203125" bestFit="1" customWidth="1"/>
    <col min="45" max="45" width="11" bestFit="1" customWidth="1"/>
    <col min="46" max="46" width="17.33203125" bestFit="1" customWidth="1"/>
    <col min="47" max="47" width="11" bestFit="1" customWidth="1"/>
    <col min="48" max="48" width="17.33203125" bestFit="1" customWidth="1"/>
    <col min="49" max="49" width="11" bestFit="1" customWidth="1"/>
    <col min="50" max="50" width="17.33203125" bestFit="1" customWidth="1"/>
    <col min="51" max="51" width="11" bestFit="1" customWidth="1"/>
    <col min="52" max="52" width="17.33203125" bestFit="1" customWidth="1"/>
    <col min="53" max="53" width="11" bestFit="1" customWidth="1"/>
    <col min="54" max="54" width="17.33203125" bestFit="1" customWidth="1"/>
    <col min="55" max="55" width="11" bestFit="1" customWidth="1"/>
    <col min="56" max="56" width="17.33203125" bestFit="1" customWidth="1"/>
    <col min="57" max="57" width="11" bestFit="1" customWidth="1"/>
    <col min="58" max="58" width="17.33203125" bestFit="1" customWidth="1"/>
    <col min="59" max="59" width="11" bestFit="1" customWidth="1"/>
    <col min="60" max="60" width="17.33203125" bestFit="1" customWidth="1"/>
    <col min="61" max="61" width="11" bestFit="1" customWidth="1"/>
    <col min="62" max="62" width="17.33203125" bestFit="1" customWidth="1"/>
    <col min="63" max="63" width="11" bestFit="1" customWidth="1"/>
    <col min="64" max="64" width="17.33203125" bestFit="1" customWidth="1"/>
    <col min="65" max="65" width="11" bestFit="1" customWidth="1"/>
    <col min="66" max="66" width="17.33203125" bestFit="1" customWidth="1"/>
    <col min="67" max="67" width="11" bestFit="1" customWidth="1"/>
    <col min="68" max="68" width="17.33203125" bestFit="1" customWidth="1"/>
    <col min="69" max="69" width="11" bestFit="1" customWidth="1"/>
    <col min="70" max="70" width="17.33203125" bestFit="1" customWidth="1"/>
    <col min="71" max="71" width="11" bestFit="1" customWidth="1"/>
    <col min="72" max="72" width="17.33203125" bestFit="1" customWidth="1"/>
    <col min="73" max="73" width="11" bestFit="1" customWidth="1"/>
    <col min="74" max="74" width="17.33203125" bestFit="1" customWidth="1"/>
    <col min="75" max="75" width="11" bestFit="1" customWidth="1"/>
    <col min="76" max="76" width="17.33203125" bestFit="1" customWidth="1"/>
    <col min="77" max="77" width="11" bestFit="1" customWidth="1"/>
    <col min="78" max="78" width="17.33203125" bestFit="1" customWidth="1"/>
    <col min="79" max="79" width="11" bestFit="1" customWidth="1"/>
    <col min="80" max="80" width="17.33203125" bestFit="1" customWidth="1"/>
    <col min="81" max="81" width="11" bestFit="1" customWidth="1"/>
    <col min="82" max="82" width="17.33203125" bestFit="1" customWidth="1"/>
    <col min="83" max="83" width="11" bestFit="1" customWidth="1"/>
    <col min="84" max="84" width="17.33203125" bestFit="1" customWidth="1"/>
    <col min="85" max="85" width="11" bestFit="1" customWidth="1"/>
    <col min="86" max="86" width="17.33203125" bestFit="1" customWidth="1"/>
    <col min="87" max="87" width="11" bestFit="1" customWidth="1"/>
    <col min="88" max="88" width="17.33203125" bestFit="1" customWidth="1"/>
    <col min="89" max="89" width="11" bestFit="1" customWidth="1"/>
    <col min="90" max="90" width="17.33203125" bestFit="1" customWidth="1"/>
    <col min="91" max="91" width="11" bestFit="1" customWidth="1"/>
    <col min="92" max="92" width="17.33203125" bestFit="1" customWidth="1"/>
    <col min="93" max="93" width="11" bestFit="1" customWidth="1"/>
    <col min="94" max="94" width="17.33203125" bestFit="1" customWidth="1"/>
    <col min="95" max="95" width="11" bestFit="1" customWidth="1"/>
    <col min="96" max="96" width="17.33203125" bestFit="1" customWidth="1"/>
    <col min="97" max="97" width="11" bestFit="1" customWidth="1"/>
    <col min="98" max="98" width="17.33203125" bestFit="1" customWidth="1"/>
    <col min="99" max="99" width="11" bestFit="1" customWidth="1"/>
    <col min="100" max="100" width="17.33203125" bestFit="1" customWidth="1"/>
    <col min="101" max="101" width="11" bestFit="1" customWidth="1"/>
    <col min="102" max="102" width="17.33203125" bestFit="1" customWidth="1"/>
    <col min="103" max="103" width="11" bestFit="1" customWidth="1"/>
    <col min="104" max="104" width="17.33203125" bestFit="1" customWidth="1"/>
    <col min="105" max="105" width="11" bestFit="1" customWidth="1"/>
    <col min="106" max="106" width="17.33203125" bestFit="1" customWidth="1"/>
    <col min="107" max="107" width="11" bestFit="1" customWidth="1"/>
    <col min="108" max="108" width="17.33203125" bestFit="1" customWidth="1"/>
    <col min="109" max="109" width="11" bestFit="1" customWidth="1"/>
    <col min="110" max="110" width="17.33203125" bestFit="1" customWidth="1"/>
    <col min="111" max="111" width="11" bestFit="1" customWidth="1"/>
    <col min="112" max="112" width="17.33203125" bestFit="1" customWidth="1"/>
    <col min="113" max="113" width="11" bestFit="1" customWidth="1"/>
    <col min="114" max="114" width="17.33203125" bestFit="1" customWidth="1"/>
    <col min="115" max="115" width="11" bestFit="1" customWidth="1"/>
    <col min="116" max="116" width="17.33203125" bestFit="1" customWidth="1"/>
    <col min="117" max="117" width="11" bestFit="1" customWidth="1"/>
    <col min="118" max="118" width="17.33203125" bestFit="1" customWidth="1"/>
    <col min="119" max="119" width="11" bestFit="1" customWidth="1"/>
    <col min="120" max="120" width="17.33203125" bestFit="1" customWidth="1"/>
    <col min="121" max="121" width="11" bestFit="1" customWidth="1"/>
    <col min="122" max="122" width="17.33203125" bestFit="1" customWidth="1"/>
    <col min="123" max="123" width="11" bestFit="1" customWidth="1"/>
    <col min="124" max="124" width="17.33203125" bestFit="1" customWidth="1"/>
    <col min="125" max="125" width="11" bestFit="1" customWidth="1"/>
    <col min="126" max="126" width="17.33203125" bestFit="1" customWidth="1"/>
    <col min="127" max="127" width="11" bestFit="1" customWidth="1"/>
    <col min="128" max="128" width="17.33203125" bestFit="1" customWidth="1"/>
    <col min="129" max="129" width="11" bestFit="1" customWidth="1"/>
    <col min="130" max="130" width="17.33203125" bestFit="1" customWidth="1"/>
    <col min="131" max="131" width="11" bestFit="1" customWidth="1"/>
    <col min="132" max="132" width="17.33203125" bestFit="1" customWidth="1"/>
    <col min="133" max="133" width="11" bestFit="1" customWidth="1"/>
    <col min="134" max="134" width="17.33203125" bestFit="1" customWidth="1"/>
    <col min="135" max="135" width="11" bestFit="1" customWidth="1"/>
    <col min="136" max="136" width="17.33203125" bestFit="1" customWidth="1"/>
    <col min="137" max="137" width="11" bestFit="1" customWidth="1"/>
    <col min="138" max="138" width="17.33203125" bestFit="1" customWidth="1"/>
    <col min="139" max="139" width="11" bestFit="1" customWidth="1"/>
    <col min="140" max="140" width="17.33203125" bestFit="1" customWidth="1"/>
    <col min="141" max="141" width="11" bestFit="1" customWidth="1"/>
    <col min="142" max="142" width="17.33203125" bestFit="1" customWidth="1"/>
    <col min="143" max="143" width="11" bestFit="1" customWidth="1"/>
    <col min="144" max="144" width="17.33203125" bestFit="1" customWidth="1"/>
    <col min="145" max="145" width="11" bestFit="1" customWidth="1"/>
    <col min="146" max="146" width="17.33203125" bestFit="1" customWidth="1"/>
    <col min="147" max="147" width="11" bestFit="1" customWidth="1"/>
    <col min="148" max="148" width="17.33203125" bestFit="1" customWidth="1"/>
    <col min="149" max="149" width="11" bestFit="1" customWidth="1"/>
    <col min="150" max="150" width="17.33203125" bestFit="1" customWidth="1"/>
    <col min="151" max="151" width="11" bestFit="1" customWidth="1"/>
    <col min="152" max="152" width="17.33203125" bestFit="1" customWidth="1"/>
    <col min="153" max="153" width="11" bestFit="1" customWidth="1"/>
    <col min="154" max="154" width="17.33203125" bestFit="1" customWidth="1"/>
    <col min="155" max="155" width="11" bestFit="1" customWidth="1"/>
    <col min="156" max="156" width="17.33203125" bestFit="1" customWidth="1"/>
    <col min="157" max="157" width="11" bestFit="1" customWidth="1"/>
    <col min="158" max="158" width="17.33203125" bestFit="1" customWidth="1"/>
    <col min="159" max="159" width="11" bestFit="1" customWidth="1"/>
    <col min="160" max="160" width="17.33203125" bestFit="1" customWidth="1"/>
    <col min="161" max="161" width="11" bestFit="1" customWidth="1"/>
    <col min="162" max="162" width="17.33203125" bestFit="1" customWidth="1"/>
    <col min="163" max="163" width="11" bestFit="1" customWidth="1"/>
    <col min="164" max="164" width="17.33203125" bestFit="1" customWidth="1"/>
    <col min="165" max="165" width="11" bestFit="1" customWidth="1"/>
    <col min="166" max="166" width="17.33203125" bestFit="1" customWidth="1"/>
    <col min="167" max="167" width="11" bestFit="1" customWidth="1"/>
    <col min="168" max="168" width="17.33203125" bestFit="1" customWidth="1"/>
    <col min="169" max="169" width="11" bestFit="1" customWidth="1"/>
    <col min="170" max="170" width="17.33203125" bestFit="1" customWidth="1"/>
    <col min="171" max="171" width="11" bestFit="1" customWidth="1"/>
    <col min="172" max="172" width="17.33203125" bestFit="1" customWidth="1"/>
    <col min="173" max="173" width="11" bestFit="1" customWidth="1"/>
    <col min="174" max="174" width="17.33203125" bestFit="1" customWidth="1"/>
    <col min="175" max="175" width="11" bestFit="1" customWidth="1"/>
    <col min="176" max="176" width="17.33203125" bestFit="1" customWidth="1"/>
    <col min="177" max="177" width="11" bestFit="1" customWidth="1"/>
    <col min="178" max="178" width="17.33203125" bestFit="1" customWidth="1"/>
    <col min="179" max="179" width="11" bestFit="1" customWidth="1"/>
    <col min="180" max="180" width="17.33203125" bestFit="1" customWidth="1"/>
    <col min="181" max="181" width="11" bestFit="1" customWidth="1"/>
    <col min="182" max="182" width="17.33203125" bestFit="1" customWidth="1"/>
    <col min="183" max="183" width="11" bestFit="1" customWidth="1"/>
    <col min="184" max="184" width="17.33203125" bestFit="1" customWidth="1"/>
    <col min="185" max="185" width="11" bestFit="1" customWidth="1"/>
    <col min="186" max="186" width="17.33203125" bestFit="1" customWidth="1"/>
    <col min="187" max="187" width="11" bestFit="1" customWidth="1"/>
    <col min="188" max="188" width="17.33203125" bestFit="1" customWidth="1"/>
    <col min="189" max="189" width="11" bestFit="1" customWidth="1"/>
    <col min="190" max="190" width="17.33203125" bestFit="1" customWidth="1"/>
    <col min="191" max="191" width="11" bestFit="1" customWidth="1"/>
    <col min="192" max="192" width="17.33203125" bestFit="1" customWidth="1"/>
    <col min="193" max="193" width="11" bestFit="1" customWidth="1"/>
    <col min="194" max="194" width="17.33203125" bestFit="1" customWidth="1"/>
    <col min="195" max="195" width="11" bestFit="1" customWidth="1"/>
    <col min="196" max="196" width="17.33203125" bestFit="1" customWidth="1"/>
    <col min="197" max="197" width="11" bestFit="1" customWidth="1"/>
    <col min="198" max="198" width="17.33203125" bestFit="1" customWidth="1"/>
    <col min="199" max="199" width="11" bestFit="1" customWidth="1"/>
    <col min="200" max="200" width="17.33203125" bestFit="1" customWidth="1"/>
    <col min="201" max="201" width="11" bestFit="1" customWidth="1"/>
    <col min="202" max="202" width="17.33203125" bestFit="1" customWidth="1"/>
    <col min="203" max="203" width="11" bestFit="1" customWidth="1"/>
    <col min="204" max="204" width="17.33203125" bestFit="1" customWidth="1"/>
    <col min="205" max="205" width="11" bestFit="1" customWidth="1"/>
    <col min="206" max="206" width="17.33203125" bestFit="1" customWidth="1"/>
    <col min="207" max="207" width="11" bestFit="1" customWidth="1"/>
    <col min="208" max="208" width="17.33203125" bestFit="1" customWidth="1"/>
    <col min="209" max="209" width="11" bestFit="1" customWidth="1"/>
    <col min="210" max="210" width="17.33203125" bestFit="1" customWidth="1"/>
    <col min="211" max="211" width="11" bestFit="1" customWidth="1"/>
    <col min="212" max="212" width="17.33203125" bestFit="1" customWidth="1"/>
    <col min="213" max="213" width="11" bestFit="1" customWidth="1"/>
    <col min="214" max="214" width="17.33203125" bestFit="1" customWidth="1"/>
    <col min="215" max="215" width="11" bestFit="1" customWidth="1"/>
    <col min="216" max="216" width="17.33203125" bestFit="1" customWidth="1"/>
    <col min="217" max="217" width="11" bestFit="1" customWidth="1"/>
    <col min="218" max="218" width="17.33203125" bestFit="1" customWidth="1"/>
    <col min="219" max="219" width="11" bestFit="1" customWidth="1"/>
    <col min="220" max="220" width="17.33203125" bestFit="1" customWidth="1"/>
    <col min="221" max="221" width="11" bestFit="1" customWidth="1"/>
    <col min="222" max="222" width="17.33203125" bestFit="1" customWidth="1"/>
    <col min="223" max="223" width="11" bestFit="1" customWidth="1"/>
    <col min="224" max="224" width="17.33203125" bestFit="1" customWidth="1"/>
    <col min="225" max="225" width="11" bestFit="1" customWidth="1"/>
    <col min="226" max="226" width="17.33203125" bestFit="1" customWidth="1"/>
    <col min="227" max="227" width="11" bestFit="1" customWidth="1"/>
    <col min="228" max="228" width="17.33203125" bestFit="1" customWidth="1"/>
    <col min="229" max="229" width="11" bestFit="1" customWidth="1"/>
    <col min="230" max="230" width="17.33203125" bestFit="1" customWidth="1"/>
    <col min="231" max="231" width="11" bestFit="1" customWidth="1"/>
    <col min="232" max="232" width="17.33203125" bestFit="1" customWidth="1"/>
    <col min="233" max="233" width="11" bestFit="1" customWidth="1"/>
    <col min="234" max="234" width="17.33203125" bestFit="1" customWidth="1"/>
    <col min="235" max="235" width="11" bestFit="1" customWidth="1"/>
    <col min="236" max="236" width="17.33203125" bestFit="1" customWidth="1"/>
    <col min="237" max="237" width="11" bestFit="1" customWidth="1"/>
    <col min="238" max="238" width="17.33203125" bestFit="1" customWidth="1"/>
    <col min="239" max="239" width="11" bestFit="1" customWidth="1"/>
    <col min="240" max="240" width="17.33203125" bestFit="1" customWidth="1"/>
    <col min="241" max="241" width="11" bestFit="1" customWidth="1"/>
    <col min="242" max="242" width="17.33203125" bestFit="1" customWidth="1"/>
    <col min="243" max="243" width="11" bestFit="1" customWidth="1"/>
    <col min="244" max="244" width="17.33203125" bestFit="1" customWidth="1"/>
    <col min="245" max="245" width="11" bestFit="1" customWidth="1"/>
    <col min="246" max="246" width="17.33203125" bestFit="1" customWidth="1"/>
    <col min="247" max="247" width="11" bestFit="1" customWidth="1"/>
    <col min="248" max="248" width="17.33203125" bestFit="1" customWidth="1"/>
    <col min="249" max="249" width="11" bestFit="1" customWidth="1"/>
    <col min="250" max="250" width="17.33203125" bestFit="1" customWidth="1"/>
    <col min="251" max="251" width="11" bestFit="1" customWidth="1"/>
    <col min="252" max="252" width="17.33203125" bestFit="1" customWidth="1"/>
    <col min="253" max="253" width="11" bestFit="1" customWidth="1"/>
    <col min="254" max="254" width="17.33203125" bestFit="1" customWidth="1"/>
    <col min="255" max="255" width="11" bestFit="1" customWidth="1"/>
    <col min="256" max="256" width="17.33203125" bestFit="1" customWidth="1"/>
    <col min="257" max="257" width="11" bestFit="1" customWidth="1"/>
    <col min="258" max="258" width="17.33203125" bestFit="1" customWidth="1"/>
    <col min="259" max="259" width="11" bestFit="1" customWidth="1"/>
    <col min="260" max="260" width="17.33203125" bestFit="1" customWidth="1"/>
    <col min="261" max="261" width="11" bestFit="1" customWidth="1"/>
    <col min="262" max="262" width="17.33203125" bestFit="1" customWidth="1"/>
    <col min="263" max="263" width="11" bestFit="1" customWidth="1"/>
    <col min="264" max="264" width="17.33203125" bestFit="1" customWidth="1"/>
    <col min="265" max="265" width="11" bestFit="1" customWidth="1"/>
    <col min="266" max="266" width="17.33203125" bestFit="1" customWidth="1"/>
    <col min="267" max="267" width="11" bestFit="1" customWidth="1"/>
    <col min="268" max="268" width="17.33203125" bestFit="1" customWidth="1"/>
    <col min="269" max="269" width="11" bestFit="1" customWidth="1"/>
    <col min="270" max="270" width="17.33203125" bestFit="1" customWidth="1"/>
    <col min="271" max="271" width="11" bestFit="1" customWidth="1"/>
    <col min="272" max="272" width="17.33203125" bestFit="1" customWidth="1"/>
    <col min="273" max="273" width="11" bestFit="1" customWidth="1"/>
    <col min="274" max="274" width="17.33203125" bestFit="1" customWidth="1"/>
    <col min="275" max="275" width="11" bestFit="1" customWidth="1"/>
    <col min="276" max="276" width="17.33203125" bestFit="1" customWidth="1"/>
    <col min="277" max="277" width="11" bestFit="1" customWidth="1"/>
    <col min="278" max="278" width="17.33203125" bestFit="1" customWidth="1"/>
    <col min="279" max="279" width="11" bestFit="1" customWidth="1"/>
    <col min="280" max="280" width="17.33203125" bestFit="1" customWidth="1"/>
    <col min="281" max="281" width="11" bestFit="1" customWidth="1"/>
    <col min="282" max="282" width="17.33203125" bestFit="1" customWidth="1"/>
    <col min="283" max="283" width="11" bestFit="1" customWidth="1"/>
    <col min="284" max="284" width="17.33203125" bestFit="1" customWidth="1"/>
    <col min="285" max="285" width="11" bestFit="1" customWidth="1"/>
    <col min="286" max="286" width="17.33203125" bestFit="1" customWidth="1"/>
    <col min="287" max="287" width="11" bestFit="1" customWidth="1"/>
    <col min="288" max="288" width="17.33203125" bestFit="1" customWidth="1"/>
    <col min="289" max="289" width="11" bestFit="1" customWidth="1"/>
    <col min="290" max="290" width="17.33203125" bestFit="1" customWidth="1"/>
    <col min="291" max="291" width="11" bestFit="1" customWidth="1"/>
    <col min="292" max="292" width="17.33203125" bestFit="1" customWidth="1"/>
    <col min="293" max="293" width="11" bestFit="1" customWidth="1"/>
    <col min="294" max="294" width="17.33203125" bestFit="1" customWidth="1"/>
    <col min="295" max="295" width="11" bestFit="1" customWidth="1"/>
    <col min="296" max="296" width="17.33203125" bestFit="1" customWidth="1"/>
    <col min="297" max="297" width="11" bestFit="1" customWidth="1"/>
    <col min="298" max="298" width="17.33203125" bestFit="1" customWidth="1"/>
    <col min="299" max="299" width="11" bestFit="1" customWidth="1"/>
    <col min="300" max="300" width="17.33203125" bestFit="1" customWidth="1"/>
    <col min="301" max="301" width="11" bestFit="1" customWidth="1"/>
    <col min="302" max="302" width="17.33203125" bestFit="1" customWidth="1"/>
    <col min="303" max="303" width="11" bestFit="1" customWidth="1"/>
    <col min="304" max="304" width="17.33203125" bestFit="1" customWidth="1"/>
    <col min="305" max="305" width="11" bestFit="1" customWidth="1"/>
    <col min="306" max="306" width="17.33203125" bestFit="1" customWidth="1"/>
    <col min="307" max="307" width="11" bestFit="1" customWidth="1"/>
    <col min="308" max="308" width="17.33203125" bestFit="1" customWidth="1"/>
    <col min="309" max="309" width="11" bestFit="1" customWidth="1"/>
    <col min="310" max="310" width="17.33203125" bestFit="1" customWidth="1"/>
    <col min="311" max="311" width="11" bestFit="1" customWidth="1"/>
    <col min="312" max="312" width="17.33203125" bestFit="1" customWidth="1"/>
    <col min="313" max="313" width="11" bestFit="1" customWidth="1"/>
    <col min="314" max="314" width="17.33203125" bestFit="1" customWidth="1"/>
    <col min="315" max="315" width="11" bestFit="1" customWidth="1"/>
    <col min="316" max="316" width="17.33203125" bestFit="1" customWidth="1"/>
    <col min="317" max="317" width="11" bestFit="1" customWidth="1"/>
    <col min="318" max="318" width="17.33203125" bestFit="1" customWidth="1"/>
    <col min="319" max="319" width="11" bestFit="1" customWidth="1"/>
    <col min="320" max="320" width="17.33203125" bestFit="1" customWidth="1"/>
    <col min="321" max="321" width="11" bestFit="1" customWidth="1"/>
    <col min="322" max="322" width="17.33203125" bestFit="1" customWidth="1"/>
    <col min="323" max="323" width="11" bestFit="1" customWidth="1"/>
    <col min="324" max="324" width="17.33203125" bestFit="1" customWidth="1"/>
    <col min="325" max="325" width="11" bestFit="1" customWidth="1"/>
    <col min="326" max="326" width="17.33203125" bestFit="1" customWidth="1"/>
    <col min="327" max="327" width="11" bestFit="1" customWidth="1"/>
    <col min="328" max="328" width="17.33203125" bestFit="1" customWidth="1"/>
    <col min="329" max="329" width="11" bestFit="1" customWidth="1"/>
    <col min="330" max="330" width="17.33203125" bestFit="1" customWidth="1"/>
    <col min="331" max="331" width="11" bestFit="1" customWidth="1"/>
    <col min="332" max="332" width="17.33203125" bestFit="1" customWidth="1"/>
    <col min="333" max="333" width="11" bestFit="1" customWidth="1"/>
    <col min="334" max="334" width="17.33203125" bestFit="1" customWidth="1"/>
    <col min="335" max="335" width="11" bestFit="1" customWidth="1"/>
    <col min="336" max="336" width="17.33203125" bestFit="1" customWidth="1"/>
    <col min="337" max="337" width="11" bestFit="1" customWidth="1"/>
    <col min="338" max="338" width="17.33203125" bestFit="1" customWidth="1"/>
    <col min="339" max="339" width="11" bestFit="1" customWidth="1"/>
    <col min="340" max="340" width="17.33203125" bestFit="1" customWidth="1"/>
    <col min="341" max="341" width="11" bestFit="1" customWidth="1"/>
    <col min="342" max="342" width="17.33203125" bestFit="1" customWidth="1"/>
    <col min="343" max="343" width="11" bestFit="1" customWidth="1"/>
    <col min="344" max="344" width="17.33203125" bestFit="1" customWidth="1"/>
    <col min="345" max="345" width="11" bestFit="1" customWidth="1"/>
    <col min="346" max="346" width="17.33203125" bestFit="1" customWidth="1"/>
    <col min="347" max="347" width="11" bestFit="1" customWidth="1"/>
    <col min="348" max="348" width="17.33203125" bestFit="1" customWidth="1"/>
    <col min="349" max="349" width="11" bestFit="1" customWidth="1"/>
    <col min="350" max="350" width="17.33203125" bestFit="1" customWidth="1"/>
    <col min="351" max="351" width="11" bestFit="1" customWidth="1"/>
    <col min="352" max="352" width="17.33203125" bestFit="1" customWidth="1"/>
    <col min="353" max="353" width="11" bestFit="1" customWidth="1"/>
    <col min="354" max="354" width="17.33203125" bestFit="1" customWidth="1"/>
    <col min="355" max="355" width="11" bestFit="1" customWidth="1"/>
    <col min="356" max="356" width="17.33203125" bestFit="1" customWidth="1"/>
    <col min="357" max="357" width="11" bestFit="1" customWidth="1"/>
    <col min="358" max="358" width="17.33203125" bestFit="1" customWidth="1"/>
    <col min="359" max="359" width="11" bestFit="1" customWidth="1"/>
    <col min="360" max="360" width="17.33203125" bestFit="1" customWidth="1"/>
    <col min="361" max="361" width="11" bestFit="1" customWidth="1"/>
    <col min="362" max="362" width="17.33203125" bestFit="1" customWidth="1"/>
    <col min="363" max="363" width="11" bestFit="1" customWidth="1"/>
    <col min="364" max="364" width="17.33203125" bestFit="1" customWidth="1"/>
    <col min="365" max="365" width="11" bestFit="1" customWidth="1"/>
    <col min="366" max="366" width="17.33203125" bestFit="1" customWidth="1"/>
    <col min="367" max="367" width="11" bestFit="1" customWidth="1"/>
    <col min="368" max="368" width="17.33203125" bestFit="1" customWidth="1"/>
    <col min="369" max="369" width="11" bestFit="1" customWidth="1"/>
    <col min="370" max="370" width="17.33203125" bestFit="1" customWidth="1"/>
    <col min="371" max="371" width="11" bestFit="1" customWidth="1"/>
    <col min="372" max="372" width="17.33203125" bestFit="1" customWidth="1"/>
    <col min="373" max="373" width="11" bestFit="1" customWidth="1"/>
    <col min="374" max="374" width="17.33203125" bestFit="1" customWidth="1"/>
    <col min="375" max="375" width="11" bestFit="1" customWidth="1"/>
    <col min="376" max="376" width="17.33203125" bestFit="1" customWidth="1"/>
    <col min="377" max="377" width="11" bestFit="1" customWidth="1"/>
    <col min="378" max="378" width="17.33203125" bestFit="1" customWidth="1"/>
    <col min="379" max="379" width="11" bestFit="1" customWidth="1"/>
    <col min="380" max="380" width="17.33203125" bestFit="1" customWidth="1"/>
    <col min="381" max="381" width="11" bestFit="1" customWidth="1"/>
    <col min="382" max="382" width="17.33203125" bestFit="1" customWidth="1"/>
    <col min="383" max="383" width="11" bestFit="1" customWidth="1"/>
    <col min="384" max="384" width="17.33203125" bestFit="1" customWidth="1"/>
    <col min="385" max="385" width="11" bestFit="1" customWidth="1"/>
    <col min="386" max="386" width="17.33203125" bestFit="1" customWidth="1"/>
    <col min="387" max="387" width="11" bestFit="1" customWidth="1"/>
    <col min="388" max="388" width="17.33203125" bestFit="1" customWidth="1"/>
    <col min="389" max="389" width="11" bestFit="1" customWidth="1"/>
    <col min="390" max="390" width="17.33203125" bestFit="1" customWidth="1"/>
    <col min="391" max="391" width="11" bestFit="1" customWidth="1"/>
    <col min="392" max="392" width="17.33203125" bestFit="1" customWidth="1"/>
    <col min="393" max="393" width="11" bestFit="1" customWidth="1"/>
    <col min="394" max="394" width="17.33203125" bestFit="1" customWidth="1"/>
    <col min="395" max="395" width="11" bestFit="1" customWidth="1"/>
    <col min="396" max="396" width="17.33203125" bestFit="1" customWidth="1"/>
    <col min="397" max="397" width="11" bestFit="1" customWidth="1"/>
    <col min="398" max="398" width="17.33203125" bestFit="1" customWidth="1"/>
    <col min="399" max="399" width="11" bestFit="1" customWidth="1"/>
    <col min="400" max="400" width="17.33203125" bestFit="1" customWidth="1"/>
    <col min="401" max="401" width="11" bestFit="1" customWidth="1"/>
    <col min="402" max="402" width="17.33203125" bestFit="1" customWidth="1"/>
    <col min="403" max="403" width="11" bestFit="1" customWidth="1"/>
    <col min="404" max="404" width="17.33203125" bestFit="1" customWidth="1"/>
    <col min="405" max="405" width="11" bestFit="1" customWidth="1"/>
    <col min="406" max="406" width="17.33203125" bestFit="1" customWidth="1"/>
    <col min="407" max="407" width="11" bestFit="1" customWidth="1"/>
    <col min="408" max="408" width="17.33203125" bestFit="1" customWidth="1"/>
    <col min="409" max="409" width="11" bestFit="1" customWidth="1"/>
    <col min="410" max="410" width="17.33203125" bestFit="1" customWidth="1"/>
    <col min="411" max="411" width="11" bestFit="1" customWidth="1"/>
    <col min="412" max="412" width="17.33203125" bestFit="1" customWidth="1"/>
    <col min="413" max="413" width="11" bestFit="1" customWidth="1"/>
    <col min="414" max="414" width="17.33203125" bestFit="1" customWidth="1"/>
    <col min="415" max="415" width="11" bestFit="1" customWidth="1"/>
    <col min="416" max="416" width="17.33203125" bestFit="1" customWidth="1"/>
    <col min="417" max="417" width="11" bestFit="1" customWidth="1"/>
    <col min="418" max="418" width="17.33203125" bestFit="1" customWidth="1"/>
    <col min="419" max="419" width="11" bestFit="1" customWidth="1"/>
    <col min="420" max="420" width="17.33203125" bestFit="1" customWidth="1"/>
    <col min="421" max="421" width="11" bestFit="1" customWidth="1"/>
    <col min="422" max="422" width="17.33203125" bestFit="1" customWidth="1"/>
    <col min="423" max="423" width="11" bestFit="1" customWidth="1"/>
    <col min="424" max="424" width="17.33203125" bestFit="1" customWidth="1"/>
    <col min="425" max="425" width="11" bestFit="1" customWidth="1"/>
    <col min="426" max="426" width="17.33203125" bestFit="1" customWidth="1"/>
    <col min="427" max="427" width="11" bestFit="1" customWidth="1"/>
    <col min="428" max="428" width="17.33203125" bestFit="1" customWidth="1"/>
    <col min="429" max="429" width="11" bestFit="1" customWidth="1"/>
    <col min="430" max="430" width="17.33203125" bestFit="1" customWidth="1"/>
    <col min="431" max="431" width="11" bestFit="1" customWidth="1"/>
    <col min="432" max="432" width="17.33203125" bestFit="1" customWidth="1"/>
    <col min="433" max="433" width="11" bestFit="1" customWidth="1"/>
    <col min="434" max="434" width="17.33203125" bestFit="1" customWidth="1"/>
    <col min="435" max="435" width="11" bestFit="1" customWidth="1"/>
    <col min="436" max="436" width="17.33203125" bestFit="1" customWidth="1"/>
    <col min="437" max="437" width="11" bestFit="1" customWidth="1"/>
    <col min="438" max="438" width="17.33203125" bestFit="1" customWidth="1"/>
    <col min="439" max="439" width="11" bestFit="1" customWidth="1"/>
    <col min="440" max="440" width="17.33203125" bestFit="1" customWidth="1"/>
    <col min="441" max="441" width="11" bestFit="1" customWidth="1"/>
    <col min="442" max="442" width="17.33203125" bestFit="1" customWidth="1"/>
    <col min="443" max="443" width="11" bestFit="1" customWidth="1"/>
    <col min="444" max="444" width="17.33203125" bestFit="1" customWidth="1"/>
    <col min="445" max="445" width="11" bestFit="1" customWidth="1"/>
    <col min="446" max="446" width="17.33203125" bestFit="1" customWidth="1"/>
    <col min="447" max="447" width="11" bestFit="1" customWidth="1"/>
    <col min="448" max="448" width="17.33203125" bestFit="1" customWidth="1"/>
    <col min="449" max="449" width="11" bestFit="1" customWidth="1"/>
    <col min="450" max="450" width="17.33203125" bestFit="1" customWidth="1"/>
    <col min="451" max="451" width="11" bestFit="1" customWidth="1"/>
    <col min="452" max="452" width="17.33203125" bestFit="1" customWidth="1"/>
    <col min="453" max="453" width="11" bestFit="1" customWidth="1"/>
    <col min="454" max="454" width="17.33203125" bestFit="1" customWidth="1"/>
    <col min="455" max="455" width="11" bestFit="1" customWidth="1"/>
    <col min="456" max="456" width="17.33203125" bestFit="1" customWidth="1"/>
    <col min="457" max="457" width="11" bestFit="1" customWidth="1"/>
    <col min="458" max="458" width="17.33203125" bestFit="1" customWidth="1"/>
    <col min="459" max="459" width="11" bestFit="1" customWidth="1"/>
    <col min="460" max="460" width="17.33203125" bestFit="1" customWidth="1"/>
    <col min="461" max="461" width="11" bestFit="1" customWidth="1"/>
    <col min="462" max="462" width="17.33203125" bestFit="1" customWidth="1"/>
    <col min="463" max="463" width="11" bestFit="1" customWidth="1"/>
    <col min="464" max="464" width="17.33203125" bestFit="1" customWidth="1"/>
    <col min="465" max="465" width="11" bestFit="1" customWidth="1"/>
    <col min="466" max="466" width="17.33203125" bestFit="1" customWidth="1"/>
    <col min="467" max="467" width="11" bestFit="1" customWidth="1"/>
    <col min="468" max="468" width="17.33203125" bestFit="1" customWidth="1"/>
    <col min="469" max="469" width="11" bestFit="1" customWidth="1"/>
    <col min="470" max="470" width="17.33203125" bestFit="1" customWidth="1"/>
    <col min="471" max="471" width="11" bestFit="1" customWidth="1"/>
    <col min="472" max="472" width="17.33203125" bestFit="1" customWidth="1"/>
    <col min="473" max="473" width="11" bestFit="1" customWidth="1"/>
    <col min="474" max="474" width="17.33203125" bestFit="1" customWidth="1"/>
    <col min="475" max="475" width="11" bestFit="1" customWidth="1"/>
    <col min="476" max="476" width="17.33203125" bestFit="1" customWidth="1"/>
    <col min="477" max="477" width="11" bestFit="1" customWidth="1"/>
    <col min="478" max="478" width="17.33203125" bestFit="1" customWidth="1"/>
    <col min="479" max="479" width="11" bestFit="1" customWidth="1"/>
    <col min="480" max="480" width="17.33203125" bestFit="1" customWidth="1"/>
    <col min="481" max="481" width="11" bestFit="1" customWidth="1"/>
    <col min="482" max="482" width="17.33203125" bestFit="1" customWidth="1"/>
    <col min="483" max="483" width="11" bestFit="1" customWidth="1"/>
    <col min="484" max="484" width="17.33203125" bestFit="1" customWidth="1"/>
    <col min="485" max="485" width="11" bestFit="1" customWidth="1"/>
    <col min="486" max="486" width="17.33203125" bestFit="1" customWidth="1"/>
    <col min="487" max="487" width="11" bestFit="1" customWidth="1"/>
    <col min="488" max="488" width="17.33203125" bestFit="1" customWidth="1"/>
    <col min="489" max="489" width="11" bestFit="1" customWidth="1"/>
    <col min="490" max="490" width="17.33203125" bestFit="1" customWidth="1"/>
    <col min="491" max="491" width="11" bestFit="1" customWidth="1"/>
    <col min="492" max="492" width="17.33203125" bestFit="1" customWidth="1"/>
    <col min="493" max="493" width="11" bestFit="1" customWidth="1"/>
    <col min="494" max="494" width="17.33203125" bestFit="1" customWidth="1"/>
    <col min="495" max="495" width="11" bestFit="1" customWidth="1"/>
    <col min="496" max="496" width="17.33203125" bestFit="1" customWidth="1"/>
    <col min="497" max="497" width="11" bestFit="1" customWidth="1"/>
    <col min="498" max="498" width="17.33203125" bestFit="1" customWidth="1"/>
    <col min="499" max="499" width="11" bestFit="1" customWidth="1"/>
    <col min="500" max="500" width="17.33203125" bestFit="1" customWidth="1"/>
    <col min="501" max="501" width="11" bestFit="1" customWidth="1"/>
    <col min="502" max="502" width="17.33203125" bestFit="1" customWidth="1"/>
    <col min="503" max="503" width="11" bestFit="1" customWidth="1"/>
    <col min="504" max="504" width="17.33203125" bestFit="1" customWidth="1"/>
    <col min="505" max="505" width="11" bestFit="1" customWidth="1"/>
    <col min="506" max="506" width="17.33203125" bestFit="1" customWidth="1"/>
    <col min="507" max="507" width="11" bestFit="1" customWidth="1"/>
    <col min="508" max="508" width="17.33203125" bestFit="1" customWidth="1"/>
    <col min="509" max="509" width="11" bestFit="1" customWidth="1"/>
    <col min="510" max="510" width="17.33203125" bestFit="1" customWidth="1"/>
    <col min="511" max="511" width="11" bestFit="1" customWidth="1"/>
    <col min="512" max="512" width="17.33203125" bestFit="1" customWidth="1"/>
    <col min="513" max="513" width="11" bestFit="1" customWidth="1"/>
    <col min="514" max="514" width="17.33203125" bestFit="1" customWidth="1"/>
    <col min="515" max="515" width="11" bestFit="1" customWidth="1"/>
    <col min="516" max="516" width="17.33203125" bestFit="1" customWidth="1"/>
    <col min="517" max="517" width="11" bestFit="1" customWidth="1"/>
    <col min="518" max="518" width="17.33203125" bestFit="1" customWidth="1"/>
    <col min="519" max="519" width="11" bestFit="1" customWidth="1"/>
    <col min="520" max="520" width="17.33203125" bestFit="1" customWidth="1"/>
    <col min="521" max="521" width="11" bestFit="1" customWidth="1"/>
    <col min="522" max="522" width="17.33203125" bestFit="1" customWidth="1"/>
    <col min="523" max="523" width="11" bestFit="1" customWidth="1"/>
    <col min="524" max="524" width="17.33203125" bestFit="1" customWidth="1"/>
    <col min="525" max="525" width="11" bestFit="1" customWidth="1"/>
    <col min="526" max="526" width="17.33203125" bestFit="1" customWidth="1"/>
    <col min="527" max="527" width="11" bestFit="1" customWidth="1"/>
    <col min="528" max="528" width="17.33203125" bestFit="1" customWidth="1"/>
    <col min="529" max="529" width="11" bestFit="1" customWidth="1"/>
    <col min="530" max="530" width="17.33203125" bestFit="1" customWidth="1"/>
    <col min="531" max="531" width="11" bestFit="1" customWidth="1"/>
    <col min="532" max="532" width="17.33203125" bestFit="1" customWidth="1"/>
    <col min="533" max="533" width="11" bestFit="1" customWidth="1"/>
    <col min="534" max="534" width="17.33203125" bestFit="1" customWidth="1"/>
    <col min="535" max="535" width="11" bestFit="1" customWidth="1"/>
    <col min="536" max="536" width="17.33203125" bestFit="1" customWidth="1"/>
    <col min="537" max="537" width="11" bestFit="1" customWidth="1"/>
    <col min="538" max="538" width="17.33203125" bestFit="1" customWidth="1"/>
    <col min="539" max="539" width="11" bestFit="1" customWidth="1"/>
    <col min="540" max="540" width="17.33203125" bestFit="1" customWidth="1"/>
    <col min="541" max="541" width="11" bestFit="1" customWidth="1"/>
    <col min="542" max="542" width="17.33203125" bestFit="1" customWidth="1"/>
    <col min="543" max="543" width="11" bestFit="1" customWidth="1"/>
    <col min="544" max="544" width="17.33203125" bestFit="1" customWidth="1"/>
    <col min="545" max="545" width="11" bestFit="1" customWidth="1"/>
    <col min="546" max="546" width="17.33203125" bestFit="1" customWidth="1"/>
    <col min="547" max="547" width="11" bestFit="1" customWidth="1"/>
    <col min="548" max="548" width="17.33203125" bestFit="1" customWidth="1"/>
    <col min="549" max="549" width="11" bestFit="1" customWidth="1"/>
    <col min="550" max="550" width="17.33203125" bestFit="1" customWidth="1"/>
    <col min="551" max="551" width="11" bestFit="1" customWidth="1"/>
    <col min="552" max="552" width="17.33203125" bestFit="1" customWidth="1"/>
    <col min="553" max="553" width="11" bestFit="1" customWidth="1"/>
    <col min="554" max="554" width="17.33203125" bestFit="1" customWidth="1"/>
    <col min="555" max="555" width="11" bestFit="1" customWidth="1"/>
    <col min="556" max="556" width="17.33203125" bestFit="1" customWidth="1"/>
    <col min="557" max="557" width="11" bestFit="1" customWidth="1"/>
    <col min="558" max="558" width="17.33203125" bestFit="1" customWidth="1"/>
    <col min="559" max="559" width="11" bestFit="1" customWidth="1"/>
    <col min="560" max="560" width="17.33203125" bestFit="1" customWidth="1"/>
    <col min="561" max="561" width="11" bestFit="1" customWidth="1"/>
    <col min="562" max="562" width="17.33203125" bestFit="1" customWidth="1"/>
    <col min="563" max="563" width="11" bestFit="1" customWidth="1"/>
    <col min="564" max="564" width="17.33203125" bestFit="1" customWidth="1"/>
    <col min="565" max="565" width="11" bestFit="1" customWidth="1"/>
    <col min="566" max="566" width="17.33203125" bestFit="1" customWidth="1"/>
    <col min="567" max="567" width="11" bestFit="1" customWidth="1"/>
    <col min="568" max="568" width="17.33203125" bestFit="1" customWidth="1"/>
    <col min="569" max="569" width="11" bestFit="1" customWidth="1"/>
    <col min="570" max="570" width="17.33203125" bestFit="1" customWidth="1"/>
    <col min="571" max="571" width="11" bestFit="1" customWidth="1"/>
    <col min="572" max="572" width="17.33203125" bestFit="1" customWidth="1"/>
    <col min="573" max="573" width="11" bestFit="1" customWidth="1"/>
    <col min="574" max="574" width="17.33203125" bestFit="1" customWidth="1"/>
    <col min="575" max="575" width="11" bestFit="1" customWidth="1"/>
    <col min="576" max="576" width="17.33203125" bestFit="1" customWidth="1"/>
    <col min="577" max="577" width="11" bestFit="1" customWidth="1"/>
    <col min="578" max="578" width="17.33203125" bestFit="1" customWidth="1"/>
    <col min="579" max="579" width="11" bestFit="1" customWidth="1"/>
    <col min="580" max="580" width="17.33203125" bestFit="1" customWidth="1"/>
    <col min="581" max="581" width="11" bestFit="1" customWidth="1"/>
    <col min="582" max="582" width="17.33203125" bestFit="1" customWidth="1"/>
    <col min="583" max="583" width="11" bestFit="1" customWidth="1"/>
    <col min="584" max="584" width="17.33203125" bestFit="1" customWidth="1"/>
    <col min="585" max="585" width="11" bestFit="1" customWidth="1"/>
    <col min="586" max="586" width="17.33203125" bestFit="1" customWidth="1"/>
    <col min="587" max="587" width="11" bestFit="1" customWidth="1"/>
    <col min="588" max="588" width="17.33203125" bestFit="1" customWidth="1"/>
    <col min="589" max="589" width="11" bestFit="1" customWidth="1"/>
    <col min="590" max="590" width="17.33203125" bestFit="1" customWidth="1"/>
    <col min="591" max="591" width="11" bestFit="1" customWidth="1"/>
    <col min="592" max="592" width="17.33203125" bestFit="1" customWidth="1"/>
    <col min="593" max="593" width="11" bestFit="1" customWidth="1"/>
    <col min="594" max="594" width="17.33203125" bestFit="1" customWidth="1"/>
    <col min="595" max="595" width="11" bestFit="1" customWidth="1"/>
    <col min="596" max="596" width="17.33203125" bestFit="1" customWidth="1"/>
    <col min="597" max="597" width="11" bestFit="1" customWidth="1"/>
    <col min="598" max="598" width="17.33203125" bestFit="1" customWidth="1"/>
    <col min="599" max="599" width="11" bestFit="1" customWidth="1"/>
    <col min="600" max="600" width="17.33203125" bestFit="1" customWidth="1"/>
    <col min="601" max="601" width="11" bestFit="1" customWidth="1"/>
    <col min="602" max="602" width="17.33203125" bestFit="1" customWidth="1"/>
    <col min="603" max="603" width="11" bestFit="1" customWidth="1"/>
    <col min="604" max="604" width="17.33203125" bestFit="1" customWidth="1"/>
    <col min="605" max="605" width="11" bestFit="1" customWidth="1"/>
    <col min="606" max="606" width="17.33203125" bestFit="1" customWidth="1"/>
    <col min="607" max="607" width="11" bestFit="1" customWidth="1"/>
    <col min="608" max="608" width="17.33203125" bestFit="1" customWidth="1"/>
    <col min="609" max="609" width="11" bestFit="1" customWidth="1"/>
    <col min="610" max="610" width="17.33203125" bestFit="1" customWidth="1"/>
    <col min="611" max="611" width="11" bestFit="1" customWidth="1"/>
    <col min="612" max="612" width="17.33203125" bestFit="1" customWidth="1"/>
    <col min="613" max="613" width="11" bestFit="1" customWidth="1"/>
    <col min="614" max="614" width="17.33203125" bestFit="1" customWidth="1"/>
    <col min="615" max="615" width="11" bestFit="1" customWidth="1"/>
    <col min="616" max="616" width="17.33203125" bestFit="1" customWidth="1"/>
    <col min="617" max="617" width="11" bestFit="1" customWidth="1"/>
    <col min="618" max="618" width="17.33203125" bestFit="1" customWidth="1"/>
    <col min="619" max="619" width="11" bestFit="1" customWidth="1"/>
    <col min="620" max="620" width="17.33203125" bestFit="1" customWidth="1"/>
    <col min="621" max="621" width="11" bestFit="1" customWidth="1"/>
    <col min="622" max="622" width="17.33203125" bestFit="1" customWidth="1"/>
    <col min="623" max="623" width="11" bestFit="1" customWidth="1"/>
    <col min="624" max="624" width="17.33203125" bestFit="1" customWidth="1"/>
    <col min="625" max="625" width="11" bestFit="1" customWidth="1"/>
    <col min="626" max="626" width="17.33203125" bestFit="1" customWidth="1"/>
    <col min="627" max="627" width="11" bestFit="1" customWidth="1"/>
    <col min="628" max="628" width="17.33203125" bestFit="1" customWidth="1"/>
    <col min="629" max="629" width="11" bestFit="1" customWidth="1"/>
    <col min="630" max="630" width="17.33203125" bestFit="1" customWidth="1"/>
    <col min="631" max="631" width="11" bestFit="1" customWidth="1"/>
    <col min="632" max="632" width="17.33203125" bestFit="1" customWidth="1"/>
    <col min="633" max="633" width="11" bestFit="1" customWidth="1"/>
    <col min="634" max="634" width="17.33203125" bestFit="1" customWidth="1"/>
    <col min="635" max="635" width="11" bestFit="1" customWidth="1"/>
    <col min="636" max="636" width="17.33203125" bestFit="1" customWidth="1"/>
    <col min="637" max="637" width="11" bestFit="1" customWidth="1"/>
    <col min="638" max="638" width="17.33203125" bestFit="1" customWidth="1"/>
    <col min="639" max="639" width="11" bestFit="1" customWidth="1"/>
    <col min="640" max="640" width="17.33203125" bestFit="1" customWidth="1"/>
    <col min="641" max="641" width="11" bestFit="1" customWidth="1"/>
    <col min="642" max="642" width="17.33203125" bestFit="1" customWidth="1"/>
    <col min="643" max="643" width="11" bestFit="1" customWidth="1"/>
    <col min="644" max="644" width="17.33203125" bestFit="1" customWidth="1"/>
    <col min="645" max="645" width="11" bestFit="1" customWidth="1"/>
    <col min="646" max="646" width="17.33203125" bestFit="1" customWidth="1"/>
    <col min="647" max="647" width="11" bestFit="1" customWidth="1"/>
    <col min="648" max="648" width="17.33203125" bestFit="1" customWidth="1"/>
    <col min="649" max="649" width="11" bestFit="1" customWidth="1"/>
    <col min="650" max="650" width="17.33203125" bestFit="1" customWidth="1"/>
    <col min="651" max="651" width="11" bestFit="1" customWidth="1"/>
    <col min="652" max="652" width="17.33203125" bestFit="1" customWidth="1"/>
    <col min="653" max="653" width="11" bestFit="1" customWidth="1"/>
    <col min="654" max="654" width="17.33203125" bestFit="1" customWidth="1"/>
    <col min="655" max="655" width="11" bestFit="1" customWidth="1"/>
    <col min="656" max="656" width="17.33203125" bestFit="1" customWidth="1"/>
    <col min="657" max="657" width="11" bestFit="1" customWidth="1"/>
    <col min="658" max="658" width="17.33203125" bestFit="1" customWidth="1"/>
    <col min="659" max="659" width="11" bestFit="1" customWidth="1"/>
    <col min="660" max="660" width="17.33203125" bestFit="1" customWidth="1"/>
    <col min="661" max="661" width="11" bestFit="1" customWidth="1"/>
    <col min="662" max="662" width="17.33203125" bestFit="1" customWidth="1"/>
    <col min="663" max="663" width="11" bestFit="1" customWidth="1"/>
    <col min="664" max="664" width="17.33203125" bestFit="1" customWidth="1"/>
    <col min="665" max="665" width="11" bestFit="1" customWidth="1"/>
    <col min="666" max="666" width="17.33203125" bestFit="1" customWidth="1"/>
    <col min="667" max="667" width="11" bestFit="1" customWidth="1"/>
    <col min="668" max="668" width="17.33203125" bestFit="1" customWidth="1"/>
    <col min="669" max="669" width="11" bestFit="1" customWidth="1"/>
    <col min="670" max="670" width="17.33203125" bestFit="1" customWidth="1"/>
    <col min="671" max="671" width="11" bestFit="1" customWidth="1"/>
    <col min="672" max="672" width="17.33203125" bestFit="1" customWidth="1"/>
    <col min="673" max="673" width="11" bestFit="1" customWidth="1"/>
    <col min="674" max="674" width="17.33203125" bestFit="1" customWidth="1"/>
    <col min="675" max="675" width="11" bestFit="1" customWidth="1"/>
    <col min="676" max="676" width="17.33203125" bestFit="1" customWidth="1"/>
    <col min="677" max="677" width="11" bestFit="1" customWidth="1"/>
    <col min="678" max="678" width="17.33203125" bestFit="1" customWidth="1"/>
    <col min="679" max="679" width="11" bestFit="1" customWidth="1"/>
    <col min="680" max="680" width="17.33203125" bestFit="1" customWidth="1"/>
    <col min="681" max="681" width="11" bestFit="1" customWidth="1"/>
    <col min="682" max="682" width="17.33203125" bestFit="1" customWidth="1"/>
    <col min="683" max="683" width="11" bestFit="1" customWidth="1"/>
    <col min="684" max="684" width="17.33203125" bestFit="1" customWidth="1"/>
    <col min="685" max="685" width="11" bestFit="1" customWidth="1"/>
    <col min="686" max="686" width="17.33203125" bestFit="1" customWidth="1"/>
    <col min="687" max="687" width="11" bestFit="1" customWidth="1"/>
    <col min="688" max="688" width="17.33203125" bestFit="1" customWidth="1"/>
    <col min="689" max="689" width="11" bestFit="1" customWidth="1"/>
    <col min="690" max="690" width="17.33203125" bestFit="1" customWidth="1"/>
    <col min="691" max="691" width="11" bestFit="1" customWidth="1"/>
    <col min="692" max="692" width="17.33203125" bestFit="1" customWidth="1"/>
    <col min="693" max="693" width="11" bestFit="1" customWidth="1"/>
    <col min="694" max="694" width="17.33203125" bestFit="1" customWidth="1"/>
    <col min="695" max="695" width="11" bestFit="1" customWidth="1"/>
    <col min="696" max="696" width="17.33203125" bestFit="1" customWidth="1"/>
    <col min="697" max="697" width="11" bestFit="1" customWidth="1"/>
    <col min="698" max="698" width="17.33203125" bestFit="1" customWidth="1"/>
    <col min="699" max="699" width="11" bestFit="1" customWidth="1"/>
    <col min="700" max="700" width="17.33203125" bestFit="1" customWidth="1"/>
    <col min="701" max="701" width="11" bestFit="1" customWidth="1"/>
    <col min="702" max="702" width="17.33203125" bestFit="1" customWidth="1"/>
    <col min="703" max="703" width="11" bestFit="1" customWidth="1"/>
    <col min="704" max="704" width="17.33203125" bestFit="1" customWidth="1"/>
    <col min="705" max="705" width="11" bestFit="1" customWidth="1"/>
    <col min="706" max="706" width="17.33203125" bestFit="1" customWidth="1"/>
    <col min="707" max="707" width="11" bestFit="1" customWidth="1"/>
    <col min="708" max="708" width="17.33203125" bestFit="1" customWidth="1"/>
    <col min="709" max="709" width="11" bestFit="1" customWidth="1"/>
    <col min="710" max="710" width="17.33203125" bestFit="1" customWidth="1"/>
    <col min="711" max="711" width="11" bestFit="1" customWidth="1"/>
    <col min="712" max="712" width="17.33203125" bestFit="1" customWidth="1"/>
    <col min="713" max="713" width="11" bestFit="1" customWidth="1"/>
    <col min="714" max="714" width="17.33203125" bestFit="1" customWidth="1"/>
    <col min="715" max="715" width="11" bestFit="1" customWidth="1"/>
    <col min="716" max="716" width="17.33203125" bestFit="1" customWidth="1"/>
    <col min="717" max="717" width="11" bestFit="1" customWidth="1"/>
    <col min="718" max="718" width="17.33203125" bestFit="1" customWidth="1"/>
    <col min="719" max="719" width="11" bestFit="1" customWidth="1"/>
    <col min="720" max="720" width="17.33203125" bestFit="1" customWidth="1"/>
    <col min="721" max="721" width="11" bestFit="1" customWidth="1"/>
    <col min="722" max="722" width="17.33203125" bestFit="1" customWidth="1"/>
    <col min="723" max="723" width="11" bestFit="1" customWidth="1"/>
    <col min="724" max="724" width="17.33203125" bestFit="1" customWidth="1"/>
    <col min="725" max="725" width="11" bestFit="1" customWidth="1"/>
    <col min="726" max="726" width="17.33203125" bestFit="1" customWidth="1"/>
    <col min="727" max="727" width="11" bestFit="1" customWidth="1"/>
    <col min="728" max="728" width="17.33203125" bestFit="1" customWidth="1"/>
    <col min="729" max="729" width="11" bestFit="1" customWidth="1"/>
    <col min="730" max="730" width="17.33203125" bestFit="1" customWidth="1"/>
    <col min="731" max="731" width="11" bestFit="1" customWidth="1"/>
    <col min="732" max="732" width="17.33203125" bestFit="1" customWidth="1"/>
    <col min="733" max="733" width="11" bestFit="1" customWidth="1"/>
    <col min="734" max="734" width="17.33203125" bestFit="1" customWidth="1"/>
    <col min="735" max="735" width="11" bestFit="1" customWidth="1"/>
    <col min="736" max="736" width="17.33203125" bestFit="1" customWidth="1"/>
    <col min="737" max="737" width="11" bestFit="1" customWidth="1"/>
    <col min="738" max="738" width="17.33203125" bestFit="1" customWidth="1"/>
    <col min="739" max="739" width="11" bestFit="1" customWidth="1"/>
    <col min="740" max="740" width="17.33203125" bestFit="1" customWidth="1"/>
    <col min="741" max="741" width="11" bestFit="1" customWidth="1"/>
    <col min="742" max="742" width="17.33203125" bestFit="1" customWidth="1"/>
    <col min="743" max="743" width="11" bestFit="1" customWidth="1"/>
    <col min="744" max="744" width="17.33203125" bestFit="1" customWidth="1"/>
    <col min="745" max="745" width="11" bestFit="1" customWidth="1"/>
    <col min="746" max="746" width="17.33203125" bestFit="1" customWidth="1"/>
    <col min="747" max="747" width="11" bestFit="1" customWidth="1"/>
    <col min="748" max="748" width="17.33203125" bestFit="1" customWidth="1"/>
    <col min="749" max="749" width="11" bestFit="1" customWidth="1"/>
    <col min="750" max="750" width="17.33203125" bestFit="1" customWidth="1"/>
    <col min="751" max="751" width="11" bestFit="1" customWidth="1"/>
    <col min="752" max="752" width="17.33203125" bestFit="1" customWidth="1"/>
    <col min="753" max="753" width="11" bestFit="1" customWidth="1"/>
    <col min="754" max="754" width="17.33203125" bestFit="1" customWidth="1"/>
    <col min="755" max="755" width="11" bestFit="1" customWidth="1"/>
    <col min="756" max="756" width="17.33203125" bestFit="1" customWidth="1"/>
    <col min="757" max="757" width="11" bestFit="1" customWidth="1"/>
    <col min="758" max="758" width="17.33203125" bestFit="1" customWidth="1"/>
    <col min="759" max="759" width="11" bestFit="1" customWidth="1"/>
    <col min="760" max="760" width="17.33203125" bestFit="1" customWidth="1"/>
    <col min="761" max="761" width="11" bestFit="1" customWidth="1"/>
    <col min="762" max="762" width="17.33203125" bestFit="1" customWidth="1"/>
    <col min="763" max="763" width="11" bestFit="1" customWidth="1"/>
    <col min="764" max="764" width="17.33203125" bestFit="1" customWidth="1"/>
    <col min="765" max="765" width="11" bestFit="1" customWidth="1"/>
    <col min="766" max="766" width="17.33203125" bestFit="1" customWidth="1"/>
    <col min="767" max="767" width="11" bestFit="1" customWidth="1"/>
    <col min="768" max="768" width="17.33203125" bestFit="1" customWidth="1"/>
    <col min="769" max="769" width="11" bestFit="1" customWidth="1"/>
    <col min="770" max="770" width="17.33203125" bestFit="1" customWidth="1"/>
    <col min="771" max="771" width="11" bestFit="1" customWidth="1"/>
    <col min="772" max="772" width="17.33203125" bestFit="1" customWidth="1"/>
    <col min="773" max="773" width="11" bestFit="1" customWidth="1"/>
    <col min="774" max="774" width="17.33203125" bestFit="1" customWidth="1"/>
    <col min="775" max="775" width="11" bestFit="1" customWidth="1"/>
    <col min="776" max="776" width="17.33203125" bestFit="1" customWidth="1"/>
    <col min="777" max="777" width="11" bestFit="1" customWidth="1"/>
    <col min="778" max="778" width="17.33203125" bestFit="1" customWidth="1"/>
    <col min="779" max="779" width="11" bestFit="1" customWidth="1"/>
    <col min="780" max="780" width="17.33203125" bestFit="1" customWidth="1"/>
    <col min="781" max="781" width="11" bestFit="1" customWidth="1"/>
    <col min="782" max="782" width="17.33203125" bestFit="1" customWidth="1"/>
    <col min="783" max="783" width="11" bestFit="1" customWidth="1"/>
    <col min="784" max="784" width="17.33203125" bestFit="1" customWidth="1"/>
    <col min="785" max="785" width="11" bestFit="1" customWidth="1"/>
    <col min="786" max="786" width="17.33203125" bestFit="1" customWidth="1"/>
    <col min="787" max="787" width="11" bestFit="1" customWidth="1"/>
    <col min="788" max="788" width="17.33203125" bestFit="1" customWidth="1"/>
    <col min="789" max="789" width="11" bestFit="1" customWidth="1"/>
    <col min="790" max="790" width="17.33203125" bestFit="1" customWidth="1"/>
    <col min="791" max="791" width="11" bestFit="1" customWidth="1"/>
    <col min="792" max="792" width="17.33203125" bestFit="1" customWidth="1"/>
    <col min="793" max="793" width="11" bestFit="1" customWidth="1"/>
    <col min="794" max="794" width="17.33203125" bestFit="1" customWidth="1"/>
    <col min="795" max="795" width="11" bestFit="1" customWidth="1"/>
    <col min="796" max="796" width="17.33203125" bestFit="1" customWidth="1"/>
    <col min="797" max="797" width="11" bestFit="1" customWidth="1"/>
    <col min="798" max="798" width="17.33203125" bestFit="1" customWidth="1"/>
    <col min="799" max="799" width="11" bestFit="1" customWidth="1"/>
    <col min="800" max="800" width="17.33203125" bestFit="1" customWidth="1"/>
    <col min="801" max="801" width="11" bestFit="1" customWidth="1"/>
    <col min="802" max="802" width="17.33203125" bestFit="1" customWidth="1"/>
    <col min="803" max="803" width="11" bestFit="1" customWidth="1"/>
    <col min="804" max="804" width="17.33203125" bestFit="1" customWidth="1"/>
    <col min="805" max="805" width="11" bestFit="1" customWidth="1"/>
    <col min="806" max="806" width="17.33203125" bestFit="1" customWidth="1"/>
    <col min="807" max="807" width="11" bestFit="1" customWidth="1"/>
    <col min="808" max="808" width="17.33203125" bestFit="1" customWidth="1"/>
    <col min="809" max="809" width="11" bestFit="1" customWidth="1"/>
    <col min="810" max="810" width="17.33203125" bestFit="1" customWidth="1"/>
    <col min="811" max="811" width="11" bestFit="1" customWidth="1"/>
    <col min="812" max="812" width="17.33203125" bestFit="1" customWidth="1"/>
    <col min="813" max="813" width="11" bestFit="1" customWidth="1"/>
    <col min="814" max="814" width="17.33203125" bestFit="1" customWidth="1"/>
    <col min="815" max="815" width="11" bestFit="1" customWidth="1"/>
    <col min="816" max="816" width="17.33203125" bestFit="1" customWidth="1"/>
    <col min="817" max="817" width="11" bestFit="1" customWidth="1"/>
    <col min="818" max="818" width="17.33203125" bestFit="1" customWidth="1"/>
    <col min="819" max="819" width="11" bestFit="1" customWidth="1"/>
    <col min="820" max="820" width="17.33203125" bestFit="1" customWidth="1"/>
    <col min="821" max="821" width="11" bestFit="1" customWidth="1"/>
    <col min="822" max="822" width="17.33203125" bestFit="1" customWidth="1"/>
    <col min="823" max="823" width="11" bestFit="1" customWidth="1"/>
    <col min="824" max="824" width="17.33203125" bestFit="1" customWidth="1"/>
    <col min="825" max="825" width="11" bestFit="1" customWidth="1"/>
    <col min="826" max="826" width="17.33203125" bestFit="1" customWidth="1"/>
    <col min="827" max="827" width="11" bestFit="1" customWidth="1"/>
    <col min="828" max="828" width="17.33203125" bestFit="1" customWidth="1"/>
    <col min="829" max="829" width="11" bestFit="1" customWidth="1"/>
    <col min="830" max="830" width="17.33203125" bestFit="1" customWidth="1"/>
    <col min="831" max="831" width="11" bestFit="1" customWidth="1"/>
    <col min="832" max="832" width="17.33203125" bestFit="1" customWidth="1"/>
    <col min="833" max="833" width="11" bestFit="1" customWidth="1"/>
    <col min="834" max="834" width="17.33203125" bestFit="1" customWidth="1"/>
    <col min="835" max="835" width="11" bestFit="1" customWidth="1"/>
    <col min="836" max="836" width="17.33203125" bestFit="1" customWidth="1"/>
    <col min="837" max="837" width="11" bestFit="1" customWidth="1"/>
    <col min="838" max="838" width="17.33203125" bestFit="1" customWidth="1"/>
    <col min="839" max="839" width="11" bestFit="1" customWidth="1"/>
    <col min="840" max="840" width="17.33203125" bestFit="1" customWidth="1"/>
    <col min="841" max="841" width="11" bestFit="1" customWidth="1"/>
    <col min="842" max="842" width="17.33203125" bestFit="1" customWidth="1"/>
    <col min="843" max="843" width="11" bestFit="1" customWidth="1"/>
    <col min="844" max="844" width="17.33203125" bestFit="1" customWidth="1"/>
    <col min="845" max="845" width="11" bestFit="1" customWidth="1"/>
    <col min="846" max="846" width="17.33203125" bestFit="1" customWidth="1"/>
    <col min="847" max="847" width="11" bestFit="1" customWidth="1"/>
    <col min="848" max="848" width="17.33203125" bestFit="1" customWidth="1"/>
    <col min="849" max="849" width="11" bestFit="1" customWidth="1"/>
    <col min="850" max="850" width="17.33203125" bestFit="1" customWidth="1"/>
    <col min="851" max="851" width="11" bestFit="1" customWidth="1"/>
    <col min="852" max="852" width="17.33203125" bestFit="1" customWidth="1"/>
    <col min="853" max="853" width="11" bestFit="1" customWidth="1"/>
    <col min="854" max="854" width="17.33203125" bestFit="1" customWidth="1"/>
    <col min="855" max="855" width="11" bestFit="1" customWidth="1"/>
    <col min="856" max="856" width="17.33203125" bestFit="1" customWidth="1"/>
    <col min="857" max="857" width="11" bestFit="1" customWidth="1"/>
    <col min="858" max="858" width="17.33203125" bestFit="1" customWidth="1"/>
    <col min="859" max="859" width="11" bestFit="1" customWidth="1"/>
    <col min="860" max="860" width="17.33203125" bestFit="1" customWidth="1"/>
    <col min="861" max="861" width="11" bestFit="1" customWidth="1"/>
    <col min="862" max="862" width="17.33203125" bestFit="1" customWidth="1"/>
    <col min="863" max="863" width="11" bestFit="1" customWidth="1"/>
    <col min="864" max="864" width="17.33203125" bestFit="1" customWidth="1"/>
    <col min="865" max="865" width="11" bestFit="1" customWidth="1"/>
    <col min="866" max="866" width="17.33203125" bestFit="1" customWidth="1"/>
    <col min="867" max="867" width="11" bestFit="1" customWidth="1"/>
    <col min="868" max="868" width="17.33203125" bestFit="1" customWidth="1"/>
    <col min="869" max="869" width="11" bestFit="1" customWidth="1"/>
    <col min="870" max="870" width="17.33203125" bestFit="1" customWidth="1"/>
    <col min="871" max="871" width="11" bestFit="1" customWidth="1"/>
    <col min="872" max="872" width="17.33203125" bestFit="1" customWidth="1"/>
    <col min="873" max="873" width="11" bestFit="1" customWidth="1"/>
    <col min="874" max="874" width="17.33203125" bestFit="1" customWidth="1"/>
    <col min="875" max="875" width="11" bestFit="1" customWidth="1"/>
    <col min="876" max="876" width="17.33203125" bestFit="1" customWidth="1"/>
    <col min="877" max="877" width="11" bestFit="1" customWidth="1"/>
    <col min="878" max="878" width="17.33203125" bestFit="1" customWidth="1"/>
    <col min="879" max="879" width="11" bestFit="1" customWidth="1"/>
    <col min="880" max="880" width="17.33203125" bestFit="1" customWidth="1"/>
    <col min="881" max="881" width="11" bestFit="1" customWidth="1"/>
    <col min="882" max="882" width="17.33203125" bestFit="1" customWidth="1"/>
    <col min="883" max="883" width="11" bestFit="1" customWidth="1"/>
    <col min="884" max="884" width="17.33203125" bestFit="1" customWidth="1"/>
    <col min="885" max="885" width="11" bestFit="1" customWidth="1"/>
    <col min="886" max="886" width="17.33203125" bestFit="1" customWidth="1"/>
    <col min="887" max="887" width="11" bestFit="1" customWidth="1"/>
    <col min="888" max="888" width="17.33203125" bestFit="1" customWidth="1"/>
    <col min="889" max="889" width="11" bestFit="1" customWidth="1"/>
    <col min="890" max="890" width="17.33203125" bestFit="1" customWidth="1"/>
    <col min="891" max="891" width="11" bestFit="1" customWidth="1"/>
    <col min="892" max="892" width="17.33203125" bestFit="1" customWidth="1"/>
    <col min="893" max="893" width="11" bestFit="1" customWidth="1"/>
    <col min="894" max="894" width="17.33203125" bestFit="1" customWidth="1"/>
    <col min="895" max="895" width="11" bestFit="1" customWidth="1"/>
    <col min="896" max="896" width="17.33203125" bestFit="1" customWidth="1"/>
    <col min="897" max="897" width="11" bestFit="1" customWidth="1"/>
    <col min="898" max="898" width="17.33203125" bestFit="1" customWidth="1"/>
    <col min="899" max="899" width="11" bestFit="1" customWidth="1"/>
    <col min="900" max="900" width="17.33203125" bestFit="1" customWidth="1"/>
    <col min="901" max="901" width="11" bestFit="1" customWidth="1"/>
    <col min="902" max="902" width="17.33203125" bestFit="1" customWidth="1"/>
    <col min="903" max="903" width="11" bestFit="1" customWidth="1"/>
    <col min="904" max="904" width="17.33203125" bestFit="1" customWidth="1"/>
    <col min="905" max="905" width="11" bestFit="1" customWidth="1"/>
    <col min="906" max="906" width="17.33203125" bestFit="1" customWidth="1"/>
    <col min="907" max="907" width="11" bestFit="1" customWidth="1"/>
    <col min="908" max="908" width="17.33203125" bestFit="1" customWidth="1"/>
    <col min="909" max="909" width="11" bestFit="1" customWidth="1"/>
    <col min="910" max="910" width="17.33203125" bestFit="1" customWidth="1"/>
    <col min="911" max="911" width="11" bestFit="1" customWidth="1"/>
    <col min="912" max="912" width="17.33203125" bestFit="1" customWidth="1"/>
    <col min="913" max="913" width="11" bestFit="1" customWidth="1"/>
    <col min="914" max="914" width="17.33203125" bestFit="1" customWidth="1"/>
    <col min="915" max="915" width="11" bestFit="1" customWidth="1"/>
    <col min="916" max="916" width="17.33203125" bestFit="1" customWidth="1"/>
    <col min="917" max="917" width="11" bestFit="1" customWidth="1"/>
    <col min="918" max="918" width="17.33203125" bestFit="1" customWidth="1"/>
    <col min="919" max="919" width="11" bestFit="1" customWidth="1"/>
    <col min="920" max="920" width="17.33203125" bestFit="1" customWidth="1"/>
    <col min="921" max="921" width="11" bestFit="1" customWidth="1"/>
    <col min="922" max="922" width="17.33203125" bestFit="1" customWidth="1"/>
    <col min="923" max="923" width="11" bestFit="1" customWidth="1"/>
    <col min="924" max="924" width="17.33203125" bestFit="1" customWidth="1"/>
    <col min="925" max="925" width="11" bestFit="1" customWidth="1"/>
    <col min="926" max="926" width="17.33203125" bestFit="1" customWidth="1"/>
    <col min="927" max="927" width="11" bestFit="1" customWidth="1"/>
    <col min="928" max="928" width="17.33203125" bestFit="1" customWidth="1"/>
    <col min="929" max="929" width="11" bestFit="1" customWidth="1"/>
    <col min="930" max="930" width="17.33203125" bestFit="1" customWidth="1"/>
    <col min="931" max="931" width="11" bestFit="1" customWidth="1"/>
    <col min="932" max="932" width="17.33203125" bestFit="1" customWidth="1"/>
    <col min="933" max="933" width="11" bestFit="1" customWidth="1"/>
    <col min="934" max="934" width="17.33203125" bestFit="1" customWidth="1"/>
    <col min="935" max="935" width="11" bestFit="1" customWidth="1"/>
    <col min="936" max="936" width="17.33203125" bestFit="1" customWidth="1"/>
    <col min="937" max="937" width="11" bestFit="1" customWidth="1"/>
    <col min="938" max="938" width="17.33203125" bestFit="1" customWidth="1"/>
    <col min="939" max="939" width="11" bestFit="1" customWidth="1"/>
    <col min="940" max="940" width="17.33203125" bestFit="1" customWidth="1"/>
    <col min="941" max="941" width="11" bestFit="1" customWidth="1"/>
    <col min="942" max="942" width="17.33203125" bestFit="1" customWidth="1"/>
    <col min="943" max="943" width="11" bestFit="1" customWidth="1"/>
    <col min="944" max="944" width="17.33203125" bestFit="1" customWidth="1"/>
    <col min="945" max="945" width="11" bestFit="1" customWidth="1"/>
    <col min="946" max="946" width="17.33203125" bestFit="1" customWidth="1"/>
    <col min="947" max="947" width="11" bestFit="1" customWidth="1"/>
    <col min="948" max="948" width="17.33203125" bestFit="1" customWidth="1"/>
    <col min="949" max="949" width="11" bestFit="1" customWidth="1"/>
    <col min="950" max="950" width="17.33203125" bestFit="1" customWidth="1"/>
    <col min="951" max="951" width="11" bestFit="1" customWidth="1"/>
    <col min="952" max="952" width="17.33203125" bestFit="1" customWidth="1"/>
    <col min="953" max="953" width="11" bestFit="1" customWidth="1"/>
    <col min="954" max="954" width="17.33203125" bestFit="1" customWidth="1"/>
    <col min="955" max="955" width="11" bestFit="1" customWidth="1"/>
    <col min="956" max="956" width="17.33203125" bestFit="1" customWidth="1"/>
    <col min="957" max="957" width="11" bestFit="1" customWidth="1"/>
    <col min="958" max="958" width="17.33203125" bestFit="1" customWidth="1"/>
    <col min="959" max="959" width="11" bestFit="1" customWidth="1"/>
    <col min="960" max="960" width="17.33203125" bestFit="1" customWidth="1"/>
    <col min="961" max="961" width="11" bestFit="1" customWidth="1"/>
    <col min="962" max="962" width="17.33203125" bestFit="1" customWidth="1"/>
    <col min="963" max="963" width="11" bestFit="1" customWidth="1"/>
    <col min="964" max="964" width="17.33203125" bestFit="1" customWidth="1"/>
    <col min="965" max="965" width="11" bestFit="1" customWidth="1"/>
    <col min="966" max="966" width="17.33203125" bestFit="1" customWidth="1"/>
    <col min="967" max="967" width="11" bestFit="1" customWidth="1"/>
    <col min="968" max="968" width="17.33203125" bestFit="1" customWidth="1"/>
    <col min="969" max="969" width="11" bestFit="1" customWidth="1"/>
    <col min="970" max="970" width="17.33203125" bestFit="1" customWidth="1"/>
    <col min="971" max="971" width="11" bestFit="1" customWidth="1"/>
    <col min="972" max="972" width="17.33203125" bestFit="1" customWidth="1"/>
    <col min="973" max="973" width="11" bestFit="1" customWidth="1"/>
    <col min="974" max="974" width="17.33203125" bestFit="1" customWidth="1"/>
    <col min="975" max="975" width="11" bestFit="1" customWidth="1"/>
    <col min="976" max="976" width="17.33203125" bestFit="1" customWidth="1"/>
    <col min="977" max="977" width="11" bestFit="1" customWidth="1"/>
    <col min="978" max="978" width="17.33203125" bestFit="1" customWidth="1"/>
    <col min="979" max="979" width="11" bestFit="1" customWidth="1"/>
    <col min="980" max="980" width="17.33203125" bestFit="1" customWidth="1"/>
    <col min="981" max="981" width="11" bestFit="1" customWidth="1"/>
    <col min="982" max="982" width="17.33203125" bestFit="1" customWidth="1"/>
    <col min="983" max="983" width="11" bestFit="1" customWidth="1"/>
    <col min="984" max="984" width="17.33203125" bestFit="1" customWidth="1"/>
    <col min="985" max="985" width="11" bestFit="1" customWidth="1"/>
    <col min="986" max="986" width="17.33203125" bestFit="1" customWidth="1"/>
    <col min="987" max="987" width="11" bestFit="1" customWidth="1"/>
    <col min="988" max="988" width="17.33203125" bestFit="1" customWidth="1"/>
    <col min="989" max="989" width="11" bestFit="1" customWidth="1"/>
    <col min="990" max="990" width="17.33203125" bestFit="1" customWidth="1"/>
    <col min="991" max="991" width="11" bestFit="1" customWidth="1"/>
    <col min="992" max="992" width="17.33203125" bestFit="1" customWidth="1"/>
    <col min="993" max="993" width="11" bestFit="1" customWidth="1"/>
    <col min="994" max="994" width="17.33203125" bestFit="1" customWidth="1"/>
    <col min="995" max="995" width="11" bestFit="1" customWidth="1"/>
    <col min="996" max="996" width="17.33203125" bestFit="1" customWidth="1"/>
    <col min="997" max="997" width="11" bestFit="1" customWidth="1"/>
    <col min="998" max="998" width="17.33203125" bestFit="1" customWidth="1"/>
    <col min="999" max="999" width="11" bestFit="1" customWidth="1"/>
    <col min="1000" max="1000" width="17.33203125" bestFit="1" customWidth="1"/>
    <col min="1001" max="1001" width="11" bestFit="1" customWidth="1"/>
    <col min="1002" max="1002" width="17.33203125" bestFit="1" customWidth="1"/>
    <col min="1003" max="1003" width="11" bestFit="1" customWidth="1"/>
    <col min="1004" max="1004" width="17.33203125" bestFit="1" customWidth="1"/>
    <col min="1005" max="1005" width="11" bestFit="1" customWidth="1"/>
    <col min="1006" max="1006" width="17.33203125" bestFit="1" customWidth="1"/>
    <col min="1007" max="1007" width="11" bestFit="1" customWidth="1"/>
    <col min="1008" max="1008" width="17.33203125" bestFit="1" customWidth="1"/>
    <col min="1009" max="1009" width="11" bestFit="1" customWidth="1"/>
    <col min="1010" max="1010" width="17.33203125" bestFit="1" customWidth="1"/>
    <col min="1011" max="1011" width="11" bestFit="1" customWidth="1"/>
    <col min="1012" max="1012" width="17.33203125" bestFit="1" customWidth="1"/>
    <col min="1013" max="1013" width="11" bestFit="1" customWidth="1"/>
    <col min="1014" max="1014" width="17.33203125" bestFit="1" customWidth="1"/>
    <col min="1015" max="1015" width="11" bestFit="1" customWidth="1"/>
    <col min="1016" max="1016" width="17.33203125" bestFit="1" customWidth="1"/>
    <col min="1017" max="1017" width="11" bestFit="1" customWidth="1"/>
    <col min="1018" max="1018" width="17.33203125" bestFit="1" customWidth="1"/>
    <col min="1019" max="1019" width="11" bestFit="1" customWidth="1"/>
    <col min="1020" max="1020" width="17.33203125" bestFit="1" customWidth="1"/>
    <col min="1021" max="1021" width="11" bestFit="1" customWidth="1"/>
    <col min="1022" max="1022" width="17.33203125" bestFit="1" customWidth="1"/>
    <col min="1023" max="1023" width="11" bestFit="1" customWidth="1"/>
    <col min="1024" max="1024" width="17.33203125" bestFit="1" customWidth="1"/>
    <col min="1025" max="1025" width="11" bestFit="1" customWidth="1"/>
    <col min="1026" max="1026" width="17.33203125" bestFit="1" customWidth="1"/>
    <col min="1027" max="1027" width="11" bestFit="1" customWidth="1"/>
    <col min="1028" max="1028" width="17.33203125" bestFit="1" customWidth="1"/>
    <col min="1029" max="1029" width="11" bestFit="1" customWidth="1"/>
    <col min="1030" max="1030" width="17.33203125" bestFit="1" customWidth="1"/>
    <col min="1031" max="1031" width="11" bestFit="1" customWidth="1"/>
    <col min="1032" max="1032" width="17.33203125" bestFit="1" customWidth="1"/>
    <col min="1033" max="1033" width="11" bestFit="1" customWidth="1"/>
    <col min="1034" max="1034" width="17.33203125" bestFit="1" customWidth="1"/>
    <col min="1035" max="1035" width="11" bestFit="1" customWidth="1"/>
    <col min="1036" max="1036" width="17.33203125" bestFit="1" customWidth="1"/>
    <col min="1037" max="1037" width="11" bestFit="1" customWidth="1"/>
    <col min="1038" max="1038" width="17.33203125" bestFit="1" customWidth="1"/>
    <col min="1039" max="1039" width="11" bestFit="1" customWidth="1"/>
    <col min="1040" max="1040" width="17.33203125" bestFit="1" customWidth="1"/>
    <col min="1041" max="1041" width="11" bestFit="1" customWidth="1"/>
    <col min="1042" max="1042" width="17.33203125" bestFit="1" customWidth="1"/>
    <col min="1043" max="1043" width="11" bestFit="1" customWidth="1"/>
    <col min="1044" max="1044" width="17.33203125" bestFit="1" customWidth="1"/>
    <col min="1045" max="1045" width="11" bestFit="1" customWidth="1"/>
    <col min="1046" max="1046" width="17.33203125" bestFit="1" customWidth="1"/>
    <col min="1047" max="1047" width="11" bestFit="1" customWidth="1"/>
    <col min="1048" max="1048" width="17.33203125" bestFit="1" customWidth="1"/>
    <col min="1049" max="1049" width="11" bestFit="1" customWidth="1"/>
    <col min="1050" max="1050" width="17.33203125" bestFit="1" customWidth="1"/>
    <col min="1051" max="1051" width="11" bestFit="1" customWidth="1"/>
    <col min="1052" max="1052" width="17.33203125" bestFit="1" customWidth="1"/>
    <col min="1053" max="1053" width="11" bestFit="1" customWidth="1"/>
    <col min="1054" max="1054" width="17.33203125" bestFit="1" customWidth="1"/>
    <col min="1055" max="1055" width="11" bestFit="1" customWidth="1"/>
    <col min="1056" max="1056" width="17.33203125" bestFit="1" customWidth="1"/>
    <col min="1057" max="1057" width="11" bestFit="1" customWidth="1"/>
    <col min="1058" max="1058" width="17.33203125" bestFit="1" customWidth="1"/>
    <col min="1059" max="1059" width="11" bestFit="1" customWidth="1"/>
    <col min="1060" max="1060" width="17.33203125" bestFit="1" customWidth="1"/>
    <col min="1061" max="1061" width="11" bestFit="1" customWidth="1"/>
    <col min="1062" max="1062" width="17.33203125" bestFit="1" customWidth="1"/>
    <col min="1063" max="1063" width="11" bestFit="1" customWidth="1"/>
    <col min="1064" max="1064" width="17.33203125" bestFit="1" customWidth="1"/>
    <col min="1065" max="1065" width="11" bestFit="1" customWidth="1"/>
    <col min="1066" max="1066" width="17.33203125" bestFit="1" customWidth="1"/>
    <col min="1067" max="1067" width="11" bestFit="1" customWidth="1"/>
    <col min="1068" max="1068" width="17.33203125" bestFit="1" customWidth="1"/>
    <col min="1069" max="1069" width="11" bestFit="1" customWidth="1"/>
    <col min="1070" max="1070" width="17.33203125" bestFit="1" customWidth="1"/>
    <col min="1071" max="1071" width="11" bestFit="1" customWidth="1"/>
    <col min="1072" max="1072" width="17.33203125" bestFit="1" customWidth="1"/>
    <col min="1073" max="1073" width="11" bestFit="1" customWidth="1"/>
    <col min="1074" max="1074" width="17.33203125" bestFit="1" customWidth="1"/>
    <col min="1075" max="1075" width="11" bestFit="1" customWidth="1"/>
    <col min="1076" max="1076" width="17.33203125" bestFit="1" customWidth="1"/>
    <col min="1077" max="1077" width="11" bestFit="1" customWidth="1"/>
    <col min="1078" max="1078" width="17.33203125" bestFit="1" customWidth="1"/>
    <col min="1079" max="1079" width="11" bestFit="1" customWidth="1"/>
    <col min="1080" max="1080" width="17.33203125" bestFit="1" customWidth="1"/>
    <col min="1081" max="1081" width="11" bestFit="1" customWidth="1"/>
    <col min="1082" max="1082" width="17.33203125" bestFit="1" customWidth="1"/>
    <col min="1083" max="1083" width="11" bestFit="1" customWidth="1"/>
    <col min="1084" max="1084" width="17.33203125" bestFit="1" customWidth="1"/>
    <col min="1085" max="1085" width="11" bestFit="1" customWidth="1"/>
    <col min="1086" max="1086" width="17.33203125" bestFit="1" customWidth="1"/>
    <col min="1087" max="1087" width="11" bestFit="1" customWidth="1"/>
    <col min="1088" max="1088" width="17.33203125" bestFit="1" customWidth="1"/>
    <col min="1089" max="1089" width="11" bestFit="1" customWidth="1"/>
    <col min="1090" max="1090" width="17.33203125" bestFit="1" customWidth="1"/>
    <col min="1091" max="1091" width="11" bestFit="1" customWidth="1"/>
    <col min="1092" max="1092" width="17.33203125" bestFit="1" customWidth="1"/>
    <col min="1093" max="1093" width="11" bestFit="1" customWidth="1"/>
    <col min="1094" max="1094" width="17.33203125" bestFit="1" customWidth="1"/>
    <col min="1095" max="1095" width="11" bestFit="1" customWidth="1"/>
    <col min="1096" max="1096" width="17.33203125" bestFit="1" customWidth="1"/>
    <col min="1097" max="1097" width="11" bestFit="1" customWidth="1"/>
    <col min="1098" max="1098" width="17.33203125" bestFit="1" customWidth="1"/>
    <col min="1099" max="1099" width="11" bestFit="1" customWidth="1"/>
    <col min="1100" max="1100" width="17.33203125" bestFit="1" customWidth="1"/>
    <col min="1101" max="1101" width="11" bestFit="1" customWidth="1"/>
    <col min="1102" max="1102" width="17.33203125" bestFit="1" customWidth="1"/>
    <col min="1103" max="1103" width="11" bestFit="1" customWidth="1"/>
    <col min="1104" max="1104" width="17.33203125" bestFit="1" customWidth="1"/>
    <col min="1105" max="1105" width="11" bestFit="1" customWidth="1"/>
    <col min="1106" max="1106" width="17.33203125" bestFit="1" customWidth="1"/>
    <col min="1107" max="1107" width="11" bestFit="1" customWidth="1"/>
    <col min="1108" max="1108" width="17.33203125" bestFit="1" customWidth="1"/>
    <col min="1109" max="1109" width="11" bestFit="1" customWidth="1"/>
    <col min="1110" max="1110" width="17.33203125" bestFit="1" customWidth="1"/>
    <col min="1111" max="1111" width="11" bestFit="1" customWidth="1"/>
    <col min="1112" max="1112" width="17.33203125" bestFit="1" customWidth="1"/>
    <col min="1113" max="1113" width="11" bestFit="1" customWidth="1"/>
    <col min="1114" max="1114" width="17.33203125" bestFit="1" customWidth="1"/>
    <col min="1115" max="1115" width="11" bestFit="1" customWidth="1"/>
    <col min="1116" max="1116" width="17.33203125" bestFit="1" customWidth="1"/>
    <col min="1117" max="1117" width="11" bestFit="1" customWidth="1"/>
    <col min="1118" max="1118" width="17.33203125" bestFit="1" customWidth="1"/>
    <col min="1119" max="1119" width="11" bestFit="1" customWidth="1"/>
    <col min="1120" max="1120" width="17.33203125" bestFit="1" customWidth="1"/>
    <col min="1121" max="1121" width="11" bestFit="1" customWidth="1"/>
    <col min="1122" max="1122" width="17.33203125" bestFit="1" customWidth="1"/>
    <col min="1123" max="1123" width="11" bestFit="1" customWidth="1"/>
    <col min="1124" max="1124" width="17.33203125" bestFit="1" customWidth="1"/>
    <col min="1125" max="1125" width="11" bestFit="1" customWidth="1"/>
    <col min="1126" max="1126" width="17.33203125" bestFit="1" customWidth="1"/>
    <col min="1127" max="1127" width="11" bestFit="1" customWidth="1"/>
    <col min="1128" max="1128" width="17.33203125" bestFit="1" customWidth="1"/>
    <col min="1129" max="1129" width="11" bestFit="1" customWidth="1"/>
    <col min="1130" max="1130" width="17.33203125" bestFit="1" customWidth="1"/>
    <col min="1131" max="1131" width="11" bestFit="1" customWidth="1"/>
    <col min="1132" max="1132" width="17.33203125" bestFit="1" customWidth="1"/>
    <col min="1133" max="1133" width="11" bestFit="1" customWidth="1"/>
    <col min="1134" max="1134" width="17.33203125" bestFit="1" customWidth="1"/>
    <col min="1135" max="1135" width="11" bestFit="1" customWidth="1"/>
    <col min="1136" max="1136" width="17.33203125" bestFit="1" customWidth="1"/>
    <col min="1137" max="1137" width="11" bestFit="1" customWidth="1"/>
    <col min="1138" max="1138" width="17.33203125" bestFit="1" customWidth="1"/>
    <col min="1139" max="1139" width="11" bestFit="1" customWidth="1"/>
    <col min="1140" max="1140" width="17.33203125" bestFit="1" customWidth="1"/>
    <col min="1141" max="1141" width="11" bestFit="1" customWidth="1"/>
    <col min="1142" max="1142" width="17.33203125" bestFit="1" customWidth="1"/>
    <col min="1143" max="1143" width="11" bestFit="1" customWidth="1"/>
    <col min="1144" max="1144" width="17.33203125" bestFit="1" customWidth="1"/>
    <col min="1145" max="1145" width="11" bestFit="1" customWidth="1"/>
    <col min="1146" max="1146" width="17.33203125" bestFit="1" customWidth="1"/>
    <col min="1147" max="1147" width="11" bestFit="1" customWidth="1"/>
    <col min="1148" max="1148" width="17.33203125" bestFit="1" customWidth="1"/>
    <col min="1149" max="1149" width="11" bestFit="1" customWidth="1"/>
    <col min="1150" max="1150" width="17.33203125" bestFit="1" customWidth="1"/>
    <col min="1151" max="1151" width="11" bestFit="1" customWidth="1"/>
    <col min="1152" max="1152" width="17.33203125" bestFit="1" customWidth="1"/>
    <col min="1153" max="1153" width="11" bestFit="1" customWidth="1"/>
    <col min="1154" max="1154" width="17.33203125" bestFit="1" customWidth="1"/>
    <col min="1155" max="1155" width="11" bestFit="1" customWidth="1"/>
    <col min="1156" max="1156" width="17.33203125" bestFit="1" customWidth="1"/>
    <col min="1157" max="1157" width="11" bestFit="1" customWidth="1"/>
    <col min="1158" max="1158" width="17.33203125" bestFit="1" customWidth="1"/>
    <col min="1159" max="1159" width="11" bestFit="1" customWidth="1"/>
    <col min="1160" max="1160" width="17.33203125" bestFit="1" customWidth="1"/>
    <col min="1161" max="1161" width="11" bestFit="1" customWidth="1"/>
    <col min="1162" max="1162" width="17.33203125" bestFit="1" customWidth="1"/>
    <col min="1163" max="1163" width="11" bestFit="1" customWidth="1"/>
    <col min="1164" max="1164" width="17.33203125" bestFit="1" customWidth="1"/>
    <col min="1165" max="1165" width="11" bestFit="1" customWidth="1"/>
    <col min="1166" max="1166" width="17.33203125" bestFit="1" customWidth="1"/>
    <col min="1167" max="1167" width="11" bestFit="1" customWidth="1"/>
    <col min="1168" max="1168" width="17.33203125" bestFit="1" customWidth="1"/>
    <col min="1169" max="1169" width="11" bestFit="1" customWidth="1"/>
    <col min="1170" max="1170" width="17.33203125" bestFit="1" customWidth="1"/>
    <col min="1171" max="1171" width="11" bestFit="1" customWidth="1"/>
    <col min="1172" max="1172" width="17.33203125" bestFit="1" customWidth="1"/>
    <col min="1173" max="1173" width="11" bestFit="1" customWidth="1"/>
    <col min="1174" max="1174" width="17.33203125" bestFit="1" customWidth="1"/>
    <col min="1175" max="1175" width="11" bestFit="1" customWidth="1"/>
    <col min="1176" max="1176" width="17.33203125" bestFit="1" customWidth="1"/>
    <col min="1177" max="1177" width="11" bestFit="1" customWidth="1"/>
    <col min="1178" max="1178" width="17.33203125" bestFit="1" customWidth="1"/>
    <col min="1179" max="1179" width="11" bestFit="1" customWidth="1"/>
    <col min="1180" max="1180" width="17.33203125" bestFit="1" customWidth="1"/>
    <col min="1181" max="1181" width="11" bestFit="1" customWidth="1"/>
    <col min="1182" max="1182" width="17.33203125" bestFit="1" customWidth="1"/>
    <col min="1183" max="1183" width="11" bestFit="1" customWidth="1"/>
    <col min="1184" max="1184" width="17.33203125" bestFit="1" customWidth="1"/>
    <col min="1185" max="1185" width="11" bestFit="1" customWidth="1"/>
    <col min="1186" max="1186" width="17.33203125" bestFit="1" customWidth="1"/>
    <col min="1187" max="1187" width="11" bestFit="1" customWidth="1"/>
    <col min="1188" max="1188" width="17.33203125" bestFit="1" customWidth="1"/>
    <col min="1189" max="1189" width="11" bestFit="1" customWidth="1"/>
    <col min="1190" max="1190" width="17.33203125" bestFit="1" customWidth="1"/>
    <col min="1191" max="1191" width="11" bestFit="1" customWidth="1"/>
    <col min="1192" max="1192" width="17.33203125" bestFit="1" customWidth="1"/>
    <col min="1193" max="1193" width="11" bestFit="1" customWidth="1"/>
    <col min="1194" max="1194" width="17.33203125" bestFit="1" customWidth="1"/>
    <col min="1195" max="1195" width="11" bestFit="1" customWidth="1"/>
    <col min="1196" max="1196" width="17.33203125" bestFit="1" customWidth="1"/>
    <col min="1197" max="1197" width="11" bestFit="1" customWidth="1"/>
    <col min="1198" max="1198" width="17.33203125" bestFit="1" customWidth="1"/>
    <col min="1199" max="1199" width="11" bestFit="1" customWidth="1"/>
    <col min="1200" max="1200" width="17.33203125" bestFit="1" customWidth="1"/>
    <col min="1201" max="1201" width="11" bestFit="1" customWidth="1"/>
    <col min="1202" max="1202" width="17.33203125" bestFit="1" customWidth="1"/>
    <col min="1203" max="1203" width="11" bestFit="1" customWidth="1"/>
    <col min="1204" max="1204" width="17.33203125" bestFit="1" customWidth="1"/>
    <col min="1205" max="1205" width="11" bestFit="1" customWidth="1"/>
    <col min="1206" max="1206" width="17.33203125" bestFit="1" customWidth="1"/>
    <col min="1207" max="1207" width="11" bestFit="1" customWidth="1"/>
    <col min="1208" max="1208" width="17.33203125" bestFit="1" customWidth="1"/>
    <col min="1209" max="1209" width="11" bestFit="1" customWidth="1"/>
    <col min="1210" max="1210" width="17.33203125" bestFit="1" customWidth="1"/>
    <col min="1211" max="1211" width="11" bestFit="1" customWidth="1"/>
    <col min="1212" max="1212" width="17.33203125" bestFit="1" customWidth="1"/>
    <col min="1213" max="1213" width="11" bestFit="1" customWidth="1"/>
    <col min="1214" max="1214" width="17.33203125" bestFit="1" customWidth="1"/>
    <col min="1215" max="1215" width="11" bestFit="1" customWidth="1"/>
    <col min="1216" max="1216" width="17.33203125" bestFit="1" customWidth="1"/>
    <col min="1217" max="1217" width="11" bestFit="1" customWidth="1"/>
    <col min="1218" max="1218" width="17.33203125" bestFit="1" customWidth="1"/>
    <col min="1219" max="1219" width="11" bestFit="1" customWidth="1"/>
    <col min="1220" max="1220" width="17.33203125" bestFit="1" customWidth="1"/>
    <col min="1221" max="1221" width="11" bestFit="1" customWidth="1"/>
    <col min="1222" max="1222" width="17.33203125" bestFit="1" customWidth="1"/>
    <col min="1223" max="1223" width="11" bestFit="1" customWidth="1"/>
    <col min="1224" max="1224" width="17.33203125" bestFit="1" customWidth="1"/>
    <col min="1225" max="1225" width="11" bestFit="1" customWidth="1"/>
    <col min="1226" max="1226" width="17.33203125" bestFit="1" customWidth="1"/>
    <col min="1227" max="1227" width="11" bestFit="1" customWidth="1"/>
    <col min="1228" max="1228" width="17.33203125" bestFit="1" customWidth="1"/>
    <col min="1229" max="1229" width="11" bestFit="1" customWidth="1"/>
    <col min="1230" max="1230" width="17.33203125" bestFit="1" customWidth="1"/>
    <col min="1231" max="1231" width="11" bestFit="1" customWidth="1"/>
    <col min="1232" max="1232" width="17.33203125" bestFit="1" customWidth="1"/>
    <col min="1233" max="1233" width="11" bestFit="1" customWidth="1"/>
    <col min="1234" max="1234" width="17.33203125" bestFit="1" customWidth="1"/>
    <col min="1235" max="1235" width="11" bestFit="1" customWidth="1"/>
    <col min="1236" max="1236" width="17.33203125" bestFit="1" customWidth="1"/>
    <col min="1237" max="1237" width="11" bestFit="1" customWidth="1"/>
    <col min="1238" max="1238" width="17.33203125" bestFit="1" customWidth="1"/>
    <col min="1239" max="1239" width="11" bestFit="1" customWidth="1"/>
    <col min="1240" max="1240" width="17.33203125" bestFit="1" customWidth="1"/>
    <col min="1241" max="1241" width="11" bestFit="1" customWidth="1"/>
    <col min="1242" max="1242" width="17.33203125" bestFit="1" customWidth="1"/>
    <col min="1243" max="1243" width="11" bestFit="1" customWidth="1"/>
    <col min="1244" max="1244" width="17.33203125" bestFit="1" customWidth="1"/>
    <col min="1245" max="1245" width="11" bestFit="1" customWidth="1"/>
    <col min="1246" max="1246" width="17.33203125" bestFit="1" customWidth="1"/>
    <col min="1247" max="1247" width="11" bestFit="1" customWidth="1"/>
    <col min="1248" max="1248" width="17.33203125" bestFit="1" customWidth="1"/>
    <col min="1249" max="1249" width="11" bestFit="1" customWidth="1"/>
    <col min="1250" max="1250" width="17.33203125" bestFit="1" customWidth="1"/>
    <col min="1251" max="1251" width="11" bestFit="1" customWidth="1"/>
    <col min="1252" max="1252" width="17.33203125" bestFit="1" customWidth="1"/>
    <col min="1253" max="1253" width="11" bestFit="1" customWidth="1"/>
    <col min="1254" max="1254" width="17.33203125" bestFit="1" customWidth="1"/>
    <col min="1255" max="1255" width="11" bestFit="1" customWidth="1"/>
    <col min="1256" max="1256" width="17.33203125" bestFit="1" customWidth="1"/>
    <col min="1257" max="1257" width="11" bestFit="1" customWidth="1"/>
    <col min="1258" max="1258" width="17.33203125" bestFit="1" customWidth="1"/>
    <col min="1259" max="1259" width="11" bestFit="1" customWidth="1"/>
    <col min="1260" max="1260" width="17.33203125" bestFit="1" customWidth="1"/>
    <col min="1261" max="1261" width="11" bestFit="1" customWidth="1"/>
    <col min="1262" max="1262" width="17.33203125" bestFit="1" customWidth="1"/>
    <col min="1263" max="1263" width="11" bestFit="1" customWidth="1"/>
    <col min="1264" max="1264" width="17.33203125" bestFit="1" customWidth="1"/>
    <col min="1265" max="1265" width="11" bestFit="1" customWidth="1"/>
    <col min="1266" max="1266" width="17.33203125" bestFit="1" customWidth="1"/>
    <col min="1267" max="1267" width="11" bestFit="1" customWidth="1"/>
    <col min="1268" max="1268" width="17.33203125" bestFit="1" customWidth="1"/>
    <col min="1269" max="1269" width="11" bestFit="1" customWidth="1"/>
    <col min="1270" max="1270" width="17.33203125" bestFit="1" customWidth="1"/>
    <col min="1271" max="1271" width="11" bestFit="1" customWidth="1"/>
    <col min="1272" max="1272" width="17.33203125" bestFit="1" customWidth="1"/>
    <col min="1273" max="1273" width="11" bestFit="1" customWidth="1"/>
    <col min="1274" max="1274" width="17.33203125" bestFit="1" customWidth="1"/>
    <col min="1275" max="1275" width="11" bestFit="1" customWidth="1"/>
    <col min="1276" max="1276" width="17.33203125" bestFit="1" customWidth="1"/>
    <col min="1277" max="1277" width="11" bestFit="1" customWidth="1"/>
    <col min="1278" max="1278" width="17.33203125" bestFit="1" customWidth="1"/>
    <col min="1279" max="1279" width="11" bestFit="1" customWidth="1"/>
    <col min="1280" max="1280" width="17.33203125" bestFit="1" customWidth="1"/>
    <col min="1281" max="1281" width="11" bestFit="1" customWidth="1"/>
    <col min="1282" max="1282" width="17.33203125" bestFit="1" customWidth="1"/>
    <col min="1283" max="1283" width="11" bestFit="1" customWidth="1"/>
    <col min="1284" max="1284" width="17.33203125" bestFit="1" customWidth="1"/>
    <col min="1285" max="1285" width="11" bestFit="1" customWidth="1"/>
    <col min="1286" max="1286" width="17.33203125" bestFit="1" customWidth="1"/>
    <col min="1287" max="1287" width="11" bestFit="1" customWidth="1"/>
    <col min="1288" max="1288" width="17.33203125" bestFit="1" customWidth="1"/>
    <col min="1289" max="1289" width="11" bestFit="1" customWidth="1"/>
    <col min="1290" max="1290" width="17.33203125" bestFit="1" customWidth="1"/>
    <col min="1291" max="1291" width="11" bestFit="1" customWidth="1"/>
    <col min="1292" max="1292" width="17.33203125" bestFit="1" customWidth="1"/>
    <col min="1293" max="1293" width="11" bestFit="1" customWidth="1"/>
    <col min="1294" max="1294" width="17.33203125" bestFit="1" customWidth="1"/>
    <col min="1295" max="1295" width="11" bestFit="1" customWidth="1"/>
    <col min="1296" max="1296" width="17.33203125" bestFit="1" customWidth="1"/>
    <col min="1297" max="1297" width="11" bestFit="1" customWidth="1"/>
    <col min="1298" max="1298" width="17.33203125" bestFit="1" customWidth="1"/>
    <col min="1299" max="1299" width="11" bestFit="1" customWidth="1"/>
    <col min="1300" max="1300" width="17.33203125" bestFit="1" customWidth="1"/>
    <col min="1301" max="1301" width="11" bestFit="1" customWidth="1"/>
    <col min="1302" max="1302" width="17.33203125" bestFit="1" customWidth="1"/>
    <col min="1303" max="1303" width="11" bestFit="1" customWidth="1"/>
    <col min="1304" max="1304" width="17.33203125" bestFit="1" customWidth="1"/>
    <col min="1305" max="1305" width="11" bestFit="1" customWidth="1"/>
    <col min="1306" max="1306" width="17.33203125" bestFit="1" customWidth="1"/>
    <col min="1307" max="1307" width="11" bestFit="1" customWidth="1"/>
    <col min="1308" max="1308" width="17.33203125" bestFit="1" customWidth="1"/>
    <col min="1309" max="1309" width="11" bestFit="1" customWidth="1"/>
    <col min="1310" max="1310" width="17.33203125" bestFit="1" customWidth="1"/>
    <col min="1311" max="1311" width="11" bestFit="1" customWidth="1"/>
    <col min="1312" max="1312" width="17.33203125" bestFit="1" customWidth="1"/>
    <col min="1313" max="1313" width="11" bestFit="1" customWidth="1"/>
    <col min="1314" max="1314" width="17.33203125" bestFit="1" customWidth="1"/>
    <col min="1315" max="1315" width="11" bestFit="1" customWidth="1"/>
    <col min="1316" max="1316" width="17.33203125" bestFit="1" customWidth="1"/>
    <col min="1317" max="1317" width="11" bestFit="1" customWidth="1"/>
    <col min="1318" max="1318" width="17.33203125" bestFit="1" customWidth="1"/>
    <col min="1319" max="1319" width="11" bestFit="1" customWidth="1"/>
    <col min="1320" max="1320" width="17.33203125" bestFit="1" customWidth="1"/>
    <col min="1321" max="1321" width="11" bestFit="1" customWidth="1"/>
    <col min="1322" max="1322" width="17.33203125" bestFit="1" customWidth="1"/>
    <col min="1323" max="1323" width="11" bestFit="1" customWidth="1"/>
    <col min="1324" max="1324" width="17.33203125" bestFit="1" customWidth="1"/>
    <col min="1325" max="1325" width="11" bestFit="1" customWidth="1"/>
    <col min="1326" max="1326" width="17.33203125" bestFit="1" customWidth="1"/>
    <col min="1327" max="1327" width="11" bestFit="1" customWidth="1"/>
    <col min="1328" max="1328" width="17.33203125" bestFit="1" customWidth="1"/>
    <col min="1329" max="1329" width="11" bestFit="1" customWidth="1"/>
    <col min="1330" max="1330" width="17.33203125" bestFit="1" customWidth="1"/>
    <col min="1331" max="1331" width="11" bestFit="1" customWidth="1"/>
    <col min="1332" max="1332" width="17.33203125" bestFit="1" customWidth="1"/>
    <col min="1333" max="1333" width="11" bestFit="1" customWidth="1"/>
    <col min="1334" max="1334" width="17.33203125" bestFit="1" customWidth="1"/>
    <col min="1335" max="1335" width="11" bestFit="1" customWidth="1"/>
    <col min="1336" max="1336" width="17.33203125" bestFit="1" customWidth="1"/>
    <col min="1337" max="1337" width="11" bestFit="1" customWidth="1"/>
    <col min="1338" max="1338" width="17.33203125" bestFit="1" customWidth="1"/>
    <col min="1339" max="1339" width="11" bestFit="1" customWidth="1"/>
    <col min="1340" max="1340" width="17.33203125" bestFit="1" customWidth="1"/>
    <col min="1341" max="1341" width="11" bestFit="1" customWidth="1"/>
    <col min="1342" max="1342" width="17.33203125" bestFit="1" customWidth="1"/>
    <col min="1343" max="1343" width="11" bestFit="1" customWidth="1"/>
    <col min="1344" max="1344" width="17.33203125" bestFit="1" customWidth="1"/>
    <col min="1345" max="1345" width="11" bestFit="1" customWidth="1"/>
    <col min="1346" max="1346" width="17.33203125" bestFit="1" customWidth="1"/>
    <col min="1347" max="1347" width="11" bestFit="1" customWidth="1"/>
    <col min="1348" max="1348" width="17.33203125" bestFit="1" customWidth="1"/>
    <col min="1349" max="1349" width="11" bestFit="1" customWidth="1"/>
    <col min="1350" max="1350" width="17.33203125" bestFit="1" customWidth="1"/>
    <col min="1351" max="1351" width="11" bestFit="1" customWidth="1"/>
    <col min="1352" max="1352" width="17.33203125" bestFit="1" customWidth="1"/>
    <col min="1353" max="1353" width="11" bestFit="1" customWidth="1"/>
    <col min="1354" max="1354" width="17.33203125" bestFit="1" customWidth="1"/>
    <col min="1355" max="1355" width="11" bestFit="1" customWidth="1"/>
    <col min="1356" max="1356" width="17.33203125" bestFit="1" customWidth="1"/>
    <col min="1357" max="1357" width="11" bestFit="1" customWidth="1"/>
    <col min="1358" max="1358" width="17.33203125" bestFit="1" customWidth="1"/>
    <col min="1359" max="1359" width="11" bestFit="1" customWidth="1"/>
    <col min="1360" max="1360" width="17.33203125" bestFit="1" customWidth="1"/>
    <col min="1361" max="1361" width="11" bestFit="1" customWidth="1"/>
    <col min="1362" max="1362" width="17.33203125" bestFit="1" customWidth="1"/>
    <col min="1363" max="1363" width="11" bestFit="1" customWidth="1"/>
    <col min="1364" max="1364" width="17.33203125" bestFit="1" customWidth="1"/>
    <col min="1365" max="1365" width="11" bestFit="1" customWidth="1"/>
    <col min="1366" max="1366" width="17.33203125" bestFit="1" customWidth="1"/>
    <col min="1367" max="1367" width="11" bestFit="1" customWidth="1"/>
    <col min="1368" max="1368" width="17.33203125" bestFit="1" customWidth="1"/>
    <col min="1369" max="1369" width="11" bestFit="1" customWidth="1"/>
    <col min="1370" max="1370" width="17.33203125" bestFit="1" customWidth="1"/>
    <col min="1371" max="1371" width="11" bestFit="1" customWidth="1"/>
    <col min="1372" max="1372" width="17.33203125" bestFit="1" customWidth="1"/>
    <col min="1373" max="1373" width="11" bestFit="1" customWidth="1"/>
    <col min="1374" max="1374" width="17.33203125" bestFit="1" customWidth="1"/>
    <col min="1375" max="1375" width="11" bestFit="1" customWidth="1"/>
    <col min="1376" max="1376" width="17.33203125" bestFit="1" customWidth="1"/>
    <col min="1377" max="1377" width="11" bestFit="1" customWidth="1"/>
    <col min="1378" max="1378" width="17.33203125" bestFit="1" customWidth="1"/>
    <col min="1379" max="1379" width="11" bestFit="1" customWidth="1"/>
    <col min="1380" max="1380" width="17.33203125" bestFit="1" customWidth="1"/>
    <col min="1381" max="1381" width="11" bestFit="1" customWidth="1"/>
    <col min="1382" max="1382" width="17.33203125" bestFit="1" customWidth="1"/>
    <col min="1383" max="1383" width="11" bestFit="1" customWidth="1"/>
    <col min="1384" max="1384" width="17.33203125" bestFit="1" customWidth="1"/>
    <col min="1385" max="1385" width="11" bestFit="1" customWidth="1"/>
    <col min="1386" max="1386" width="17.33203125" bestFit="1" customWidth="1"/>
    <col min="1387" max="1387" width="11" bestFit="1" customWidth="1"/>
    <col min="1388" max="1388" width="17.33203125" bestFit="1" customWidth="1"/>
    <col min="1389" max="1389" width="11" bestFit="1" customWidth="1"/>
    <col min="1390" max="1390" width="17.33203125" bestFit="1" customWidth="1"/>
    <col min="1391" max="1391" width="11" bestFit="1" customWidth="1"/>
    <col min="1392" max="1392" width="17.33203125" bestFit="1" customWidth="1"/>
    <col min="1393" max="1393" width="11" bestFit="1" customWidth="1"/>
    <col min="1394" max="1394" width="17.33203125" bestFit="1" customWidth="1"/>
    <col min="1395" max="1395" width="11" bestFit="1" customWidth="1"/>
    <col min="1396" max="1396" width="17.33203125" bestFit="1" customWidth="1"/>
    <col min="1397" max="1397" width="11" bestFit="1" customWidth="1"/>
    <col min="1398" max="1398" width="17.33203125" bestFit="1" customWidth="1"/>
    <col min="1399" max="1399" width="11" bestFit="1" customWidth="1"/>
    <col min="1400" max="1400" width="17.33203125" bestFit="1" customWidth="1"/>
    <col min="1401" max="1401" width="11" bestFit="1" customWidth="1"/>
    <col min="1402" max="1402" width="17.33203125" bestFit="1" customWidth="1"/>
    <col min="1403" max="1403" width="11" bestFit="1" customWidth="1"/>
    <col min="1404" max="1404" width="17.33203125" bestFit="1" customWidth="1"/>
    <col min="1405" max="1405" width="11" bestFit="1" customWidth="1"/>
    <col min="1406" max="1406" width="17.33203125" bestFit="1" customWidth="1"/>
    <col min="1407" max="1407" width="11" bestFit="1" customWidth="1"/>
    <col min="1408" max="1408" width="17.33203125" bestFit="1" customWidth="1"/>
    <col min="1409" max="1409" width="11" bestFit="1" customWidth="1"/>
    <col min="1410" max="1410" width="17.33203125" bestFit="1" customWidth="1"/>
    <col min="1411" max="1411" width="11" bestFit="1" customWidth="1"/>
    <col min="1412" max="1412" width="17.33203125" bestFit="1" customWidth="1"/>
    <col min="1413" max="1413" width="11" bestFit="1" customWidth="1"/>
    <col min="1414" max="1414" width="17.33203125" bestFit="1" customWidth="1"/>
    <col min="1415" max="1415" width="11" bestFit="1" customWidth="1"/>
    <col min="1416" max="1416" width="17.33203125" bestFit="1" customWidth="1"/>
    <col min="1417" max="1417" width="11" bestFit="1" customWidth="1"/>
    <col min="1418" max="1418" width="17.33203125" bestFit="1" customWidth="1"/>
    <col min="1419" max="1419" width="11" bestFit="1" customWidth="1"/>
    <col min="1420" max="1420" width="17.33203125" bestFit="1" customWidth="1"/>
    <col min="1421" max="1421" width="11" bestFit="1" customWidth="1"/>
    <col min="1422" max="1422" width="17.33203125" bestFit="1" customWidth="1"/>
    <col min="1423" max="1423" width="11" bestFit="1" customWidth="1"/>
    <col min="1424" max="1424" width="17.33203125" bestFit="1" customWidth="1"/>
    <col min="1425" max="1425" width="11" bestFit="1" customWidth="1"/>
    <col min="1426" max="1426" width="17.33203125" bestFit="1" customWidth="1"/>
    <col min="1427" max="1427" width="11" bestFit="1" customWidth="1"/>
    <col min="1428" max="1428" width="17.33203125" bestFit="1" customWidth="1"/>
    <col min="1429" max="1429" width="11" bestFit="1" customWidth="1"/>
    <col min="1430" max="1430" width="17.33203125" bestFit="1" customWidth="1"/>
    <col min="1431" max="1431" width="11" bestFit="1" customWidth="1"/>
    <col min="1432" max="1432" width="17.33203125" bestFit="1" customWidth="1"/>
    <col min="1433" max="1433" width="11" bestFit="1" customWidth="1"/>
    <col min="1434" max="1434" width="17.33203125" bestFit="1" customWidth="1"/>
    <col min="1435" max="1435" width="11" bestFit="1" customWidth="1"/>
    <col min="1436" max="1436" width="17.33203125" bestFit="1" customWidth="1"/>
    <col min="1437" max="1437" width="11" bestFit="1" customWidth="1"/>
    <col min="1438" max="1438" width="17.33203125" bestFit="1" customWidth="1"/>
    <col min="1439" max="1439" width="11" bestFit="1" customWidth="1"/>
    <col min="1440" max="1440" width="17.33203125" bestFit="1" customWidth="1"/>
    <col min="1441" max="1441" width="11" bestFit="1" customWidth="1"/>
    <col min="1442" max="1442" width="17.33203125" bestFit="1" customWidth="1"/>
    <col min="1443" max="1443" width="11" bestFit="1" customWidth="1"/>
    <col min="1444" max="1444" width="17.33203125" bestFit="1" customWidth="1"/>
    <col min="1445" max="1445" width="11" bestFit="1" customWidth="1"/>
    <col min="1446" max="1446" width="17.33203125" bestFit="1" customWidth="1"/>
    <col min="1447" max="1447" width="11" bestFit="1" customWidth="1"/>
    <col min="1448" max="1448" width="17.33203125" bestFit="1" customWidth="1"/>
    <col min="1449" max="1449" width="11" bestFit="1" customWidth="1"/>
    <col min="1450" max="1450" width="17.33203125" bestFit="1" customWidth="1"/>
    <col min="1451" max="1451" width="11" bestFit="1" customWidth="1"/>
    <col min="1452" max="1452" width="17.33203125" bestFit="1" customWidth="1"/>
    <col min="1453" max="1453" width="11" bestFit="1" customWidth="1"/>
    <col min="1454" max="1454" width="17.33203125" bestFit="1" customWidth="1"/>
    <col min="1455" max="1455" width="11" bestFit="1" customWidth="1"/>
    <col min="1456" max="1456" width="17.33203125" bestFit="1" customWidth="1"/>
    <col min="1457" max="1457" width="11" bestFit="1" customWidth="1"/>
    <col min="1458" max="1458" width="17.33203125" bestFit="1" customWidth="1"/>
    <col min="1459" max="1459" width="11" bestFit="1" customWidth="1"/>
    <col min="1460" max="1460" width="17.33203125" bestFit="1" customWidth="1"/>
    <col min="1461" max="1461" width="11" bestFit="1" customWidth="1"/>
    <col min="1462" max="1462" width="17.33203125" bestFit="1" customWidth="1"/>
    <col min="1463" max="1463" width="11" bestFit="1" customWidth="1"/>
    <col min="1464" max="1464" width="17.33203125" bestFit="1" customWidth="1"/>
    <col min="1465" max="1465" width="11" bestFit="1" customWidth="1"/>
    <col min="1466" max="1466" width="17.33203125" bestFit="1" customWidth="1"/>
    <col min="1467" max="1467" width="11" bestFit="1" customWidth="1"/>
    <col min="1468" max="1468" width="17.33203125" bestFit="1" customWidth="1"/>
    <col min="1469" max="1469" width="11" bestFit="1" customWidth="1"/>
    <col min="1470" max="1470" width="17.33203125" bestFit="1" customWidth="1"/>
    <col min="1471" max="1471" width="11" bestFit="1" customWidth="1"/>
    <col min="1472" max="1472" width="17.33203125" bestFit="1" customWidth="1"/>
    <col min="1473" max="1473" width="11" bestFit="1" customWidth="1"/>
    <col min="1474" max="1474" width="17.33203125" bestFit="1" customWidth="1"/>
    <col min="1475" max="1475" width="11" bestFit="1" customWidth="1"/>
    <col min="1476" max="1476" width="17.33203125" bestFit="1" customWidth="1"/>
    <col min="1477" max="1477" width="11" bestFit="1" customWidth="1"/>
    <col min="1478" max="1478" width="17.33203125" bestFit="1" customWidth="1"/>
    <col min="1479" max="1479" width="11" bestFit="1" customWidth="1"/>
    <col min="1480" max="1480" width="17.33203125" bestFit="1" customWidth="1"/>
    <col min="1481" max="1481" width="11" bestFit="1" customWidth="1"/>
    <col min="1482" max="1482" width="17.33203125" bestFit="1" customWidth="1"/>
    <col min="1483" max="1483" width="11" bestFit="1" customWidth="1"/>
    <col min="1484" max="1484" width="17.33203125" bestFit="1" customWidth="1"/>
    <col min="1485" max="1485" width="11" bestFit="1" customWidth="1"/>
    <col min="1486" max="1486" width="17.33203125" bestFit="1" customWidth="1"/>
    <col min="1487" max="1487" width="11" bestFit="1" customWidth="1"/>
    <col min="1488" max="1488" width="17.33203125" bestFit="1" customWidth="1"/>
    <col min="1489" max="1489" width="11" bestFit="1" customWidth="1"/>
    <col min="1490" max="1490" width="17.33203125" bestFit="1" customWidth="1"/>
    <col min="1491" max="1491" width="11" bestFit="1" customWidth="1"/>
    <col min="1492" max="1492" width="17.33203125" bestFit="1" customWidth="1"/>
    <col min="1493" max="1493" width="11" bestFit="1" customWidth="1"/>
    <col min="1494" max="1494" width="17.33203125" bestFit="1" customWidth="1"/>
    <col min="1495" max="1495" width="11" bestFit="1" customWidth="1"/>
    <col min="1496" max="1496" width="17.33203125" bestFit="1" customWidth="1"/>
    <col min="1497" max="1497" width="11" bestFit="1" customWidth="1"/>
    <col min="1498" max="1498" width="17.33203125" bestFit="1" customWidth="1"/>
    <col min="1499" max="1499" width="11" bestFit="1" customWidth="1"/>
    <col min="1500" max="1500" width="17.33203125" bestFit="1" customWidth="1"/>
    <col min="1501" max="1501" width="11" bestFit="1" customWidth="1"/>
    <col min="1502" max="1502" width="17.33203125" bestFit="1" customWidth="1"/>
    <col min="1503" max="1503" width="11" bestFit="1" customWidth="1"/>
    <col min="1504" max="1504" width="17.33203125" bestFit="1" customWidth="1"/>
    <col min="1505" max="1505" width="11" bestFit="1" customWidth="1"/>
    <col min="1506" max="1506" width="17.33203125" bestFit="1" customWidth="1"/>
    <col min="1507" max="1507" width="11" bestFit="1" customWidth="1"/>
    <col min="1508" max="1508" width="17.33203125" bestFit="1" customWidth="1"/>
    <col min="1509" max="1509" width="11" bestFit="1" customWidth="1"/>
    <col min="1510" max="1510" width="17.33203125" bestFit="1" customWidth="1"/>
    <col min="1511" max="1511" width="11" bestFit="1" customWidth="1"/>
    <col min="1512" max="1512" width="17.33203125" bestFit="1" customWidth="1"/>
    <col min="1513" max="1513" width="11" bestFit="1" customWidth="1"/>
    <col min="1514" max="1514" width="17.33203125" bestFit="1" customWidth="1"/>
    <col min="1515" max="1515" width="11" bestFit="1" customWidth="1"/>
    <col min="1516" max="1516" width="17.33203125" bestFit="1" customWidth="1"/>
    <col min="1517" max="1517" width="11" bestFit="1" customWidth="1"/>
    <col min="1518" max="1518" width="17.33203125" bestFit="1" customWidth="1"/>
    <col min="1519" max="1519" width="11" bestFit="1" customWidth="1"/>
    <col min="1520" max="1520" width="17.33203125" bestFit="1" customWidth="1"/>
    <col min="1521" max="1521" width="11" bestFit="1" customWidth="1"/>
    <col min="1522" max="1522" width="17.33203125" bestFit="1" customWidth="1"/>
    <col min="1523" max="1523" width="11" bestFit="1" customWidth="1"/>
    <col min="1524" max="1524" width="17.33203125" bestFit="1" customWidth="1"/>
    <col min="1525" max="1525" width="11" bestFit="1" customWidth="1"/>
    <col min="1526" max="1526" width="17.33203125" bestFit="1" customWidth="1"/>
    <col min="1527" max="1527" width="11" bestFit="1" customWidth="1"/>
    <col min="1528" max="1528" width="17.33203125" bestFit="1" customWidth="1"/>
    <col min="1529" max="1529" width="11" bestFit="1" customWidth="1"/>
    <col min="1530" max="1530" width="17.33203125" bestFit="1" customWidth="1"/>
    <col min="1531" max="1531" width="11" bestFit="1" customWidth="1"/>
    <col min="1532" max="1532" width="17.33203125" bestFit="1" customWidth="1"/>
    <col min="1533" max="1533" width="11" bestFit="1" customWidth="1"/>
    <col min="1534" max="1534" width="17.33203125" bestFit="1" customWidth="1"/>
    <col min="1535" max="1535" width="11" bestFit="1" customWidth="1"/>
    <col min="1536" max="1536" width="17.33203125" bestFit="1" customWidth="1"/>
    <col min="1537" max="1537" width="11" bestFit="1" customWidth="1"/>
    <col min="1538" max="1538" width="17.33203125" bestFit="1" customWidth="1"/>
    <col min="1539" max="1539" width="11" bestFit="1" customWidth="1"/>
    <col min="1540" max="1540" width="17.33203125" bestFit="1" customWidth="1"/>
    <col min="1541" max="1541" width="11" bestFit="1" customWidth="1"/>
    <col min="1542" max="1542" width="17.33203125" bestFit="1" customWidth="1"/>
    <col min="1543" max="1543" width="11" bestFit="1" customWidth="1"/>
    <col min="1544" max="1544" width="17.33203125" bestFit="1" customWidth="1"/>
    <col min="1545" max="1545" width="11" bestFit="1" customWidth="1"/>
    <col min="1546" max="1546" width="17.33203125" bestFit="1" customWidth="1"/>
    <col min="1547" max="1547" width="11" bestFit="1" customWidth="1"/>
    <col min="1548" max="1548" width="17.33203125" bestFit="1" customWidth="1"/>
    <col min="1549" max="1549" width="11" bestFit="1" customWidth="1"/>
    <col min="1550" max="1550" width="17.33203125" bestFit="1" customWidth="1"/>
    <col min="1551" max="1551" width="11" bestFit="1" customWidth="1"/>
    <col min="1552" max="1552" width="17.33203125" bestFit="1" customWidth="1"/>
    <col min="1553" max="1553" width="11" bestFit="1" customWidth="1"/>
    <col min="1554" max="1554" width="17.33203125" bestFit="1" customWidth="1"/>
    <col min="1555" max="1555" width="11" bestFit="1" customWidth="1"/>
    <col min="1556" max="1556" width="17.33203125" bestFit="1" customWidth="1"/>
    <col min="1557" max="1557" width="11" bestFit="1" customWidth="1"/>
    <col min="1558" max="1558" width="17.33203125" bestFit="1" customWidth="1"/>
    <col min="1559" max="1559" width="11" bestFit="1" customWidth="1"/>
    <col min="1560" max="1560" width="17.33203125" bestFit="1" customWidth="1"/>
    <col min="1561" max="1561" width="11" bestFit="1" customWidth="1"/>
    <col min="1562" max="1562" width="17.33203125" bestFit="1" customWidth="1"/>
    <col min="1563" max="1563" width="11" bestFit="1" customWidth="1"/>
    <col min="1564" max="1564" width="17.33203125" bestFit="1" customWidth="1"/>
    <col min="1565" max="1565" width="11" bestFit="1" customWidth="1"/>
    <col min="1566" max="1566" width="17.33203125" bestFit="1" customWidth="1"/>
    <col min="1567" max="1567" width="11" bestFit="1" customWidth="1"/>
    <col min="1568" max="1568" width="17.33203125" bestFit="1" customWidth="1"/>
    <col min="1569" max="1569" width="11" bestFit="1" customWidth="1"/>
    <col min="1570" max="1570" width="17.33203125" bestFit="1" customWidth="1"/>
    <col min="1571" max="1571" width="11" bestFit="1" customWidth="1"/>
    <col min="1572" max="1572" width="17.33203125" bestFit="1" customWidth="1"/>
    <col min="1573" max="1573" width="11" bestFit="1" customWidth="1"/>
    <col min="1574" max="1574" width="17.33203125" bestFit="1" customWidth="1"/>
    <col min="1575" max="1575" width="11" bestFit="1" customWidth="1"/>
    <col min="1576" max="1576" width="17.33203125" bestFit="1" customWidth="1"/>
    <col min="1577" max="1577" width="11" bestFit="1" customWidth="1"/>
    <col min="1578" max="1578" width="17.33203125" bestFit="1" customWidth="1"/>
    <col min="1579" max="1579" width="11" bestFit="1" customWidth="1"/>
    <col min="1580" max="1580" width="17.33203125" bestFit="1" customWidth="1"/>
    <col min="1581" max="1581" width="11" bestFit="1" customWidth="1"/>
    <col min="1582" max="1582" width="17.33203125" bestFit="1" customWidth="1"/>
    <col min="1583" max="1583" width="11" bestFit="1" customWidth="1"/>
    <col min="1584" max="1584" width="17.33203125" bestFit="1" customWidth="1"/>
    <col min="1585" max="1585" width="11" bestFit="1" customWidth="1"/>
    <col min="1586" max="1586" width="17.33203125" bestFit="1" customWidth="1"/>
    <col min="1587" max="1587" width="11" bestFit="1" customWidth="1"/>
    <col min="1588" max="1588" width="17.33203125" bestFit="1" customWidth="1"/>
    <col min="1589" max="1589" width="11" bestFit="1" customWidth="1"/>
    <col min="1590" max="1590" width="17.33203125" bestFit="1" customWidth="1"/>
    <col min="1591" max="1591" width="11" bestFit="1" customWidth="1"/>
    <col min="1592" max="1592" width="17.33203125" bestFit="1" customWidth="1"/>
    <col min="1593" max="1593" width="11" bestFit="1" customWidth="1"/>
    <col min="1594" max="1594" width="17.33203125" bestFit="1" customWidth="1"/>
    <col min="1595" max="1595" width="11" bestFit="1" customWidth="1"/>
    <col min="1596" max="1596" width="17.33203125" bestFit="1" customWidth="1"/>
    <col min="1597" max="1597" width="11" bestFit="1" customWidth="1"/>
    <col min="1598" max="1598" width="17.33203125" bestFit="1" customWidth="1"/>
    <col min="1599" max="1599" width="11" bestFit="1" customWidth="1"/>
    <col min="1600" max="1600" width="17.33203125" bestFit="1" customWidth="1"/>
    <col min="1601" max="1601" width="11" bestFit="1" customWidth="1"/>
    <col min="1602" max="1602" width="17.33203125" bestFit="1" customWidth="1"/>
    <col min="1603" max="1603" width="11" bestFit="1" customWidth="1"/>
    <col min="1604" max="1604" width="17.33203125" bestFit="1" customWidth="1"/>
    <col min="1605" max="1605" width="11" bestFit="1" customWidth="1"/>
    <col min="1606" max="1606" width="17.33203125" bestFit="1" customWidth="1"/>
    <col min="1607" max="1607" width="11" bestFit="1" customWidth="1"/>
    <col min="1608" max="1608" width="17.33203125" bestFit="1" customWidth="1"/>
    <col min="1609" max="1609" width="11" bestFit="1" customWidth="1"/>
    <col min="1610" max="1610" width="17.33203125" bestFit="1" customWidth="1"/>
    <col min="1611" max="1611" width="11" bestFit="1" customWidth="1"/>
    <col min="1612" max="1612" width="17.33203125" bestFit="1" customWidth="1"/>
    <col min="1613" max="1613" width="11" bestFit="1" customWidth="1"/>
    <col min="1614" max="1614" width="17.33203125" bestFit="1" customWidth="1"/>
    <col min="1615" max="1615" width="11" bestFit="1" customWidth="1"/>
    <col min="1616" max="1616" width="17.33203125" bestFit="1" customWidth="1"/>
    <col min="1617" max="1617" width="11" bestFit="1" customWidth="1"/>
    <col min="1618" max="1618" width="17.33203125" bestFit="1" customWidth="1"/>
    <col min="1619" max="1619" width="11" bestFit="1" customWidth="1"/>
    <col min="1620" max="1620" width="17.33203125" bestFit="1" customWidth="1"/>
    <col min="1621" max="1621" width="11" bestFit="1" customWidth="1"/>
    <col min="1622" max="1622" width="17.33203125" bestFit="1" customWidth="1"/>
    <col min="1623" max="1623" width="11" bestFit="1" customWidth="1"/>
    <col min="1624" max="1624" width="17.33203125" bestFit="1" customWidth="1"/>
    <col min="1625" max="1625" width="11" bestFit="1" customWidth="1"/>
    <col min="1626" max="1626" width="17.33203125" bestFit="1" customWidth="1"/>
    <col min="1627" max="1627" width="11" bestFit="1" customWidth="1"/>
    <col min="1628" max="1628" width="17.33203125" bestFit="1" customWidth="1"/>
    <col min="1629" max="1629" width="11" bestFit="1" customWidth="1"/>
    <col min="1630" max="1630" width="17.33203125" bestFit="1" customWidth="1"/>
    <col min="1631" max="1631" width="11" bestFit="1" customWidth="1"/>
    <col min="1632" max="1632" width="17.33203125" bestFit="1" customWidth="1"/>
    <col min="1633" max="1633" width="11" bestFit="1" customWidth="1"/>
    <col min="1634" max="1634" width="17.33203125" bestFit="1" customWidth="1"/>
    <col min="1635" max="1635" width="11" bestFit="1" customWidth="1"/>
    <col min="1636" max="1636" width="17.33203125" bestFit="1" customWidth="1"/>
    <col min="1637" max="1637" width="11" bestFit="1" customWidth="1"/>
    <col min="1638" max="1638" width="17.33203125" bestFit="1" customWidth="1"/>
    <col min="1639" max="1639" width="11" bestFit="1" customWidth="1"/>
    <col min="1640" max="1640" width="17.33203125" bestFit="1" customWidth="1"/>
    <col min="1641" max="1641" width="11" bestFit="1" customWidth="1"/>
    <col min="1642" max="1642" width="17.33203125" bestFit="1" customWidth="1"/>
    <col min="1643" max="1643" width="11" bestFit="1" customWidth="1"/>
    <col min="1644" max="1644" width="17.33203125" bestFit="1" customWidth="1"/>
    <col min="1645" max="1645" width="11" bestFit="1" customWidth="1"/>
    <col min="1646" max="1646" width="17.33203125" bestFit="1" customWidth="1"/>
    <col min="1647" max="1647" width="11" bestFit="1" customWidth="1"/>
    <col min="1648" max="1648" width="17.33203125" bestFit="1" customWidth="1"/>
    <col min="1649" max="1649" width="11" bestFit="1" customWidth="1"/>
    <col min="1650" max="1650" width="17.33203125" bestFit="1" customWidth="1"/>
    <col min="1651" max="1651" width="11" bestFit="1" customWidth="1"/>
    <col min="1652" max="1652" width="17.33203125" bestFit="1" customWidth="1"/>
    <col min="1653" max="1653" width="11" bestFit="1" customWidth="1"/>
    <col min="1654" max="1654" width="17.33203125" bestFit="1" customWidth="1"/>
    <col min="1655" max="1655" width="11" bestFit="1" customWidth="1"/>
    <col min="1656" max="1656" width="17.33203125" bestFit="1" customWidth="1"/>
    <col min="1657" max="1657" width="11" bestFit="1" customWidth="1"/>
    <col min="1658" max="1658" width="17.33203125" bestFit="1" customWidth="1"/>
    <col min="1659" max="1659" width="11" bestFit="1" customWidth="1"/>
    <col min="1660" max="1660" width="17.33203125" bestFit="1" customWidth="1"/>
    <col min="1661" max="1661" width="11" bestFit="1" customWidth="1"/>
    <col min="1662" max="1662" width="17.33203125" bestFit="1" customWidth="1"/>
    <col min="1663" max="1663" width="11" bestFit="1" customWidth="1"/>
    <col min="1664" max="1664" width="17.33203125" bestFit="1" customWidth="1"/>
    <col min="1665" max="1665" width="11" bestFit="1" customWidth="1"/>
    <col min="1666" max="1666" width="17.33203125" bestFit="1" customWidth="1"/>
    <col min="1667" max="1667" width="11" bestFit="1" customWidth="1"/>
    <col min="1668" max="1668" width="17.33203125" bestFit="1" customWidth="1"/>
    <col min="1669" max="1669" width="11" bestFit="1" customWidth="1"/>
    <col min="1670" max="1670" width="17.33203125" bestFit="1" customWidth="1"/>
    <col min="1671" max="1671" width="11" bestFit="1" customWidth="1"/>
    <col min="1672" max="1672" width="17.33203125" bestFit="1" customWidth="1"/>
    <col min="1673" max="1673" width="11" bestFit="1" customWidth="1"/>
    <col min="1674" max="1674" width="17.33203125" bestFit="1" customWidth="1"/>
    <col min="1675" max="1675" width="11" bestFit="1" customWidth="1"/>
    <col min="1676" max="1676" width="17.33203125" bestFit="1" customWidth="1"/>
    <col min="1677" max="1677" width="11" bestFit="1" customWidth="1"/>
    <col min="1678" max="1678" width="17.33203125" bestFit="1" customWidth="1"/>
    <col min="1679" max="1679" width="11" bestFit="1" customWidth="1"/>
    <col min="1680" max="1680" width="17.33203125" bestFit="1" customWidth="1"/>
    <col min="1681" max="1681" width="11" bestFit="1" customWidth="1"/>
    <col min="1682" max="1682" width="17.33203125" bestFit="1" customWidth="1"/>
    <col min="1683" max="1683" width="11" bestFit="1" customWidth="1"/>
    <col min="1684" max="1684" width="17.33203125" bestFit="1" customWidth="1"/>
    <col min="1685" max="1685" width="11" bestFit="1" customWidth="1"/>
    <col min="1686" max="1686" width="17.33203125" bestFit="1" customWidth="1"/>
    <col min="1687" max="1687" width="11" bestFit="1" customWidth="1"/>
    <col min="1688" max="1688" width="17.33203125" bestFit="1" customWidth="1"/>
    <col min="1689" max="1689" width="11" bestFit="1" customWidth="1"/>
    <col min="1690" max="1690" width="17.33203125" bestFit="1" customWidth="1"/>
    <col min="1691" max="1691" width="11" bestFit="1" customWidth="1"/>
    <col min="1692" max="1692" width="17.33203125" bestFit="1" customWidth="1"/>
    <col min="1693" max="1693" width="11" bestFit="1" customWidth="1"/>
    <col min="1694" max="1694" width="17.33203125" bestFit="1" customWidth="1"/>
    <col min="1695" max="1695" width="11" bestFit="1" customWidth="1"/>
    <col min="1696" max="1696" width="17.33203125" bestFit="1" customWidth="1"/>
    <col min="1697" max="1697" width="11" bestFit="1" customWidth="1"/>
    <col min="1698" max="1698" width="17.33203125" bestFit="1" customWidth="1"/>
    <col min="1699" max="1699" width="11" bestFit="1" customWidth="1"/>
    <col min="1700" max="1700" width="17.33203125" bestFit="1" customWidth="1"/>
    <col min="1701" max="1701" width="11" bestFit="1" customWidth="1"/>
    <col min="1702" max="1702" width="17.33203125" bestFit="1" customWidth="1"/>
    <col min="1703" max="1703" width="11" bestFit="1" customWidth="1"/>
    <col min="1704" max="1704" width="17.33203125" bestFit="1" customWidth="1"/>
    <col min="1705" max="1705" width="11" bestFit="1" customWidth="1"/>
    <col min="1706" max="1706" width="17.33203125" bestFit="1" customWidth="1"/>
    <col min="1707" max="1707" width="11" bestFit="1" customWidth="1"/>
    <col min="1708" max="1708" width="17.33203125" bestFit="1" customWidth="1"/>
    <col min="1709" max="1709" width="11" bestFit="1" customWidth="1"/>
    <col min="1710" max="1710" width="17.33203125" bestFit="1" customWidth="1"/>
    <col min="1711" max="1711" width="11" bestFit="1" customWidth="1"/>
    <col min="1712" max="1712" width="17.33203125" bestFit="1" customWidth="1"/>
    <col min="1713" max="1713" width="11" bestFit="1" customWidth="1"/>
    <col min="1714" max="1714" width="17.33203125" bestFit="1" customWidth="1"/>
    <col min="1715" max="1715" width="11" bestFit="1" customWidth="1"/>
    <col min="1716" max="1716" width="17.33203125" bestFit="1" customWidth="1"/>
    <col min="1717" max="1717" width="11" bestFit="1" customWidth="1"/>
    <col min="1718" max="1718" width="17.33203125" bestFit="1" customWidth="1"/>
    <col min="1719" max="1719" width="11" bestFit="1" customWidth="1"/>
    <col min="1720" max="1720" width="17.33203125" bestFit="1" customWidth="1"/>
    <col min="1721" max="1721" width="11" bestFit="1" customWidth="1"/>
    <col min="1722" max="1722" width="17.33203125" bestFit="1" customWidth="1"/>
    <col min="1723" max="1723" width="11" bestFit="1" customWidth="1"/>
    <col min="1724" max="1724" width="17.33203125" bestFit="1" customWidth="1"/>
    <col min="1725" max="1725" width="11" bestFit="1" customWidth="1"/>
    <col min="1726" max="1726" width="17.33203125" bestFit="1" customWidth="1"/>
    <col min="1727" max="1727" width="11" bestFit="1" customWidth="1"/>
    <col min="1728" max="1728" width="17.33203125" bestFit="1" customWidth="1"/>
    <col min="1729" max="1729" width="11" bestFit="1" customWidth="1"/>
    <col min="1730" max="1730" width="17.33203125" bestFit="1" customWidth="1"/>
    <col min="1731" max="1731" width="11" bestFit="1" customWidth="1"/>
    <col min="1732" max="1732" width="17.33203125" bestFit="1" customWidth="1"/>
    <col min="1733" max="1733" width="11" bestFit="1" customWidth="1"/>
    <col min="1734" max="1734" width="17.33203125" bestFit="1" customWidth="1"/>
    <col min="1735" max="1735" width="11" bestFit="1" customWidth="1"/>
    <col min="1736" max="1736" width="17.33203125" bestFit="1" customWidth="1"/>
    <col min="1737" max="1737" width="11" bestFit="1" customWidth="1"/>
    <col min="1738" max="1738" width="17.33203125" bestFit="1" customWidth="1"/>
    <col min="1739" max="1739" width="11" bestFit="1" customWidth="1"/>
    <col min="1740" max="1740" width="17.33203125" bestFit="1" customWidth="1"/>
    <col min="1741" max="1741" width="11" bestFit="1" customWidth="1"/>
    <col min="1742" max="1742" width="17.33203125" bestFit="1" customWidth="1"/>
    <col min="1743" max="1743" width="11" bestFit="1" customWidth="1"/>
    <col min="1744" max="1744" width="17.33203125" bestFit="1" customWidth="1"/>
    <col min="1745" max="1745" width="11" bestFit="1" customWidth="1"/>
    <col min="1746" max="1746" width="17.33203125" bestFit="1" customWidth="1"/>
    <col min="1747" max="1747" width="11" bestFit="1" customWidth="1"/>
    <col min="1748" max="1748" width="17.33203125" bestFit="1" customWidth="1"/>
    <col min="1749" max="1749" width="11" bestFit="1" customWidth="1"/>
    <col min="1750" max="1750" width="17.33203125" bestFit="1" customWidth="1"/>
    <col min="1751" max="1751" width="11" bestFit="1" customWidth="1"/>
    <col min="1752" max="1752" width="17.33203125" bestFit="1" customWidth="1"/>
    <col min="1753" max="1753" width="11" bestFit="1" customWidth="1"/>
    <col min="1754" max="1754" width="17.33203125" bestFit="1" customWidth="1"/>
    <col min="1755" max="1755" width="11" bestFit="1" customWidth="1"/>
    <col min="1756" max="1756" width="17.33203125" bestFit="1" customWidth="1"/>
    <col min="1757" max="1757" width="11" bestFit="1" customWidth="1"/>
    <col min="1758" max="1758" width="17.33203125" bestFit="1" customWidth="1"/>
    <col min="1759" max="1759" width="11" bestFit="1" customWidth="1"/>
    <col min="1760" max="1760" width="17.33203125" bestFit="1" customWidth="1"/>
    <col min="1761" max="1761" width="11" bestFit="1" customWidth="1"/>
    <col min="1762" max="1762" width="17.33203125" bestFit="1" customWidth="1"/>
    <col min="1763" max="1763" width="11" bestFit="1" customWidth="1"/>
    <col min="1764" max="1764" width="17.33203125" bestFit="1" customWidth="1"/>
    <col min="1765" max="1765" width="11" bestFit="1" customWidth="1"/>
    <col min="1766" max="1766" width="17.33203125" bestFit="1" customWidth="1"/>
    <col min="1767" max="1767" width="11" bestFit="1" customWidth="1"/>
    <col min="1768" max="1768" width="17.33203125" bestFit="1" customWidth="1"/>
    <col min="1769" max="1769" width="11" bestFit="1" customWidth="1"/>
    <col min="1770" max="1770" width="17.33203125" bestFit="1" customWidth="1"/>
    <col min="1771" max="1771" width="11" bestFit="1" customWidth="1"/>
    <col min="1772" max="1772" width="17.33203125" bestFit="1" customWidth="1"/>
    <col min="1773" max="1773" width="11" bestFit="1" customWidth="1"/>
    <col min="1774" max="1774" width="17.33203125" bestFit="1" customWidth="1"/>
    <col min="1775" max="1775" width="11" bestFit="1" customWidth="1"/>
    <col min="1776" max="1776" width="17.33203125" bestFit="1" customWidth="1"/>
    <col min="1777" max="1777" width="11" bestFit="1" customWidth="1"/>
    <col min="1778" max="1778" width="17.33203125" bestFit="1" customWidth="1"/>
    <col min="1779" max="1779" width="11" bestFit="1" customWidth="1"/>
    <col min="1780" max="1780" width="17.33203125" bestFit="1" customWidth="1"/>
    <col min="1781" max="1781" width="11" bestFit="1" customWidth="1"/>
    <col min="1782" max="1782" width="17.33203125" bestFit="1" customWidth="1"/>
    <col min="1783" max="1783" width="11" bestFit="1" customWidth="1"/>
    <col min="1784" max="1784" width="17.33203125" bestFit="1" customWidth="1"/>
    <col min="1785" max="1785" width="11" bestFit="1" customWidth="1"/>
    <col min="1786" max="1786" width="17.33203125" bestFit="1" customWidth="1"/>
    <col min="1787" max="1787" width="11" bestFit="1" customWidth="1"/>
    <col min="1788" max="1788" width="17.33203125" bestFit="1" customWidth="1"/>
    <col min="1789" max="1789" width="11" bestFit="1" customWidth="1"/>
    <col min="1790" max="1790" width="17.33203125" bestFit="1" customWidth="1"/>
    <col min="1791" max="1791" width="11" bestFit="1" customWidth="1"/>
    <col min="1792" max="1792" width="17.33203125" bestFit="1" customWidth="1"/>
    <col min="1793" max="1793" width="11" bestFit="1" customWidth="1"/>
    <col min="1794" max="1794" width="17.33203125" bestFit="1" customWidth="1"/>
    <col min="1795" max="1795" width="11" bestFit="1" customWidth="1"/>
    <col min="1796" max="1796" width="17.33203125" bestFit="1" customWidth="1"/>
    <col min="1797" max="1797" width="11" bestFit="1" customWidth="1"/>
    <col min="1798" max="1798" width="17.33203125" bestFit="1" customWidth="1"/>
    <col min="1799" max="1799" width="11" bestFit="1" customWidth="1"/>
    <col min="1800" max="1800" width="17.33203125" bestFit="1" customWidth="1"/>
    <col min="1801" max="1801" width="11" bestFit="1" customWidth="1"/>
    <col min="1802" max="1802" width="17.33203125" bestFit="1" customWidth="1"/>
    <col min="1803" max="1803" width="11" bestFit="1" customWidth="1"/>
    <col min="1804" max="1804" width="17.33203125" bestFit="1" customWidth="1"/>
    <col min="1805" max="1805" width="11" bestFit="1" customWidth="1"/>
    <col min="1806" max="1806" width="17.33203125" bestFit="1" customWidth="1"/>
    <col min="1807" max="1807" width="11" bestFit="1" customWidth="1"/>
    <col min="1808" max="1808" width="17.33203125" bestFit="1" customWidth="1"/>
    <col min="1809" max="1809" width="11" bestFit="1" customWidth="1"/>
    <col min="1810" max="1810" width="17.33203125" bestFit="1" customWidth="1"/>
    <col min="1811" max="1811" width="11" bestFit="1" customWidth="1"/>
    <col min="1812" max="1812" width="17.33203125" bestFit="1" customWidth="1"/>
    <col min="1813" max="1813" width="11" bestFit="1" customWidth="1"/>
    <col min="1814" max="1814" width="17.33203125" bestFit="1" customWidth="1"/>
    <col min="1815" max="1815" width="11" bestFit="1" customWidth="1"/>
    <col min="1816" max="1816" width="17.33203125" bestFit="1" customWidth="1"/>
    <col min="1817" max="1817" width="11" bestFit="1" customWidth="1"/>
    <col min="1818" max="1818" width="17.33203125" bestFit="1" customWidth="1"/>
    <col min="1819" max="1819" width="11" bestFit="1" customWidth="1"/>
    <col min="1820" max="1820" width="17.33203125" bestFit="1" customWidth="1"/>
    <col min="1821" max="1821" width="11" bestFit="1" customWidth="1"/>
    <col min="1822" max="1822" width="17.33203125" bestFit="1" customWidth="1"/>
    <col min="1823" max="1823" width="11" bestFit="1" customWidth="1"/>
    <col min="1824" max="1824" width="17.33203125" bestFit="1" customWidth="1"/>
    <col min="1825" max="1825" width="11" bestFit="1" customWidth="1"/>
    <col min="1826" max="1826" width="17.33203125" bestFit="1" customWidth="1"/>
    <col min="1827" max="1827" width="11" bestFit="1" customWidth="1"/>
    <col min="1828" max="1828" width="17.33203125" bestFit="1" customWidth="1"/>
    <col min="1829" max="1829" width="11" bestFit="1" customWidth="1"/>
    <col min="1830" max="1830" width="17.33203125" bestFit="1" customWidth="1"/>
    <col min="1831" max="1831" width="11" bestFit="1" customWidth="1"/>
    <col min="1832" max="1832" width="17.33203125" bestFit="1" customWidth="1"/>
    <col min="1833" max="1833" width="11" bestFit="1" customWidth="1"/>
    <col min="1834" max="1834" width="17.33203125" bestFit="1" customWidth="1"/>
    <col min="1835" max="1835" width="11" bestFit="1" customWidth="1"/>
    <col min="1836" max="1836" width="17.33203125" bestFit="1" customWidth="1"/>
    <col min="1837" max="1837" width="11" bestFit="1" customWidth="1"/>
    <col min="1838" max="1838" width="17.33203125" bestFit="1" customWidth="1"/>
    <col min="1839" max="1839" width="11" bestFit="1" customWidth="1"/>
    <col min="1840" max="1840" width="17.33203125" bestFit="1" customWidth="1"/>
    <col min="1841" max="1841" width="11" bestFit="1" customWidth="1"/>
    <col min="1842" max="1842" width="17.33203125" bestFit="1" customWidth="1"/>
    <col min="1843" max="1843" width="11" bestFit="1" customWidth="1"/>
    <col min="1844" max="1844" width="17.33203125" bestFit="1" customWidth="1"/>
    <col min="1845" max="1845" width="11" bestFit="1" customWidth="1"/>
    <col min="1846" max="1846" width="17.33203125" bestFit="1" customWidth="1"/>
    <col min="1847" max="1847" width="11" bestFit="1" customWidth="1"/>
    <col min="1848" max="1848" width="17.33203125" bestFit="1" customWidth="1"/>
    <col min="1849" max="1849" width="11" bestFit="1" customWidth="1"/>
    <col min="1850" max="1850" width="17.33203125" bestFit="1" customWidth="1"/>
    <col min="1851" max="1851" width="11" bestFit="1" customWidth="1"/>
    <col min="1852" max="1852" width="17.33203125" bestFit="1" customWidth="1"/>
    <col min="1853" max="1853" width="11" bestFit="1" customWidth="1"/>
    <col min="1854" max="1854" width="17.33203125" bestFit="1" customWidth="1"/>
    <col min="1855" max="1855" width="11" bestFit="1" customWidth="1"/>
    <col min="1856" max="1856" width="17.33203125" bestFit="1" customWidth="1"/>
    <col min="1857" max="1857" width="11" bestFit="1" customWidth="1"/>
    <col min="1858" max="1858" width="17.33203125" bestFit="1" customWidth="1"/>
    <col min="1859" max="1859" width="11" bestFit="1" customWidth="1"/>
    <col min="1860" max="1860" width="17.33203125" bestFit="1" customWidth="1"/>
    <col min="1861" max="1861" width="11" bestFit="1" customWidth="1"/>
    <col min="1862" max="1862" width="17.33203125" bestFit="1" customWidth="1"/>
    <col min="1863" max="1863" width="11" bestFit="1" customWidth="1"/>
    <col min="1864" max="1864" width="17.33203125" bestFit="1" customWidth="1"/>
    <col min="1865" max="1865" width="11" bestFit="1" customWidth="1"/>
    <col min="1866" max="1866" width="17.33203125" bestFit="1" customWidth="1"/>
    <col min="1867" max="1867" width="11" bestFit="1" customWidth="1"/>
    <col min="1868" max="1868" width="17.33203125" bestFit="1" customWidth="1"/>
    <col min="1869" max="1869" width="11" bestFit="1" customWidth="1"/>
    <col min="1870" max="1870" width="17.33203125" bestFit="1" customWidth="1"/>
    <col min="1871" max="1871" width="11" bestFit="1" customWidth="1"/>
    <col min="1872" max="1872" width="17.33203125" bestFit="1" customWidth="1"/>
    <col min="1873" max="1873" width="11" bestFit="1" customWidth="1"/>
    <col min="1874" max="1874" width="17.33203125" bestFit="1" customWidth="1"/>
    <col min="1875" max="1875" width="11" bestFit="1" customWidth="1"/>
    <col min="1876" max="1876" width="17.33203125" bestFit="1" customWidth="1"/>
    <col min="1877" max="1877" width="11" bestFit="1" customWidth="1"/>
    <col min="1878" max="1878" width="17.33203125" bestFit="1" customWidth="1"/>
    <col min="1879" max="1879" width="11" bestFit="1" customWidth="1"/>
    <col min="1880" max="1880" width="17.33203125" bestFit="1" customWidth="1"/>
    <col min="1881" max="1881" width="11" bestFit="1" customWidth="1"/>
    <col min="1882" max="1882" width="17.33203125" bestFit="1" customWidth="1"/>
    <col min="1883" max="1883" width="11" bestFit="1" customWidth="1"/>
    <col min="1884" max="1884" width="17.33203125" bestFit="1" customWidth="1"/>
    <col min="1885" max="1885" width="11" bestFit="1" customWidth="1"/>
    <col min="1886" max="1886" width="17.33203125" bestFit="1" customWidth="1"/>
    <col min="1887" max="1887" width="11" bestFit="1" customWidth="1"/>
    <col min="1888" max="1888" width="17.33203125" bestFit="1" customWidth="1"/>
    <col min="1889" max="1889" width="11" bestFit="1" customWidth="1"/>
    <col min="1890" max="1890" width="17.33203125" bestFit="1" customWidth="1"/>
    <col min="1891" max="1891" width="11" bestFit="1" customWidth="1"/>
    <col min="1892" max="1892" width="17.33203125" bestFit="1" customWidth="1"/>
    <col min="1893" max="1893" width="11" bestFit="1" customWidth="1"/>
    <col min="1894" max="1894" width="17.33203125" bestFit="1" customWidth="1"/>
    <col min="1895" max="1895" width="11" bestFit="1" customWidth="1"/>
    <col min="1896" max="1896" width="17.33203125" bestFit="1" customWidth="1"/>
    <col min="1897" max="1897" width="11" bestFit="1" customWidth="1"/>
    <col min="1898" max="1898" width="17.33203125" bestFit="1" customWidth="1"/>
    <col min="1899" max="1899" width="11" bestFit="1" customWidth="1"/>
    <col min="1900" max="1900" width="17.33203125" bestFit="1" customWidth="1"/>
    <col min="1901" max="1901" width="11" bestFit="1" customWidth="1"/>
    <col min="1902" max="1902" width="17.33203125" bestFit="1" customWidth="1"/>
    <col min="1903" max="1903" width="11" bestFit="1" customWidth="1"/>
    <col min="1904" max="1904" width="17.33203125" bestFit="1" customWidth="1"/>
    <col min="1905" max="1905" width="11" bestFit="1" customWidth="1"/>
    <col min="1906" max="1906" width="17.33203125" bestFit="1" customWidth="1"/>
    <col min="1907" max="1907" width="11" bestFit="1" customWidth="1"/>
    <col min="1908" max="1908" width="17.33203125" bestFit="1" customWidth="1"/>
    <col min="1909" max="1909" width="11" bestFit="1" customWidth="1"/>
    <col min="1910" max="1910" width="17.33203125" bestFit="1" customWidth="1"/>
    <col min="1911" max="1911" width="11" bestFit="1" customWidth="1"/>
    <col min="1912" max="1912" width="17.33203125" bestFit="1" customWidth="1"/>
    <col min="1913" max="1913" width="11" bestFit="1" customWidth="1"/>
    <col min="1914" max="1914" width="17.33203125" bestFit="1" customWidth="1"/>
    <col min="1915" max="1915" width="11" bestFit="1" customWidth="1"/>
    <col min="1916" max="1916" width="17.33203125" bestFit="1" customWidth="1"/>
    <col min="1917" max="1917" width="11" bestFit="1" customWidth="1"/>
    <col min="1918" max="1918" width="17.33203125" bestFit="1" customWidth="1"/>
    <col min="1919" max="1919" width="11" bestFit="1" customWidth="1"/>
    <col min="1920" max="1920" width="17.33203125" bestFit="1" customWidth="1"/>
    <col min="1921" max="1921" width="11" bestFit="1" customWidth="1"/>
    <col min="1922" max="1922" width="17.33203125" bestFit="1" customWidth="1"/>
    <col min="1923" max="1923" width="11" bestFit="1" customWidth="1"/>
    <col min="1924" max="1924" width="17.33203125" bestFit="1" customWidth="1"/>
    <col min="1925" max="1925" width="11" bestFit="1" customWidth="1"/>
    <col min="1926" max="1926" width="17.33203125" bestFit="1" customWidth="1"/>
    <col min="1927" max="1927" width="11" bestFit="1" customWidth="1"/>
    <col min="1928" max="1928" width="17.33203125" bestFit="1" customWidth="1"/>
    <col min="1929" max="1929" width="11" bestFit="1" customWidth="1"/>
    <col min="1930" max="1930" width="17.33203125" bestFit="1" customWidth="1"/>
    <col min="1931" max="1931" width="11" bestFit="1" customWidth="1"/>
    <col min="1932" max="1932" width="17.33203125" bestFit="1" customWidth="1"/>
    <col min="1933" max="1933" width="11" bestFit="1" customWidth="1"/>
    <col min="1934" max="1934" width="17.33203125" bestFit="1" customWidth="1"/>
    <col min="1935" max="1935" width="11" bestFit="1" customWidth="1"/>
    <col min="1936" max="1936" width="17.33203125" bestFit="1" customWidth="1"/>
    <col min="1937" max="1937" width="11" bestFit="1" customWidth="1"/>
    <col min="1938" max="1938" width="17.33203125" bestFit="1" customWidth="1"/>
    <col min="1939" max="1939" width="11" bestFit="1" customWidth="1"/>
    <col min="1940" max="1940" width="17.33203125" bestFit="1" customWidth="1"/>
    <col min="1941" max="1941" width="11" bestFit="1" customWidth="1"/>
    <col min="1942" max="1942" width="17.33203125" bestFit="1" customWidth="1"/>
    <col min="1943" max="1943" width="11" bestFit="1" customWidth="1"/>
    <col min="1944" max="1944" width="17.33203125" bestFit="1" customWidth="1"/>
    <col min="1945" max="1945" width="11" bestFit="1" customWidth="1"/>
    <col min="1946" max="1946" width="17.33203125" bestFit="1" customWidth="1"/>
    <col min="1947" max="1947" width="11" bestFit="1" customWidth="1"/>
    <col min="1948" max="1948" width="17.33203125" bestFit="1" customWidth="1"/>
    <col min="1949" max="1949" width="11" bestFit="1" customWidth="1"/>
    <col min="1950" max="1950" width="17.33203125" bestFit="1" customWidth="1"/>
    <col min="1951" max="1951" width="11" bestFit="1" customWidth="1"/>
    <col min="1952" max="1952" width="17.33203125" bestFit="1" customWidth="1"/>
    <col min="1953" max="1953" width="11" bestFit="1" customWidth="1"/>
    <col min="1954" max="1954" width="17.33203125" bestFit="1" customWidth="1"/>
    <col min="1955" max="1955" width="11" bestFit="1" customWidth="1"/>
    <col min="1956" max="1956" width="17.33203125" bestFit="1" customWidth="1"/>
    <col min="1957" max="1957" width="11" bestFit="1" customWidth="1"/>
    <col min="1958" max="1958" width="17.33203125" bestFit="1" customWidth="1"/>
    <col min="1959" max="1959" width="11" bestFit="1" customWidth="1"/>
    <col min="1960" max="1960" width="17.33203125" bestFit="1" customWidth="1"/>
    <col min="1961" max="1961" width="11" bestFit="1" customWidth="1"/>
    <col min="1962" max="1962" width="17.33203125" bestFit="1" customWidth="1"/>
    <col min="1963" max="1963" width="11" bestFit="1" customWidth="1"/>
    <col min="1964" max="1964" width="17.33203125" bestFit="1" customWidth="1"/>
    <col min="1965" max="1965" width="11" bestFit="1" customWidth="1"/>
    <col min="1966" max="1966" width="17.33203125" bestFit="1" customWidth="1"/>
    <col min="1967" max="1967" width="11" bestFit="1" customWidth="1"/>
    <col min="1968" max="1968" width="17.33203125" bestFit="1" customWidth="1"/>
    <col min="1969" max="1969" width="11" bestFit="1" customWidth="1"/>
    <col min="1970" max="1970" width="17.33203125" bestFit="1" customWidth="1"/>
    <col min="1971" max="1971" width="11" bestFit="1" customWidth="1"/>
    <col min="1972" max="1972" width="17.33203125" bestFit="1" customWidth="1"/>
    <col min="1973" max="1973" width="11" bestFit="1" customWidth="1"/>
    <col min="1974" max="1974" width="17.33203125" bestFit="1" customWidth="1"/>
    <col min="1975" max="1975" width="11" bestFit="1" customWidth="1"/>
    <col min="1976" max="1976" width="17.33203125" bestFit="1" customWidth="1"/>
    <col min="1977" max="1977" width="11" bestFit="1" customWidth="1"/>
    <col min="1978" max="1978" width="17.33203125" bestFit="1" customWidth="1"/>
    <col min="1979" max="1979" width="11" bestFit="1" customWidth="1"/>
    <col min="1980" max="1980" width="17.33203125" bestFit="1" customWidth="1"/>
    <col min="1981" max="1981" width="11" bestFit="1" customWidth="1"/>
    <col min="1982" max="1982" width="17.33203125" bestFit="1" customWidth="1"/>
    <col min="1983" max="1983" width="11" bestFit="1" customWidth="1"/>
    <col min="1984" max="1984" width="17.33203125" bestFit="1" customWidth="1"/>
    <col min="1985" max="1985" width="11" bestFit="1" customWidth="1"/>
    <col min="1986" max="1986" width="17.33203125" bestFit="1" customWidth="1"/>
    <col min="1987" max="1987" width="11" bestFit="1" customWidth="1"/>
    <col min="1988" max="1988" width="17.33203125" bestFit="1" customWidth="1"/>
    <col min="1989" max="1989" width="11" bestFit="1" customWidth="1"/>
    <col min="1990" max="1990" width="17.33203125" bestFit="1" customWidth="1"/>
    <col min="1991" max="1991" width="11" bestFit="1" customWidth="1"/>
    <col min="1992" max="1992" width="17.33203125" bestFit="1" customWidth="1"/>
    <col min="1993" max="1993" width="11" bestFit="1" customWidth="1"/>
    <col min="1994" max="1994" width="17.33203125" bestFit="1" customWidth="1"/>
    <col min="1995" max="1995" width="11" bestFit="1" customWidth="1"/>
    <col min="1996" max="1996" width="17.33203125" bestFit="1" customWidth="1"/>
    <col min="1997" max="1997" width="11" bestFit="1" customWidth="1"/>
    <col min="1998" max="1998" width="17.33203125" bestFit="1" customWidth="1"/>
    <col min="1999" max="1999" width="11" bestFit="1" customWidth="1"/>
    <col min="2000" max="2000" width="17.33203125" bestFit="1" customWidth="1"/>
    <col min="2001" max="2001" width="11" bestFit="1" customWidth="1"/>
    <col min="2002" max="2002" width="17.33203125" bestFit="1" customWidth="1"/>
    <col min="2003" max="2003" width="11" bestFit="1" customWidth="1"/>
    <col min="2004" max="2004" width="17.33203125" bestFit="1" customWidth="1"/>
    <col min="2005" max="2005" width="11" bestFit="1" customWidth="1"/>
    <col min="2006" max="2006" width="17.33203125" bestFit="1" customWidth="1"/>
    <col min="2007" max="2007" width="11" bestFit="1" customWidth="1"/>
    <col min="2008" max="2008" width="17.33203125" bestFit="1" customWidth="1"/>
    <col min="2009" max="2009" width="11" bestFit="1" customWidth="1"/>
    <col min="2010" max="2010" width="17.33203125" bestFit="1" customWidth="1"/>
    <col min="2011" max="2011" width="11" bestFit="1" customWidth="1"/>
    <col min="2012" max="2012" width="17.33203125" bestFit="1" customWidth="1"/>
    <col min="2013" max="2013" width="11" bestFit="1" customWidth="1"/>
    <col min="2014" max="2014" width="17.33203125" bestFit="1" customWidth="1"/>
    <col min="2015" max="2015" width="11" bestFit="1" customWidth="1"/>
    <col min="2016" max="2016" width="17.33203125" bestFit="1" customWidth="1"/>
    <col min="2017" max="2017" width="11" bestFit="1" customWidth="1"/>
    <col min="2018" max="2018" width="17.33203125" bestFit="1" customWidth="1"/>
    <col min="2019" max="2019" width="11" bestFit="1" customWidth="1"/>
    <col min="2020" max="2020" width="17.33203125" bestFit="1" customWidth="1"/>
    <col min="2021" max="2021" width="11" bestFit="1" customWidth="1"/>
    <col min="2022" max="2022" width="17.33203125" bestFit="1" customWidth="1"/>
    <col min="2023" max="2023" width="11" bestFit="1" customWidth="1"/>
    <col min="2024" max="2024" width="17.33203125" bestFit="1" customWidth="1"/>
    <col min="2025" max="2025" width="11" bestFit="1" customWidth="1"/>
    <col min="2026" max="2026" width="17.33203125" bestFit="1" customWidth="1"/>
    <col min="2027" max="2027" width="11" bestFit="1" customWidth="1"/>
    <col min="2028" max="2028" width="17.33203125" bestFit="1" customWidth="1"/>
    <col min="2029" max="2029" width="11" bestFit="1" customWidth="1"/>
    <col min="2030" max="2030" width="17.33203125" bestFit="1" customWidth="1"/>
    <col min="2031" max="2031" width="11" bestFit="1" customWidth="1"/>
    <col min="2032" max="2032" width="17.33203125" bestFit="1" customWidth="1"/>
    <col min="2033" max="2033" width="11" bestFit="1" customWidth="1"/>
    <col min="2034" max="2034" width="17.33203125" bestFit="1" customWidth="1"/>
    <col min="2035" max="2035" width="11" bestFit="1" customWidth="1"/>
    <col min="2036" max="2036" width="17.33203125" bestFit="1" customWidth="1"/>
    <col min="2037" max="2037" width="11" bestFit="1" customWidth="1"/>
    <col min="2038" max="2038" width="17.33203125" bestFit="1" customWidth="1"/>
    <col min="2039" max="2039" width="11" bestFit="1" customWidth="1"/>
    <col min="2040" max="2040" width="17.33203125" bestFit="1" customWidth="1"/>
    <col min="2041" max="2041" width="11" bestFit="1" customWidth="1"/>
    <col min="2042" max="2042" width="17.33203125" bestFit="1" customWidth="1"/>
    <col min="2043" max="2043" width="11" bestFit="1" customWidth="1"/>
    <col min="2044" max="2044" width="17.33203125" bestFit="1" customWidth="1"/>
    <col min="2045" max="2045" width="11" bestFit="1" customWidth="1"/>
    <col min="2046" max="2046" width="17.33203125" bestFit="1" customWidth="1"/>
    <col min="2047" max="2047" width="11" bestFit="1" customWidth="1"/>
    <col min="2048" max="2048" width="17.33203125" bestFit="1" customWidth="1"/>
    <col min="2049" max="2049" width="11" bestFit="1" customWidth="1"/>
    <col min="2050" max="2050" width="17.33203125" bestFit="1" customWidth="1"/>
    <col min="2051" max="2051" width="11" bestFit="1" customWidth="1"/>
    <col min="2052" max="2052" width="17.33203125" bestFit="1" customWidth="1"/>
    <col min="2053" max="2053" width="11" bestFit="1" customWidth="1"/>
    <col min="2054" max="2054" width="17.33203125" bestFit="1" customWidth="1"/>
    <col min="2055" max="2055" width="11" bestFit="1" customWidth="1"/>
    <col min="2056" max="2056" width="17.33203125" bestFit="1" customWidth="1"/>
    <col min="2057" max="2057" width="11" bestFit="1" customWidth="1"/>
    <col min="2058" max="2058" width="17.33203125" bestFit="1" customWidth="1"/>
    <col min="2059" max="2059" width="11" bestFit="1" customWidth="1"/>
    <col min="2060" max="2060" width="17.33203125" bestFit="1" customWidth="1"/>
    <col min="2061" max="2061" width="11" bestFit="1" customWidth="1"/>
    <col min="2062" max="2062" width="17.33203125" bestFit="1" customWidth="1"/>
    <col min="2063" max="2063" width="11" bestFit="1" customWidth="1"/>
    <col min="2064" max="2064" width="17.33203125" bestFit="1" customWidth="1"/>
    <col min="2065" max="2065" width="11" bestFit="1" customWidth="1"/>
    <col min="2066" max="2066" width="17.33203125" bestFit="1" customWidth="1"/>
    <col min="2067" max="2067" width="11" bestFit="1" customWidth="1"/>
    <col min="2068" max="2068" width="17.33203125" bestFit="1" customWidth="1"/>
    <col min="2069" max="2069" width="11" bestFit="1" customWidth="1"/>
    <col min="2070" max="2070" width="17.33203125" bestFit="1" customWidth="1"/>
    <col min="2071" max="2071" width="11" bestFit="1" customWidth="1"/>
    <col min="2072" max="2072" width="17.33203125" bestFit="1" customWidth="1"/>
    <col min="2073" max="2073" width="11" bestFit="1" customWidth="1"/>
    <col min="2074" max="2074" width="17.33203125" bestFit="1" customWidth="1"/>
    <col min="2075" max="2075" width="11" bestFit="1" customWidth="1"/>
    <col min="2076" max="2076" width="17.33203125" bestFit="1" customWidth="1"/>
    <col min="2077" max="2077" width="11" bestFit="1" customWidth="1"/>
    <col min="2078" max="2078" width="17.33203125" bestFit="1" customWidth="1"/>
    <col min="2079" max="2079" width="11" bestFit="1" customWidth="1"/>
    <col min="2080" max="2080" width="17.33203125" bestFit="1" customWidth="1"/>
    <col min="2081" max="2081" width="11" bestFit="1" customWidth="1"/>
    <col min="2082" max="2082" width="17.33203125" bestFit="1" customWidth="1"/>
    <col min="2083" max="2083" width="11" bestFit="1" customWidth="1"/>
    <col min="2084" max="2084" width="17.33203125" bestFit="1" customWidth="1"/>
    <col min="2085" max="2085" width="11" bestFit="1" customWidth="1"/>
    <col min="2086" max="2086" width="17.33203125" bestFit="1" customWidth="1"/>
    <col min="2087" max="2087" width="11" bestFit="1" customWidth="1"/>
    <col min="2088" max="2088" width="17.33203125" bestFit="1" customWidth="1"/>
    <col min="2089" max="2089" width="11" bestFit="1" customWidth="1"/>
    <col min="2090" max="2090" width="17.33203125" bestFit="1" customWidth="1"/>
    <col min="2091" max="2091" width="11" bestFit="1" customWidth="1"/>
    <col min="2092" max="2092" width="17.33203125" bestFit="1" customWidth="1"/>
    <col min="2093" max="2093" width="11" bestFit="1" customWidth="1"/>
    <col min="2094" max="2094" width="17.33203125" bestFit="1" customWidth="1"/>
    <col min="2095" max="2095" width="11" bestFit="1" customWidth="1"/>
    <col min="2096" max="2096" width="17.33203125" bestFit="1" customWidth="1"/>
    <col min="2097" max="2097" width="11" bestFit="1" customWidth="1"/>
    <col min="2098" max="2098" width="17.33203125" bestFit="1" customWidth="1"/>
    <col min="2099" max="2099" width="11" bestFit="1" customWidth="1"/>
    <col min="2100" max="2100" width="17.33203125" bestFit="1" customWidth="1"/>
    <col min="2101" max="2101" width="11" bestFit="1" customWidth="1"/>
    <col min="2102" max="2102" width="17.33203125" bestFit="1" customWidth="1"/>
    <col min="2103" max="2103" width="11" bestFit="1" customWidth="1"/>
    <col min="2104" max="2104" width="17.33203125" bestFit="1" customWidth="1"/>
    <col min="2105" max="2105" width="11" bestFit="1" customWidth="1"/>
    <col min="2106" max="2106" width="17.33203125" bestFit="1" customWidth="1"/>
    <col min="2107" max="2107" width="11" bestFit="1" customWidth="1"/>
    <col min="2108" max="2108" width="17.33203125" bestFit="1" customWidth="1"/>
    <col min="2109" max="2109" width="11" bestFit="1" customWidth="1"/>
    <col min="2110" max="2110" width="17.33203125" bestFit="1" customWidth="1"/>
    <col min="2111" max="2111" width="11" bestFit="1" customWidth="1"/>
    <col min="2112" max="2112" width="17.33203125" bestFit="1" customWidth="1"/>
    <col min="2113" max="2113" width="11" bestFit="1" customWidth="1"/>
    <col min="2114" max="2114" width="17.33203125" bestFit="1" customWidth="1"/>
    <col min="2115" max="2115" width="11" bestFit="1" customWidth="1"/>
    <col min="2116" max="2116" width="17.33203125" bestFit="1" customWidth="1"/>
    <col min="2117" max="2117" width="11" bestFit="1" customWidth="1"/>
    <col min="2118" max="2118" width="17.33203125" bestFit="1" customWidth="1"/>
    <col min="2119" max="2119" width="11" bestFit="1" customWidth="1"/>
    <col min="2120" max="2120" width="17.33203125" bestFit="1" customWidth="1"/>
    <col min="2121" max="2121" width="11" bestFit="1" customWidth="1"/>
    <col min="2122" max="2122" width="17.33203125" bestFit="1" customWidth="1"/>
    <col min="2123" max="2123" width="11" bestFit="1" customWidth="1"/>
    <col min="2124" max="2124" width="17.33203125" bestFit="1" customWidth="1"/>
    <col min="2125" max="2125" width="11" bestFit="1" customWidth="1"/>
    <col min="2126" max="2126" width="17.33203125" bestFit="1" customWidth="1"/>
    <col min="2127" max="2127" width="11" bestFit="1" customWidth="1"/>
    <col min="2128" max="2128" width="17.33203125" bestFit="1" customWidth="1"/>
    <col min="2129" max="2129" width="11" bestFit="1" customWidth="1"/>
    <col min="2130" max="2130" width="17.33203125" bestFit="1" customWidth="1"/>
    <col min="2131" max="2131" width="11" bestFit="1" customWidth="1"/>
    <col min="2132" max="2132" width="17.33203125" bestFit="1" customWidth="1"/>
    <col min="2133" max="2133" width="11" bestFit="1" customWidth="1"/>
    <col min="2134" max="2134" width="17.33203125" bestFit="1" customWidth="1"/>
    <col min="2135" max="2135" width="11" bestFit="1" customWidth="1"/>
    <col min="2136" max="2136" width="17.33203125" bestFit="1" customWidth="1"/>
    <col min="2137" max="2137" width="11" bestFit="1" customWidth="1"/>
    <col min="2138" max="2138" width="17.33203125" bestFit="1" customWidth="1"/>
    <col min="2139" max="2139" width="11" bestFit="1" customWidth="1"/>
    <col min="2140" max="2140" width="17.33203125" bestFit="1" customWidth="1"/>
    <col min="2141" max="2141" width="11" bestFit="1" customWidth="1"/>
    <col min="2142" max="2142" width="17.33203125" bestFit="1" customWidth="1"/>
    <col min="2143" max="2143" width="11" bestFit="1" customWidth="1"/>
    <col min="2144" max="2144" width="17.33203125" bestFit="1" customWidth="1"/>
    <col min="2145" max="2145" width="11" bestFit="1" customWidth="1"/>
    <col min="2146" max="2146" width="17.33203125" bestFit="1" customWidth="1"/>
    <col min="2147" max="2147" width="11" bestFit="1" customWidth="1"/>
    <col min="2148" max="2148" width="17.33203125" bestFit="1" customWidth="1"/>
    <col min="2149" max="2149" width="11" bestFit="1" customWidth="1"/>
    <col min="2150" max="2150" width="17.33203125" bestFit="1" customWidth="1"/>
    <col min="2151" max="2151" width="11" bestFit="1" customWidth="1"/>
    <col min="2152" max="2152" width="17.33203125" bestFit="1" customWidth="1"/>
    <col min="2153" max="2153" width="11" bestFit="1" customWidth="1"/>
    <col min="2154" max="2154" width="17.33203125" bestFit="1" customWidth="1"/>
    <col min="2155" max="2155" width="11" bestFit="1" customWidth="1"/>
    <col min="2156" max="2156" width="17.33203125" bestFit="1" customWidth="1"/>
    <col min="2157" max="2157" width="11" bestFit="1" customWidth="1"/>
    <col min="2158" max="2158" width="17.33203125" bestFit="1" customWidth="1"/>
    <col min="2159" max="2159" width="11" bestFit="1" customWidth="1"/>
    <col min="2160" max="2160" width="17.33203125" bestFit="1" customWidth="1"/>
    <col min="2161" max="2161" width="11" bestFit="1" customWidth="1"/>
    <col min="2162" max="2162" width="17.33203125" bestFit="1" customWidth="1"/>
    <col min="2163" max="2163" width="11" bestFit="1" customWidth="1"/>
    <col min="2164" max="2164" width="17.33203125" bestFit="1" customWidth="1"/>
    <col min="2165" max="2165" width="11" bestFit="1" customWidth="1"/>
    <col min="2166" max="2166" width="17.33203125" bestFit="1" customWidth="1"/>
    <col min="2167" max="2167" width="11" bestFit="1" customWidth="1"/>
    <col min="2168" max="2168" width="17.33203125" bestFit="1" customWidth="1"/>
    <col min="2169" max="2169" width="11" bestFit="1" customWidth="1"/>
    <col min="2170" max="2170" width="17.33203125" bestFit="1" customWidth="1"/>
    <col min="2171" max="2171" width="11" bestFit="1" customWidth="1"/>
    <col min="2172" max="2172" width="17.33203125" bestFit="1" customWidth="1"/>
    <col min="2173" max="2173" width="11" bestFit="1" customWidth="1"/>
    <col min="2174" max="2174" width="17.33203125" bestFit="1" customWidth="1"/>
    <col min="2175" max="2175" width="11" bestFit="1" customWidth="1"/>
    <col min="2176" max="2176" width="17.33203125" bestFit="1" customWidth="1"/>
    <col min="2177" max="2177" width="11" bestFit="1" customWidth="1"/>
    <col min="2178" max="2178" width="17.33203125" bestFit="1" customWidth="1"/>
    <col min="2179" max="2179" width="11" bestFit="1" customWidth="1"/>
    <col min="2180" max="2180" width="17.33203125" bestFit="1" customWidth="1"/>
    <col min="2181" max="2181" width="11" bestFit="1" customWidth="1"/>
    <col min="2182" max="2182" width="17.33203125" bestFit="1" customWidth="1"/>
    <col min="2183" max="2183" width="11" bestFit="1" customWidth="1"/>
    <col min="2184" max="2184" width="17.33203125" bestFit="1" customWidth="1"/>
    <col min="2185" max="2185" width="11" bestFit="1" customWidth="1"/>
    <col min="2186" max="2186" width="17.33203125" bestFit="1" customWidth="1"/>
    <col min="2187" max="2187" width="11" bestFit="1" customWidth="1"/>
    <col min="2188" max="2188" width="17.33203125" bestFit="1" customWidth="1"/>
    <col min="2189" max="2189" width="11" bestFit="1" customWidth="1"/>
    <col min="2190" max="2190" width="17.33203125" bestFit="1" customWidth="1"/>
    <col min="2191" max="2191" width="11" bestFit="1" customWidth="1"/>
    <col min="2192" max="2192" width="17.33203125" bestFit="1" customWidth="1"/>
    <col min="2193" max="2193" width="11" bestFit="1" customWidth="1"/>
    <col min="2194" max="2194" width="17.33203125" bestFit="1" customWidth="1"/>
    <col min="2195" max="2195" width="11" bestFit="1" customWidth="1"/>
    <col min="2196" max="2196" width="17.33203125" bestFit="1" customWidth="1"/>
    <col min="2197" max="2197" width="11" bestFit="1" customWidth="1"/>
    <col min="2198" max="2198" width="17.33203125" bestFit="1" customWidth="1"/>
    <col min="2199" max="2199" width="11" bestFit="1" customWidth="1"/>
    <col min="2200" max="2200" width="17.33203125" bestFit="1" customWidth="1"/>
    <col min="2201" max="2201" width="11" bestFit="1" customWidth="1"/>
    <col min="2202" max="2202" width="17.33203125" bestFit="1" customWidth="1"/>
    <col min="2203" max="2203" width="11" bestFit="1" customWidth="1"/>
    <col min="2204" max="2204" width="17.33203125" bestFit="1" customWidth="1"/>
    <col min="2205" max="2205" width="11" bestFit="1" customWidth="1"/>
    <col min="2206" max="2206" width="17.33203125" bestFit="1" customWidth="1"/>
    <col min="2207" max="2207" width="11" bestFit="1" customWidth="1"/>
    <col min="2208" max="2208" width="17.33203125" bestFit="1" customWidth="1"/>
    <col min="2209" max="2209" width="11" bestFit="1" customWidth="1"/>
    <col min="2210" max="2210" width="17.33203125" bestFit="1" customWidth="1"/>
    <col min="2211" max="2211" width="11" bestFit="1" customWidth="1"/>
    <col min="2212" max="2212" width="17.33203125" bestFit="1" customWidth="1"/>
    <col min="2213" max="2213" width="11" bestFit="1" customWidth="1"/>
    <col min="2214" max="2214" width="17.33203125" bestFit="1" customWidth="1"/>
    <col min="2215" max="2215" width="11" bestFit="1" customWidth="1"/>
    <col min="2216" max="2216" width="17.33203125" bestFit="1" customWidth="1"/>
    <col min="2217" max="2217" width="11" bestFit="1" customWidth="1"/>
    <col min="2218" max="2218" width="17.33203125" bestFit="1" customWidth="1"/>
    <col min="2219" max="2219" width="11" bestFit="1" customWidth="1"/>
    <col min="2220" max="2220" width="17.33203125" bestFit="1" customWidth="1"/>
    <col min="2221" max="2221" width="11" bestFit="1" customWidth="1"/>
    <col min="2222" max="2222" width="17.33203125" bestFit="1" customWidth="1"/>
    <col min="2223" max="2223" width="11" bestFit="1" customWidth="1"/>
    <col min="2224" max="2224" width="17.33203125" bestFit="1" customWidth="1"/>
    <col min="2225" max="2225" width="11" bestFit="1" customWidth="1"/>
    <col min="2226" max="2226" width="17.33203125" bestFit="1" customWidth="1"/>
    <col min="2227" max="2227" width="11" bestFit="1" customWidth="1"/>
    <col min="2228" max="2228" width="17.33203125" bestFit="1" customWidth="1"/>
    <col min="2229" max="2229" width="11" bestFit="1" customWidth="1"/>
    <col min="2230" max="2230" width="17.33203125" bestFit="1" customWidth="1"/>
    <col min="2231" max="2231" width="11" bestFit="1" customWidth="1"/>
    <col min="2232" max="2232" width="17.33203125" bestFit="1" customWidth="1"/>
    <col min="2233" max="2233" width="11" bestFit="1" customWidth="1"/>
    <col min="2234" max="2234" width="17.33203125" bestFit="1" customWidth="1"/>
    <col min="2235" max="2235" width="11" bestFit="1" customWidth="1"/>
    <col min="2236" max="2236" width="17.33203125" bestFit="1" customWidth="1"/>
    <col min="2237" max="2237" width="11" bestFit="1" customWidth="1"/>
    <col min="2238" max="2238" width="17.33203125" bestFit="1" customWidth="1"/>
    <col min="2239" max="2239" width="11" bestFit="1" customWidth="1"/>
    <col min="2240" max="2240" width="17.33203125" bestFit="1" customWidth="1"/>
    <col min="2241" max="2241" width="11" bestFit="1" customWidth="1"/>
    <col min="2242" max="2242" width="17.33203125" bestFit="1" customWidth="1"/>
    <col min="2243" max="2243" width="11" bestFit="1" customWidth="1"/>
    <col min="2244" max="2244" width="17.33203125" bestFit="1" customWidth="1"/>
    <col min="2245" max="2245" width="11" bestFit="1" customWidth="1"/>
    <col min="2246" max="2246" width="17.33203125" bestFit="1" customWidth="1"/>
    <col min="2247" max="2247" width="11" bestFit="1" customWidth="1"/>
    <col min="2248" max="2248" width="17.33203125" bestFit="1" customWidth="1"/>
    <col min="2249" max="2249" width="11" bestFit="1" customWidth="1"/>
    <col min="2250" max="2250" width="17.33203125" bestFit="1" customWidth="1"/>
    <col min="2251" max="2251" width="11" bestFit="1" customWidth="1"/>
    <col min="2252" max="2252" width="17.33203125" bestFit="1" customWidth="1"/>
    <col min="2253" max="2253" width="11" bestFit="1" customWidth="1"/>
    <col min="2254" max="2254" width="17.33203125" bestFit="1" customWidth="1"/>
    <col min="2255" max="2255" width="11" bestFit="1" customWidth="1"/>
    <col min="2256" max="2256" width="17.33203125" bestFit="1" customWidth="1"/>
    <col min="2257" max="2257" width="11" bestFit="1" customWidth="1"/>
    <col min="2258" max="2258" width="17.33203125" bestFit="1" customWidth="1"/>
    <col min="2259" max="2259" width="11" bestFit="1" customWidth="1"/>
    <col min="2260" max="2260" width="17.33203125" bestFit="1" customWidth="1"/>
    <col min="2261" max="2261" width="11" bestFit="1" customWidth="1"/>
    <col min="2262" max="2262" width="17.33203125" bestFit="1" customWidth="1"/>
    <col min="2263" max="2263" width="11" bestFit="1" customWidth="1"/>
    <col min="2264" max="2264" width="17.33203125" bestFit="1" customWidth="1"/>
    <col min="2265" max="2265" width="11" bestFit="1" customWidth="1"/>
    <col min="2266" max="2266" width="17.33203125" bestFit="1" customWidth="1"/>
    <col min="2267" max="2267" width="11" bestFit="1" customWidth="1"/>
    <col min="2268" max="2268" width="17.33203125" bestFit="1" customWidth="1"/>
    <col min="2269" max="2269" width="11" bestFit="1" customWidth="1"/>
    <col min="2270" max="2270" width="17.33203125" bestFit="1" customWidth="1"/>
    <col min="2271" max="2271" width="11" bestFit="1" customWidth="1"/>
    <col min="2272" max="2272" width="17.33203125" bestFit="1" customWidth="1"/>
    <col min="2273" max="2273" width="11" bestFit="1" customWidth="1"/>
    <col min="2274" max="2274" width="17.33203125" bestFit="1" customWidth="1"/>
    <col min="2275" max="2275" width="11" bestFit="1" customWidth="1"/>
    <col min="2276" max="2276" width="17.33203125" bestFit="1" customWidth="1"/>
    <col min="2277" max="2277" width="11" bestFit="1" customWidth="1"/>
    <col min="2278" max="2278" width="17.33203125" bestFit="1" customWidth="1"/>
    <col min="2279" max="2279" width="11" bestFit="1" customWidth="1"/>
    <col min="2280" max="2280" width="17.33203125" bestFit="1" customWidth="1"/>
    <col min="2281" max="2281" width="11" bestFit="1" customWidth="1"/>
    <col min="2282" max="2282" width="17.33203125" bestFit="1" customWidth="1"/>
    <col min="2283" max="2283" width="11" bestFit="1" customWidth="1"/>
    <col min="2284" max="2284" width="17.33203125" bestFit="1" customWidth="1"/>
    <col min="2285" max="2285" width="11" bestFit="1" customWidth="1"/>
    <col min="2286" max="2286" width="17.33203125" bestFit="1" customWidth="1"/>
    <col min="2287" max="2287" width="11" bestFit="1" customWidth="1"/>
    <col min="2288" max="2288" width="17.33203125" bestFit="1" customWidth="1"/>
    <col min="2289" max="2289" width="11" bestFit="1" customWidth="1"/>
    <col min="2290" max="2290" width="17.33203125" bestFit="1" customWidth="1"/>
    <col min="2291" max="2291" width="11" bestFit="1" customWidth="1"/>
    <col min="2292" max="2292" width="17.33203125" bestFit="1" customWidth="1"/>
    <col min="2293" max="2293" width="11" bestFit="1" customWidth="1"/>
    <col min="2294" max="2294" width="17.33203125" bestFit="1" customWidth="1"/>
    <col min="2295" max="2295" width="11" bestFit="1" customWidth="1"/>
    <col min="2296" max="2296" width="17.33203125" bestFit="1" customWidth="1"/>
    <col min="2297" max="2297" width="11" bestFit="1" customWidth="1"/>
    <col min="2298" max="2298" width="17.33203125" bestFit="1" customWidth="1"/>
    <col min="2299" max="2299" width="11" bestFit="1" customWidth="1"/>
    <col min="2300" max="2300" width="17.33203125" bestFit="1" customWidth="1"/>
    <col min="2301" max="2301" width="11" bestFit="1" customWidth="1"/>
    <col min="2302" max="2302" width="17.33203125" bestFit="1" customWidth="1"/>
    <col min="2303" max="2303" width="11" bestFit="1" customWidth="1"/>
    <col min="2304" max="2304" width="17.33203125" bestFit="1" customWidth="1"/>
    <col min="2305" max="2305" width="11" bestFit="1" customWidth="1"/>
    <col min="2306" max="2306" width="17.33203125" bestFit="1" customWidth="1"/>
    <col min="2307" max="2307" width="11" bestFit="1" customWidth="1"/>
    <col min="2308" max="2308" width="17.33203125" bestFit="1" customWidth="1"/>
    <col min="2309" max="2309" width="11" bestFit="1" customWidth="1"/>
    <col min="2310" max="2310" width="17.33203125" bestFit="1" customWidth="1"/>
    <col min="2311" max="2311" width="11" bestFit="1" customWidth="1"/>
    <col min="2312" max="2312" width="17.33203125" bestFit="1" customWidth="1"/>
    <col min="2313" max="2313" width="11" bestFit="1" customWidth="1"/>
    <col min="2314" max="2314" width="17.33203125" bestFit="1" customWidth="1"/>
    <col min="2315" max="2315" width="11" bestFit="1" customWidth="1"/>
    <col min="2316" max="2316" width="17.33203125" bestFit="1" customWidth="1"/>
    <col min="2317" max="2317" width="11" bestFit="1" customWidth="1"/>
    <col min="2318" max="2318" width="17.33203125" bestFit="1" customWidth="1"/>
    <col min="2319" max="2319" width="11" bestFit="1" customWidth="1"/>
    <col min="2320" max="2320" width="17.33203125" bestFit="1" customWidth="1"/>
    <col min="2321" max="2321" width="11" bestFit="1" customWidth="1"/>
    <col min="2322" max="2322" width="17.33203125" bestFit="1" customWidth="1"/>
    <col min="2323" max="2323" width="11" bestFit="1" customWidth="1"/>
    <col min="2324" max="2324" width="17.33203125" bestFit="1" customWidth="1"/>
    <col min="2325" max="2325" width="11" bestFit="1" customWidth="1"/>
    <col min="2326" max="2326" width="17.33203125" bestFit="1" customWidth="1"/>
    <col min="2327" max="2327" width="11" bestFit="1" customWidth="1"/>
    <col min="2328" max="2328" width="17.33203125" bestFit="1" customWidth="1"/>
    <col min="2329" max="2329" width="11" bestFit="1" customWidth="1"/>
    <col min="2330" max="2330" width="17.33203125" bestFit="1" customWidth="1"/>
    <col min="2331" max="2331" width="11" bestFit="1" customWidth="1"/>
    <col min="2332" max="2332" width="17.33203125" bestFit="1" customWidth="1"/>
    <col min="2333" max="2333" width="11" bestFit="1" customWidth="1"/>
    <col min="2334" max="2334" width="17.33203125" bestFit="1" customWidth="1"/>
    <col min="2335" max="2335" width="11" bestFit="1" customWidth="1"/>
    <col min="2336" max="2336" width="17.33203125" bestFit="1" customWidth="1"/>
    <col min="2337" max="2337" width="11" bestFit="1" customWidth="1"/>
    <col min="2338" max="2338" width="17.33203125" bestFit="1" customWidth="1"/>
    <col min="2339" max="2339" width="11" bestFit="1" customWidth="1"/>
    <col min="2340" max="2340" width="17.33203125" bestFit="1" customWidth="1"/>
    <col min="2341" max="2341" width="11" bestFit="1" customWidth="1"/>
    <col min="2342" max="2342" width="17.33203125" bestFit="1" customWidth="1"/>
    <col min="2343" max="2343" width="11" bestFit="1" customWidth="1"/>
    <col min="2344" max="2344" width="17.33203125" bestFit="1" customWidth="1"/>
    <col min="2345" max="2345" width="11" bestFit="1" customWidth="1"/>
    <col min="2346" max="2346" width="17.33203125" bestFit="1" customWidth="1"/>
    <col min="2347" max="2347" width="11" bestFit="1" customWidth="1"/>
    <col min="2348" max="2348" width="17.33203125" bestFit="1" customWidth="1"/>
    <col min="2349" max="2349" width="11" bestFit="1" customWidth="1"/>
    <col min="2350" max="2350" width="17.33203125" bestFit="1" customWidth="1"/>
    <col min="2351" max="2351" width="11" bestFit="1" customWidth="1"/>
    <col min="2352" max="2352" width="17.33203125" bestFit="1" customWidth="1"/>
    <col min="2353" max="2353" width="11" bestFit="1" customWidth="1"/>
    <col min="2354" max="2354" width="17.33203125" bestFit="1" customWidth="1"/>
    <col min="2355" max="2355" width="11" bestFit="1" customWidth="1"/>
    <col min="2356" max="2356" width="17.33203125" bestFit="1" customWidth="1"/>
    <col min="2357" max="2357" width="11" bestFit="1" customWidth="1"/>
    <col min="2358" max="2358" width="17.33203125" bestFit="1" customWidth="1"/>
    <col min="2359" max="2359" width="11" bestFit="1" customWidth="1"/>
    <col min="2360" max="2360" width="17.33203125" bestFit="1" customWidth="1"/>
    <col min="2361" max="2361" width="11" bestFit="1" customWidth="1"/>
    <col min="2362" max="2362" width="17.33203125" bestFit="1" customWidth="1"/>
    <col min="2363" max="2363" width="11" bestFit="1" customWidth="1"/>
    <col min="2364" max="2364" width="17.33203125" bestFit="1" customWidth="1"/>
    <col min="2365" max="2365" width="11" bestFit="1" customWidth="1"/>
    <col min="2366" max="2366" width="17.33203125" bestFit="1" customWidth="1"/>
    <col min="2367" max="2367" width="11" bestFit="1" customWidth="1"/>
    <col min="2368" max="2368" width="17.33203125" bestFit="1" customWidth="1"/>
    <col min="2369" max="2369" width="11" bestFit="1" customWidth="1"/>
    <col min="2370" max="2370" width="17.33203125" bestFit="1" customWidth="1"/>
    <col min="2371" max="2371" width="11" bestFit="1" customWidth="1"/>
    <col min="2372" max="2372" width="17.33203125" bestFit="1" customWidth="1"/>
    <col min="2373" max="2373" width="11" bestFit="1" customWidth="1"/>
    <col min="2374" max="2374" width="17.33203125" bestFit="1" customWidth="1"/>
    <col min="2375" max="2375" width="11" bestFit="1" customWidth="1"/>
    <col min="2376" max="2376" width="17.33203125" bestFit="1" customWidth="1"/>
    <col min="2377" max="2377" width="11" bestFit="1" customWidth="1"/>
    <col min="2378" max="2378" width="17.33203125" bestFit="1" customWidth="1"/>
    <col min="2379" max="2379" width="11" bestFit="1" customWidth="1"/>
    <col min="2380" max="2380" width="17.33203125" bestFit="1" customWidth="1"/>
    <col min="2381" max="2381" width="11" bestFit="1" customWidth="1"/>
    <col min="2382" max="2382" width="17.33203125" bestFit="1" customWidth="1"/>
    <col min="2383" max="2383" width="11" bestFit="1" customWidth="1"/>
    <col min="2384" max="2384" width="17.33203125" bestFit="1" customWidth="1"/>
    <col min="2385" max="2385" width="11" bestFit="1" customWidth="1"/>
    <col min="2386" max="2386" width="17.33203125" bestFit="1" customWidth="1"/>
    <col min="2387" max="2387" width="11" bestFit="1" customWidth="1"/>
    <col min="2388" max="2388" width="17.33203125" bestFit="1" customWidth="1"/>
    <col min="2389" max="2389" width="11" bestFit="1" customWidth="1"/>
    <col min="2390" max="2390" width="17.33203125" bestFit="1" customWidth="1"/>
    <col min="2391" max="2391" width="11" bestFit="1" customWidth="1"/>
    <col min="2392" max="2392" width="17.33203125" bestFit="1" customWidth="1"/>
    <col min="2393" max="2393" width="11" bestFit="1" customWidth="1"/>
    <col min="2394" max="2394" width="17.33203125" bestFit="1" customWidth="1"/>
    <col min="2395" max="2395" width="11" bestFit="1" customWidth="1"/>
    <col min="2396" max="2396" width="17.33203125" bestFit="1" customWidth="1"/>
    <col min="2397" max="2397" width="11" bestFit="1" customWidth="1"/>
    <col min="2398" max="2398" width="17.33203125" bestFit="1" customWidth="1"/>
    <col min="2399" max="2399" width="11" bestFit="1" customWidth="1"/>
    <col min="2400" max="2400" width="17.33203125" bestFit="1" customWidth="1"/>
    <col min="2401" max="2401" width="11" bestFit="1" customWidth="1"/>
    <col min="2402" max="2402" width="22.109375" bestFit="1" customWidth="1"/>
    <col min="2403" max="2403" width="15.77734375" bestFit="1" customWidth="1"/>
    <col min="2404" max="2406" width="12" bestFit="1" customWidth="1"/>
    <col min="2407" max="2407" width="11.88671875" bestFit="1" customWidth="1"/>
    <col min="2408" max="2408" width="12" bestFit="1" customWidth="1"/>
    <col min="2409" max="2409" width="11.88671875" bestFit="1" customWidth="1"/>
    <col min="2410" max="2410" width="12" bestFit="1" customWidth="1"/>
    <col min="2411" max="2411" width="11.88671875" bestFit="1" customWidth="1"/>
    <col min="2412" max="2412" width="12" bestFit="1" customWidth="1"/>
    <col min="2413" max="2413" width="11.88671875" bestFit="1" customWidth="1"/>
    <col min="2414" max="2414" width="12" bestFit="1" customWidth="1"/>
    <col min="2415" max="2415" width="11.88671875" bestFit="1" customWidth="1"/>
    <col min="2416" max="2417" width="12" bestFit="1" customWidth="1"/>
    <col min="2418" max="2419" width="11.88671875" bestFit="1" customWidth="1"/>
    <col min="2420" max="2420" width="12" bestFit="1" customWidth="1"/>
    <col min="2421" max="2421" width="11.88671875" bestFit="1" customWidth="1"/>
    <col min="2422" max="2422" width="10.88671875" bestFit="1" customWidth="1"/>
    <col min="2423" max="2424" width="12" bestFit="1" customWidth="1"/>
    <col min="2425" max="2427" width="11.88671875" bestFit="1" customWidth="1"/>
    <col min="2428" max="2433" width="12" bestFit="1" customWidth="1"/>
    <col min="2434" max="2435" width="11.88671875" bestFit="1" customWidth="1"/>
    <col min="2436" max="2442" width="12" bestFit="1" customWidth="1"/>
    <col min="2443" max="2443" width="11.88671875" bestFit="1" customWidth="1"/>
    <col min="2444" max="2445" width="12" bestFit="1" customWidth="1"/>
    <col min="2446" max="2446" width="11.88671875" bestFit="1" customWidth="1"/>
    <col min="2447" max="2448" width="12" bestFit="1" customWidth="1"/>
    <col min="2449" max="2449" width="11.88671875" bestFit="1" customWidth="1"/>
    <col min="2450" max="2450" width="12" bestFit="1" customWidth="1"/>
    <col min="2451" max="2451" width="11.88671875" bestFit="1" customWidth="1"/>
    <col min="2452" max="2452" width="10.88671875" bestFit="1" customWidth="1"/>
    <col min="2453" max="2453" width="12" bestFit="1" customWidth="1"/>
    <col min="2454" max="2458" width="11.88671875" bestFit="1" customWidth="1"/>
    <col min="2459" max="2459" width="12" bestFit="1" customWidth="1"/>
    <col min="2460" max="2460" width="11.88671875" bestFit="1" customWidth="1"/>
    <col min="2461" max="2461" width="12" bestFit="1" customWidth="1"/>
    <col min="2462" max="2462" width="10.88671875" bestFit="1" customWidth="1"/>
    <col min="2463" max="2463" width="12" bestFit="1" customWidth="1"/>
    <col min="2464" max="2466" width="11.88671875" bestFit="1" customWidth="1"/>
    <col min="2467" max="2469" width="12" bestFit="1" customWidth="1"/>
    <col min="2470" max="2471" width="11.88671875" bestFit="1" customWidth="1"/>
    <col min="2472" max="2472" width="12" bestFit="1" customWidth="1"/>
    <col min="2473" max="2475" width="11.88671875" bestFit="1" customWidth="1"/>
    <col min="2476" max="2478" width="12" bestFit="1" customWidth="1"/>
    <col min="2479" max="2479" width="11.88671875" bestFit="1" customWidth="1"/>
    <col min="2480" max="2484" width="12" bestFit="1" customWidth="1"/>
    <col min="2485" max="2488" width="11.88671875" bestFit="1" customWidth="1"/>
    <col min="2489" max="2489" width="12" bestFit="1" customWidth="1"/>
    <col min="2490" max="2490" width="11.88671875" bestFit="1" customWidth="1"/>
    <col min="2491" max="2496" width="12" bestFit="1" customWidth="1"/>
    <col min="2497" max="2499" width="11.88671875" bestFit="1" customWidth="1"/>
    <col min="2500" max="2503" width="12" bestFit="1" customWidth="1"/>
    <col min="2504" max="2504" width="11.88671875" bestFit="1" customWidth="1"/>
    <col min="2505" max="2505" width="12" bestFit="1" customWidth="1"/>
    <col min="2506" max="2508" width="11.88671875" bestFit="1" customWidth="1"/>
    <col min="2509" max="2512" width="12" bestFit="1" customWidth="1"/>
    <col min="2513" max="2514" width="11.88671875" bestFit="1" customWidth="1"/>
    <col min="2515" max="2515" width="12" bestFit="1" customWidth="1"/>
    <col min="2516" max="2516" width="11.88671875" bestFit="1" customWidth="1"/>
    <col min="2517" max="2518" width="12" bestFit="1" customWidth="1"/>
    <col min="2519" max="2521" width="11.88671875" bestFit="1" customWidth="1"/>
    <col min="2522" max="2522" width="12" bestFit="1" customWidth="1"/>
    <col min="2523" max="2523" width="11.88671875" bestFit="1" customWidth="1"/>
    <col min="2524" max="2524" width="12" bestFit="1" customWidth="1"/>
    <col min="2525" max="2525" width="11.88671875" bestFit="1" customWidth="1"/>
    <col min="2526" max="2527" width="12" bestFit="1" customWidth="1"/>
    <col min="2528" max="2531" width="11.88671875" bestFit="1" customWidth="1"/>
    <col min="2532" max="2533" width="12" bestFit="1" customWidth="1"/>
    <col min="2534" max="2536" width="11.88671875" bestFit="1" customWidth="1"/>
    <col min="2537" max="2542" width="12" bestFit="1" customWidth="1"/>
    <col min="2543" max="2544" width="11.88671875" bestFit="1" customWidth="1"/>
    <col min="2545" max="2545" width="12" bestFit="1" customWidth="1"/>
    <col min="2546" max="2546" width="11.88671875" bestFit="1" customWidth="1"/>
    <col min="2547" max="2547" width="12" bestFit="1" customWidth="1"/>
    <col min="2548" max="2548" width="11.88671875" bestFit="1" customWidth="1"/>
    <col min="2549" max="2549" width="12" bestFit="1" customWidth="1"/>
    <col min="2550" max="2550" width="11.88671875" bestFit="1" customWidth="1"/>
    <col min="2551" max="2554" width="12" bestFit="1" customWidth="1"/>
    <col min="2555" max="2555" width="11.88671875" bestFit="1" customWidth="1"/>
    <col min="2556" max="2556" width="12" bestFit="1" customWidth="1"/>
    <col min="2557" max="2557" width="11.88671875" bestFit="1" customWidth="1"/>
    <col min="2558" max="2558" width="12" bestFit="1" customWidth="1"/>
    <col min="2559" max="2561" width="11.88671875" bestFit="1" customWidth="1"/>
    <col min="2562" max="2564" width="12" bestFit="1" customWidth="1"/>
    <col min="2565" max="2565" width="11.88671875" bestFit="1" customWidth="1"/>
    <col min="2566" max="2569" width="12" bestFit="1" customWidth="1"/>
    <col min="2570" max="2570" width="11.88671875" bestFit="1" customWidth="1"/>
    <col min="2571" max="2574" width="12" bestFit="1" customWidth="1"/>
    <col min="2575" max="2575" width="11.88671875" bestFit="1" customWidth="1"/>
    <col min="2576" max="2576" width="12" bestFit="1" customWidth="1"/>
    <col min="2577" max="2580" width="11.88671875" bestFit="1" customWidth="1"/>
    <col min="2581" max="2582" width="12" bestFit="1" customWidth="1"/>
    <col min="2583" max="2584" width="11.88671875" bestFit="1" customWidth="1"/>
    <col min="2585" max="2588" width="12" bestFit="1" customWidth="1"/>
    <col min="2589" max="2590" width="11.88671875" bestFit="1" customWidth="1"/>
    <col min="2591" max="2591" width="12" bestFit="1" customWidth="1"/>
    <col min="2592" max="2592" width="10.88671875" bestFit="1" customWidth="1"/>
    <col min="2593" max="2593" width="11.88671875" bestFit="1" customWidth="1"/>
    <col min="2594" max="2599" width="12" bestFit="1" customWidth="1"/>
    <col min="2600" max="2600" width="11.88671875" bestFit="1" customWidth="1"/>
    <col min="2601" max="2601" width="12" bestFit="1" customWidth="1"/>
    <col min="2602" max="2602" width="9.33203125" bestFit="1" customWidth="1"/>
    <col min="2603" max="2603" width="10.77734375" bestFit="1" customWidth="1"/>
    <col min="2604" max="3799" width="11.5546875" bestFit="1" customWidth="1"/>
    <col min="3800" max="3801" width="10.77734375" bestFit="1" customWidth="1"/>
  </cols>
  <sheetData>
    <row r="3" spans="1:4" x14ac:dyDescent="0.3">
      <c r="A3" s="2" t="s">
        <v>2436</v>
      </c>
      <c r="B3" t="s">
        <v>2443</v>
      </c>
      <c r="C3" t="s">
        <v>2438</v>
      </c>
      <c r="D3" t="s">
        <v>2442</v>
      </c>
    </row>
    <row r="4" spans="1:4" x14ac:dyDescent="0.3">
      <c r="A4" s="3" t="s">
        <v>31</v>
      </c>
      <c r="B4">
        <v>297</v>
      </c>
      <c r="C4">
        <v>2.9453872053872043</v>
      </c>
      <c r="D4">
        <v>1476695</v>
      </c>
    </row>
    <row r="5" spans="1:4" x14ac:dyDescent="0.3">
      <c r="A5" s="6" t="s">
        <v>19</v>
      </c>
      <c r="B5">
        <v>95</v>
      </c>
      <c r="C5">
        <v>2.8859999999999997</v>
      </c>
      <c r="D5">
        <v>454957</v>
      </c>
    </row>
    <row r="6" spans="1:4" x14ac:dyDescent="0.3">
      <c r="A6" s="6" t="s">
        <v>39</v>
      </c>
      <c r="B6">
        <v>28</v>
      </c>
      <c r="C6">
        <v>3.0285714285714285</v>
      </c>
      <c r="D6">
        <v>118075</v>
      </c>
    </row>
    <row r="7" spans="1:4" x14ac:dyDescent="0.3">
      <c r="A7" s="6" t="s">
        <v>14</v>
      </c>
      <c r="B7">
        <v>174</v>
      </c>
      <c r="C7">
        <v>2.964425287356323</v>
      </c>
      <c r="D7">
        <v>903663</v>
      </c>
    </row>
    <row r="8" spans="1:4" x14ac:dyDescent="0.3">
      <c r="A8" s="3" t="s">
        <v>62</v>
      </c>
      <c r="B8">
        <v>309</v>
      </c>
      <c r="C8">
        <v>3.0172491909385095</v>
      </c>
      <c r="D8">
        <v>1556761</v>
      </c>
    </row>
    <row r="9" spans="1:4" x14ac:dyDescent="0.3">
      <c r="A9" s="6" t="s">
        <v>19</v>
      </c>
      <c r="B9">
        <v>78</v>
      </c>
      <c r="C9">
        <v>3.0360256410256405</v>
      </c>
      <c r="D9">
        <v>395791</v>
      </c>
    </row>
    <row r="10" spans="1:4" x14ac:dyDescent="0.3">
      <c r="A10" s="6" t="s">
        <v>39</v>
      </c>
      <c r="B10">
        <v>30</v>
      </c>
      <c r="C10">
        <v>3.0523333333333329</v>
      </c>
      <c r="D10">
        <v>136218</v>
      </c>
    </row>
    <row r="11" spans="1:4" x14ac:dyDescent="0.3">
      <c r="A11" s="6" t="s">
        <v>14</v>
      </c>
      <c r="B11">
        <v>201</v>
      </c>
      <c r="C11">
        <v>3.0047263681592047</v>
      </c>
      <c r="D11">
        <v>1024752</v>
      </c>
    </row>
    <row r="12" spans="1:4" x14ac:dyDescent="0.3">
      <c r="A12" s="3" t="s">
        <v>13</v>
      </c>
      <c r="B12">
        <v>297</v>
      </c>
      <c r="C12">
        <v>3.0134006734006742</v>
      </c>
      <c r="D12">
        <v>1412848</v>
      </c>
    </row>
    <row r="13" spans="1:4" x14ac:dyDescent="0.3">
      <c r="A13" s="6" t="s">
        <v>19</v>
      </c>
      <c r="B13">
        <v>85</v>
      </c>
      <c r="C13">
        <v>3.0764705882352943</v>
      </c>
      <c r="D13">
        <v>415307</v>
      </c>
    </row>
    <row r="14" spans="1:4" x14ac:dyDescent="0.3">
      <c r="A14" s="6" t="s">
        <v>39</v>
      </c>
      <c r="B14">
        <v>26</v>
      </c>
      <c r="C14">
        <v>2.7511538461538469</v>
      </c>
      <c r="D14">
        <v>138856</v>
      </c>
    </row>
    <row r="15" spans="1:4" x14ac:dyDescent="0.3">
      <c r="A15" s="6" t="s">
        <v>14</v>
      </c>
      <c r="B15">
        <v>186</v>
      </c>
      <c r="C15">
        <v>3.0212365591397852</v>
      </c>
      <c r="D15">
        <v>858685</v>
      </c>
    </row>
    <row r="16" spans="1:4" x14ac:dyDescent="0.3">
      <c r="A16" s="3" t="s">
        <v>18</v>
      </c>
      <c r="B16">
        <v>297</v>
      </c>
      <c r="C16">
        <v>3.0164646464646458</v>
      </c>
      <c r="D16">
        <v>1495493</v>
      </c>
    </row>
    <row r="17" spans="1:4" x14ac:dyDescent="0.3">
      <c r="A17" s="6" t="s">
        <v>19</v>
      </c>
      <c r="B17">
        <v>96</v>
      </c>
      <c r="C17">
        <v>3.0353125000000012</v>
      </c>
      <c r="D17">
        <v>479858</v>
      </c>
    </row>
    <row r="18" spans="1:4" x14ac:dyDescent="0.3">
      <c r="A18" s="6" t="s">
        <v>39</v>
      </c>
      <c r="B18">
        <v>27</v>
      </c>
      <c r="C18">
        <v>2.934814814814815</v>
      </c>
      <c r="D18">
        <v>142544</v>
      </c>
    </row>
    <row r="19" spans="1:4" x14ac:dyDescent="0.3">
      <c r="A19" s="6" t="s">
        <v>14</v>
      </c>
      <c r="B19">
        <v>174</v>
      </c>
      <c r="C19">
        <v>3.0187356321839087</v>
      </c>
      <c r="D19">
        <v>873091</v>
      </c>
    </row>
    <row r="20" spans="1:4" x14ac:dyDescent="0.3">
      <c r="A20" s="3" t="s">
        <v>2437</v>
      </c>
      <c r="B20">
        <v>1200</v>
      </c>
      <c r="C20">
        <v>2.9983166666666694</v>
      </c>
      <c r="D20">
        <v>5941797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University_Enrollment.dataset</vt:lpstr>
      <vt:lpstr>Faculty head</vt:lpstr>
      <vt:lpstr>GPA report</vt:lpstr>
      <vt:lpstr>Faculty and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Pandey</dc:creator>
  <cp:lastModifiedBy>Anusha Pandey</cp:lastModifiedBy>
  <dcterms:created xsi:type="dcterms:W3CDTF">2025-07-10T06:48:43Z</dcterms:created>
  <dcterms:modified xsi:type="dcterms:W3CDTF">2025-07-14T10:18:30Z</dcterms:modified>
</cp:coreProperties>
</file>