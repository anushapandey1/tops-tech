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DC0B9B93E25625/Documents/"/>
    </mc:Choice>
  </mc:AlternateContent>
  <xr:revisionPtr revIDLastSave="550" documentId="8_{90438ECE-3B38-4918-90C0-F5DF09445C90}" xr6:coauthVersionLast="47" xr6:coauthVersionMax="47" xr10:uidLastSave="{E2095C48-6FA3-4E84-9A9E-5E7D574FCC67}"/>
  <bookViews>
    <workbookView xWindow="-108" yWindow="-108" windowWidth="23256" windowHeight="12456" firstSheet="18" activeTab="18" xr2:uid="{E4B56F38-D64E-4259-B219-6B5B05364F51}"/>
  </bookViews>
  <sheets>
    <sheet name="AVERAGE 1 - Question" sheetId="1" r:id="rId1"/>
    <sheet name="AVERAGE 3 " sheetId="2" r:id="rId2"/>
    <sheet name="COUNT-1" sheetId="3" r:id="rId3"/>
    <sheet name="COUNT-2" sheetId="4" r:id="rId4"/>
    <sheet name="COUNT-3" sheetId="6" r:id="rId5"/>
    <sheet name="Hlookup" sheetId="7" r:id="rId6"/>
    <sheet name="IF-1" sheetId="8" r:id="rId7"/>
    <sheet name="IF2" sheetId="27" r:id="rId8"/>
    <sheet name="IF-3" sheetId="10" r:id="rId9"/>
    <sheet name="MaxMin-1" sheetId="11" r:id="rId10"/>
    <sheet name="MaxMin-2" sheetId="12" r:id="rId11"/>
    <sheet name="MaxMin-3" sheetId="13" r:id="rId12"/>
    <sheet name="Math" sheetId="14" r:id="rId13"/>
    <sheet name="Nestedif" sheetId="15" r:id="rId14"/>
    <sheet name="sum1" sheetId="18" r:id="rId15"/>
    <sheet name="sum2" sheetId="19" r:id="rId16"/>
    <sheet name="sum3" sheetId="20" r:id="rId17"/>
    <sheet name="sumif1" sheetId="21" r:id="rId18"/>
    <sheet name="sumif2" sheetId="22" r:id="rId19"/>
    <sheet name="vlookup approximate match" sheetId="24" r:id="rId20"/>
    <sheet name="vlookup1" sheetId="25" r:id="rId21"/>
    <sheet name="vlookup2" sheetId="26" r:id="rId22"/>
    <sheet name="exchange rate" sheetId="30" r:id="rId23"/>
    <sheet name="Neck and neck" sheetId="32" r:id="rId24"/>
    <sheet name="Splitting columns" sheetId="34" r:id="rId25"/>
    <sheet name="populationn" sheetId="36" r:id="rId26"/>
  </sheets>
  <definedNames>
    <definedName name="ExternalData_1" localSheetId="22" hidden="1">'exchange rate'!$A$1:$D$14</definedName>
    <definedName name="ExternalData_1" localSheetId="25" hidden="1">populationn!$A$1:$F$248</definedName>
    <definedName name="ExternalData_1" localSheetId="24" hidden="1">'Splitting columns'!$A$1:$E$222</definedName>
    <definedName name="ExternalData_2" localSheetId="23" hidden="1">'Neck and neck'!$A$1:$E$248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2" l="1"/>
  <c r="D25" i="14"/>
  <c r="D24" i="14"/>
  <c r="D20" i="14"/>
  <c r="D19" i="14"/>
  <c r="D26" i="6"/>
  <c r="D23" i="6"/>
  <c r="D20" i="6"/>
  <c r="D17" i="6"/>
  <c r="F23" i="2"/>
  <c r="F24" i="2"/>
  <c r="B18" i="3"/>
  <c r="B28" i="4"/>
  <c r="B22" i="4"/>
  <c r="D9" i="27"/>
  <c r="D10" i="27"/>
  <c r="D11" i="27"/>
  <c r="D8" i="27"/>
  <c r="C20" i="20"/>
  <c r="C19" i="20" a="1"/>
  <c r="C19" i="20" s="1"/>
  <c r="C16" i="20"/>
  <c r="C13" i="20"/>
  <c r="D10" i="20"/>
  <c r="D7" i="20"/>
  <c r="D4" i="20"/>
  <c r="B95" i="19"/>
  <c r="B18" i="18"/>
  <c r="B31" i="22"/>
  <c r="B24" i="22"/>
  <c r="G21" i="21"/>
  <c r="G20" i="21"/>
  <c r="I18" i="21"/>
  <c r="G16" i="21"/>
  <c r="G15" i="21"/>
  <c r="B10" i="24"/>
  <c r="B9" i="24"/>
  <c r="B8" i="24"/>
  <c r="B33" i="25"/>
  <c r="B32" i="25"/>
  <c r="B31" i="25"/>
  <c r="B26" i="25"/>
  <c r="B25" i="25"/>
  <c r="B24" i="25"/>
  <c r="F19" i="25"/>
  <c r="F17" i="25"/>
  <c r="D29" i="26"/>
  <c r="D24" i="26"/>
  <c r="D19" i="26"/>
  <c r="B18" i="2" l="1"/>
  <c r="B17" i="2"/>
  <c r="B16" i="2"/>
  <c r="B19" i="7"/>
  <c r="B15" i="7"/>
  <c r="B11" i="7"/>
  <c r="C12" i="13"/>
  <c r="D18" i="14"/>
  <c r="D14" i="14"/>
  <c r="D13" i="14"/>
  <c r="D12" i="14"/>
  <c r="D11" i="14"/>
  <c r="G9" i="12"/>
  <c r="G10" i="12"/>
  <c r="G11" i="12"/>
  <c r="G8" i="12"/>
  <c r="B15" i="3"/>
  <c r="D22" i="1"/>
  <c r="D20" i="1"/>
  <c r="D18" i="1"/>
  <c r="D16" i="1"/>
  <c r="I14" i="11"/>
  <c r="I13" i="11"/>
  <c r="I12" i="11"/>
  <c r="D12" i="10"/>
  <c r="D13" i="10"/>
  <c r="D14" i="10"/>
  <c r="D15" i="10"/>
  <c r="D16" i="10"/>
  <c r="D17" i="10"/>
  <c r="D11" i="10"/>
  <c r="C8" i="8"/>
  <c r="C9" i="8"/>
  <c r="C10" i="8"/>
  <c r="C7" i="8"/>
  <c r="C10" i="15"/>
  <c r="C11" i="15"/>
  <c r="C12" i="15"/>
  <c r="C9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AA0A4-EF56-4CB4-9594-2412DCFCC81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55CEAC1-D6E8-4566-9126-60E045E9CEE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3" xr16:uid="{D59C18E5-BD1D-491E-A44D-596603749A66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95B66290-E969-4F76-BD24-62C327AC3956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<sst xmlns="http://schemas.openxmlformats.org/spreadsheetml/2006/main" count="2973" uniqueCount="1908">
  <si>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</si>
  <si>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</si>
  <si>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</si>
  <si>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</si>
  <si>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</si>
  <si>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</si>
  <si>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</si>
  <si>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</si>
  <si>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</si>
  <si>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</si>
  <si>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</si>
  <si>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</si>
  <si>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</si>
  <si>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</si>
  <si>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</si>
  <si>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</si>
  <si>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</si>
  <si>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</si>
  <si>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</si>
  <si>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</si>
  <si>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</si>
  <si>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</si>
  <si>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</si>
  <si>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</si>
  <si>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</si>
  <si>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</si>
  <si>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</si>
  <si>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</si>
  <si>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</si>
  <si>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</si>
  <si>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</si>
  <si>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</si>
  <si>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</si>
  <si>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</si>
  <si>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</si>
  <si>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</si>
  <si>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</si>
  <si>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</si>
  <si>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</si>
  <si>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</si>
  <si>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</si>
  <si>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</si>
  <si>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</si>
  <si>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</si>
  <si>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</si>
  <si>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</si>
  <si>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</si>
  <si>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</si>
  <si>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</si>
  <si>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</si>
  <si>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</si>
  <si>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</si>
  <si>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</si>
  <si>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</si>
  <si>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</si>
  <si>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</si>
  <si>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</si>
  <si>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</si>
  <si>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</si>
  <si>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</si>
  <si>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</si>
  <si>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</si>
  <si>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</si>
  <si>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</si>
  <si>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</si>
  <si>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</si>
  <si>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</si>
  <si>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</si>
  <si>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</si>
  <si>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</si>
  <si>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</si>
  <si>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</si>
  <si>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</si>
  <si>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</si>
  <si>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</si>
  <si>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</si>
  <si>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</si>
  <si>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</si>
  <si>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</si>
  <si>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</si>
  <si>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</si>
  <si>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</si>
  <si>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</si>
  <si>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</si>
  <si>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</si>
  <si>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</si>
  <si>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</si>
  <si>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</si>
  <si>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</si>
  <si>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</si>
  <si>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</si>
  <si>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</si>
  <si>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</si>
  <si>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</si>
  <si>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</si>
  <si>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</si>
  <si>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</si>
  <si>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</si>
  <si>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</si>
  <si>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Dani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</si>
  <si>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</si>
  <si>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</si>
  <si>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</si>
  <si>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</si>
  <si>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</si>
  <si>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</si>
  <si>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</si>
  <si>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</si>
  <si>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</si>
  <si>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</si>
  <si>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</si>
  <si>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</si>
  <si>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</si>
  <si>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</si>
  <si>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</si>
  <si>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</si>
  <si>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</si>
  <si>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</si>
  <si>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</si>
  <si>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</si>
  <si>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</si>
  <si>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</si>
  <si>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</si>
  <si>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</si>
  <si>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</si>
  <si>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</si>
  <si>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</si>
  <si>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</si>
  <si>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</si>
  <si>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</si>
  <si>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</si>
  <si>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</si>
  <si>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</si>
  <si>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</si>
  <si>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</si>
  <si>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</si>
  <si>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</si>
  <si>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</si>
  <si>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</si>
  <si>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</si>
  <si>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</si>
  <si>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</si>
  <si>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</si>
  <si>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</si>
  <si>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</si>
  <si>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</si>
  <si>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</si>
  <si>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</si>
  <si>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</si>
  <si>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</si>
  <si>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</si>
  <si>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</si>
  <si>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</si>
  <si>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</si>
  <si>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</si>
  <si>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</si>
  <si>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</si>
  <si>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</si>
  <si>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</si>
  <si>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</si>
  <si>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</si>
  <si>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</si>
  <si>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</si>
  <si>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</si>
  <si>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</si>
  <si>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</si>
  <si>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</si>
  <si>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</si>
  <si>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</si>
  <si>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</si>
  <si>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</si>
  <si>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</si>
  <si>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</si>
  <si>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</si>
  <si>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</si>
  <si>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</si>
  <si>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</si>
  <si>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</si>
  <si>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</si>
  <si>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</si>
  <si>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</si>
  <si>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</si>
  <si>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</si>
  <si>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</si>
  <si>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</si>
  <si>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</si>
  <si>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</si>
  <si>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</si>
  <si>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</si>
  <si>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</si>
  <si>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</si>
  <si>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</si>
  <si>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</si>
  <si>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</si>
  <si>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 xml:space="preserve">                                                                                    </t>
  </si>
  <si>
    <t>Country</t>
  </si>
  <si>
    <t>Region</t>
  </si>
  <si>
    <t>Date</t>
  </si>
  <si>
    <t>Russia</t>
  </si>
  <si>
    <t>Bangkok</t>
  </si>
  <si>
    <t>Delhi</t>
  </si>
  <si>
    <t>Tel Aviv</t>
  </si>
  <si>
    <t>Capetown</t>
  </si>
  <si>
    <t>USA</t>
  </si>
  <si>
    <t>Berlin</t>
  </si>
  <si>
    <t>Germany</t>
  </si>
  <si>
    <t>Warsaw</t>
  </si>
  <si>
    <t>Shanghai</t>
  </si>
  <si>
    <t>Cairo</t>
  </si>
  <si>
    <t>Romania</t>
  </si>
  <si>
    <t>Thomas Davies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</si>
  <si>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</si>
  <si>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</si>
  <si>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</si>
  <si>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</si>
  <si>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</si>
  <si>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</si>
  <si>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</si>
  <si>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</si>
  <si>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</si>
  <si>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</si>
  <si>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</si>
  <si>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</si>
  <si>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</si>
  <si>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</si>
  <si>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</si>
  <si>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</si>
  <si>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</si>
  <si>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</si>
  <si>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</si>
  <si>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</si>
  <si>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</si>
  <si>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</si>
  <si>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</si>
  <si>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</si>
  <si>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</si>
  <si>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</si>
  <si>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</si>
  <si>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</si>
  <si>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</si>
  <si>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</si>
  <si>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</si>
  <si>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</si>
  <si>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</si>
  <si>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</si>
  <si>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</si>
  <si>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</si>
  <si>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</si>
  <si>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</si>
  <si>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</si>
  <si>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</si>
  <si>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</si>
  <si>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</si>
  <si>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</si>
  <si>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</si>
  <si>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</si>
  <si>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</si>
  <si>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</si>
  <si>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</si>
  <si>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</si>
  <si>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</si>
  <si>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</si>
  <si>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</si>
  <si>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</si>
  <si>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</si>
  <si>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</si>
  <si>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</si>
  <si>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</si>
  <si>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</si>
  <si>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</si>
  <si>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</si>
  <si>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</si>
  <si>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</si>
  <si>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</si>
  <si>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</si>
  <si>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</si>
  <si>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</si>
  <si>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</si>
  <si>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</si>
  <si>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</si>
  <si>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</si>
  <si>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</si>
  <si>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</si>
  <si>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</si>
  <si>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</si>
  <si>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</si>
  <si>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</si>
  <si>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</si>
  <si>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</si>
  <si>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</si>
  <si>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</si>
  <si>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</si>
  <si>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</si>
  <si>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</si>
  <si>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</si>
  <si>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</si>
  <si>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</si>
  <si>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</si>
  <si>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</si>
  <si>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</si>
  <si>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</si>
  <si>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</si>
  <si>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</si>
  <si>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</si>
  <si>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</si>
  <si>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</si>
  <si>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</si>
  <si>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</si>
  <si>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</si>
  <si>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</si>
  <si>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</si>
  <si>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</si>
  <si>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</si>
  <si>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</si>
  <si>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</si>
  <si>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</si>
  <si>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</si>
  <si>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</si>
  <si>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</si>
  <si>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</si>
  <si>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</si>
  <si>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</si>
  <si>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</si>
  <si>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</si>
  <si>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</si>
  <si>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</si>
  <si>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</si>
  <si>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</si>
  <si>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</si>
  <si>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</si>
  <si>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</si>
  <si>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</si>
  <si>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</si>
  <si>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</si>
  <si>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</si>
  <si>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</si>
  <si>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</si>
  <si>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</si>
  <si>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</si>
  <si>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</si>
  <si>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</si>
  <si>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</si>
  <si>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</si>
  <si>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</si>
  <si>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</si>
  <si>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</si>
  <si>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</si>
  <si>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</si>
  <si>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</si>
  <si>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</si>
  <si>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</si>
  <si>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</si>
  <si>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</si>
  <si>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</si>
  <si>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</si>
  <si>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</si>
  <si>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</si>
  <si>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</si>
  <si>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</si>
  <si>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</si>
  <si>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</si>
  <si>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</si>
  <si>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</si>
  <si>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</si>
  <si>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</si>
  <si>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</si>
  <si>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</si>
  <si>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</si>
  <si>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</si>
  <si>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</si>
  <si>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</si>
  <si>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</si>
  <si>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</si>
  <si>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</si>
  <si>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</si>
  <si>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</si>
  <si>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</si>
  <si>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</si>
  <si>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</si>
  <si>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</si>
  <si>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</si>
  <si>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</si>
  <si>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</si>
  <si>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</si>
  <si>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</si>
  <si>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</si>
  <si>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</si>
  <si>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</si>
  <si>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</si>
  <si>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</si>
  <si>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</si>
  <si>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</si>
  <si>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</si>
  <si>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</si>
  <si>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</si>
  <si>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</si>
  <si>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</si>
  <si>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</si>
  <si>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</si>
  <si>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</si>
  <si>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</si>
  <si>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</si>
  <si>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</si>
  <si>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</si>
  <si>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</si>
  <si>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</si>
  <si>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</si>
  <si>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</si>
  <si>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</si>
  <si>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</si>
  <si>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</si>
  <si>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</si>
  <si>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</si>
  <si>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</si>
  <si>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</si>
  <si>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Medals Won</t>
  </si>
  <si>
    <t>Michael Phelps</t>
  </si>
  <si>
    <t>Swimming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</si>
  <si>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</si>
  <si>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</si>
  <si>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</si>
  <si>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</si>
  <si>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</si>
  <si>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</si>
  <si>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</si>
  <si>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Nadia Comaneci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</si>
  <si>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</si>
  <si>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</si>
  <si>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</si>
  <si>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</si>
  <si>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</si>
  <si>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</si>
  <si>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</si>
  <si>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</si>
  <si>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</si>
  <si>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</si>
  <si>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</si>
  <si>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</si>
  <si>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</si>
  <si>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</si>
  <si>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</si>
  <si>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</si>
  <si>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</si>
  <si>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Below is a list of the employees who work in your company:</t>
  </si>
  <si>
    <t>Location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</si>
  <si>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</si>
  <si>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</si>
  <si>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</si>
  <si>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</si>
  <si>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</si>
  <si>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</si>
  <si>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</si>
  <si>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</si>
  <si>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</si>
  <si>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</si>
  <si>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</si>
  <si>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</si>
  <si>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</si>
  <si>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</si>
  <si>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</si>
  <si>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</si>
  <si>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</si>
  <si>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</si>
  <si>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</si>
  <si>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</si>
  <si>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</si>
  <si>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</si>
  <si>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</si>
  <si>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</si>
  <si>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</si>
  <si>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</si>
  <si>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</si>
  <si>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</si>
  <si>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</si>
  <si>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</si>
  <si>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</si>
  <si>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</si>
  <si>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</si>
  <si>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</si>
  <si>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</si>
  <si>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</si>
  <si>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</si>
  <si>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</si>
  <si>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</si>
  <si>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</si>
  <si>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s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</si>
  <si>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</si>
  <si>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</si>
  <si>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</si>
  <si>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</si>
  <si>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</si>
  <si>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</si>
  <si>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</si>
  <si>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</si>
  <si>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</si>
  <si>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</si>
  <si>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</si>
  <si>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</si>
  <si>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</si>
  <si>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</si>
  <si>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</si>
  <si>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</si>
  <si>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</si>
  <si>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</si>
  <si>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</si>
  <si>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</si>
  <si>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</si>
  <si>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</si>
  <si>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</si>
  <si>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</si>
  <si>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</si>
  <si>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</si>
  <si>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Bid</t>
  </si>
  <si>
    <t>Ask</t>
  </si>
  <si>
    <t>From</t>
  </si>
  <si>
    <t>To</t>
  </si>
  <si>
    <t>GBP</t>
  </si>
  <si>
    <t>AUD</t>
  </si>
  <si>
    <t>CAD</t>
  </si>
  <si>
    <t>CHF</t>
  </si>
  <si>
    <t>DKK</t>
  </si>
  <si>
    <t>EUR</t>
  </si>
  <si>
    <t>HKD</t>
  </si>
  <si>
    <t>JPY</t>
  </si>
  <si>
    <t>NOK</t>
  </si>
  <si>
    <t>NZD</t>
  </si>
  <si>
    <t>SEK</t>
  </si>
  <si>
    <t>SGD</t>
  </si>
  <si>
    <t>ZAR</t>
  </si>
  <si>
    <t>Rank</t>
  </si>
  <si>
    <t>Population</t>
  </si>
  <si>
    <t>% of world 
population</t>
  </si>
  <si>
    <t>1</t>
  </si>
  <si>
    <t>China</t>
  </si>
  <si>
    <t>March 6, 2015</t>
  </si>
  <si>
    <t>2</t>
  </si>
  <si>
    <t>India</t>
  </si>
  <si>
    <t>3</t>
  </si>
  <si>
    <t>United States</t>
  </si>
  <si>
    <t>4</t>
  </si>
  <si>
    <t>Indonesia</t>
  </si>
  <si>
    <t>July 1, 2015</t>
  </si>
  <si>
    <t>5</t>
  </si>
  <si>
    <t>Brazil</t>
  </si>
  <si>
    <t>6</t>
  </si>
  <si>
    <t>Pakistan</t>
  </si>
  <si>
    <t>7</t>
  </si>
  <si>
    <t>Nigeria</t>
  </si>
  <si>
    <t>8</t>
  </si>
  <si>
    <t>Bangladesh</t>
  </si>
  <si>
    <t>9</t>
  </si>
  <si>
    <t>January 1, 2015</t>
  </si>
  <si>
    <t>10</t>
  </si>
  <si>
    <t>Japan</t>
  </si>
  <si>
    <t>February 1, 2015</t>
  </si>
  <si>
    <t>11</t>
  </si>
  <si>
    <t>Mexico</t>
  </si>
  <si>
    <t>12</t>
  </si>
  <si>
    <t>Philippines</t>
  </si>
  <si>
    <t>13</t>
  </si>
  <si>
    <t>Vietnam</t>
  </si>
  <si>
    <t>July 1, 2014</t>
  </si>
  <si>
    <t>14</t>
  </si>
  <si>
    <t>Ethiopia</t>
  </si>
  <si>
    <t>15</t>
  </si>
  <si>
    <t>Egypt</t>
  </si>
  <si>
    <t>16</t>
  </si>
  <si>
    <t>June 30, 2014</t>
  </si>
  <si>
    <t>17</t>
  </si>
  <si>
    <t>Iran</t>
  </si>
  <si>
    <t>18</t>
  </si>
  <si>
    <t>Turkey</t>
  </si>
  <si>
    <t>December 31, 2014</t>
  </si>
  <si>
    <t>19</t>
  </si>
  <si>
    <t>Democratic Republic of the Congo</t>
  </si>
  <si>
    <t>20</t>
  </si>
  <si>
    <t>France</t>
  </si>
  <si>
    <t>21</t>
  </si>
  <si>
    <t>Thailand</t>
  </si>
  <si>
    <t>22</t>
  </si>
  <si>
    <t>United Kingdom</t>
  </si>
  <si>
    <t>July 1, 2013</t>
  </si>
  <si>
    <t>23</t>
  </si>
  <si>
    <t>Italy</t>
  </si>
  <si>
    <t>September 30, 2014</t>
  </si>
  <si>
    <t>24</t>
  </si>
  <si>
    <t>South Africa</t>
  </si>
  <si>
    <t>25</t>
  </si>
  <si>
    <t>Burma</t>
  </si>
  <si>
    <t>March 29, 2014</t>
  </si>
  <si>
    <t>26</t>
  </si>
  <si>
    <t>South Korea</t>
  </si>
  <si>
    <t>27</t>
  </si>
  <si>
    <t>Colombia</t>
  </si>
  <si>
    <t>28</t>
  </si>
  <si>
    <t>Tanzania</t>
  </si>
  <si>
    <t>29</t>
  </si>
  <si>
    <t>Kenya</t>
  </si>
  <si>
    <t>30</t>
  </si>
  <si>
    <t>Spain</t>
  </si>
  <si>
    <t>31</t>
  </si>
  <si>
    <t>Argentina</t>
  </si>
  <si>
    <t>32</t>
  </si>
  <si>
    <t>Ukraine</t>
  </si>
  <si>
    <t>33</t>
  </si>
  <si>
    <t>Algeria</t>
  </si>
  <si>
    <t>34</t>
  </si>
  <si>
    <t>Poland</t>
  </si>
  <si>
    <t>35</t>
  </si>
  <si>
    <t>Sudan</t>
  </si>
  <si>
    <t>36</t>
  </si>
  <si>
    <t>Iraq</t>
  </si>
  <si>
    <t>37</t>
  </si>
  <si>
    <t>Canada</t>
  </si>
  <si>
    <t>October 1, 2014</t>
  </si>
  <si>
    <t>38</t>
  </si>
  <si>
    <t>Uganda</t>
  </si>
  <si>
    <t>August 28, 2014</t>
  </si>
  <si>
    <t>39</t>
  </si>
  <si>
    <t>Morocco</t>
  </si>
  <si>
    <t>40</t>
  </si>
  <si>
    <t>Saudi Arabia</t>
  </si>
  <si>
    <t>41</t>
  </si>
  <si>
    <t>Peru</t>
  </si>
  <si>
    <t>42</t>
  </si>
  <si>
    <t>Venezuela</t>
  </si>
  <si>
    <t>43</t>
  </si>
  <si>
    <t>Malaysia</t>
  </si>
  <si>
    <t>44</t>
  </si>
  <si>
    <t>Uzbekistan</t>
  </si>
  <si>
    <t>January 1, 2014</t>
  </si>
  <si>
    <t>45</t>
  </si>
  <si>
    <t>Nepal</t>
  </si>
  <si>
    <t>46</t>
  </si>
  <si>
    <t>Ghana</t>
  </si>
  <si>
    <t>47</t>
  </si>
  <si>
    <t>Afghanistan</t>
  </si>
  <si>
    <t>48</t>
  </si>
  <si>
    <t>Yemen</t>
  </si>
  <si>
    <t>49</t>
  </si>
  <si>
    <t>Mozambique</t>
  </si>
  <si>
    <t>50</t>
  </si>
  <si>
    <t>North Korea</t>
  </si>
  <si>
    <t>51</t>
  </si>
  <si>
    <t>Angola</t>
  </si>
  <si>
    <t>May 16, 2014</t>
  </si>
  <si>
    <t>52</t>
  </si>
  <si>
    <t>Australia</t>
  </si>
  <si>
    <t>53</t>
  </si>
  <si>
    <t>Taiwan</t>
  </si>
  <si>
    <t>January 31, 2015</t>
  </si>
  <si>
    <t>54</t>
  </si>
  <si>
    <t>Syria</t>
  </si>
  <si>
    <t>55</t>
  </si>
  <si>
    <t>Ivory Coast</t>
  </si>
  <si>
    <t>May 15, 2014</t>
  </si>
  <si>
    <t>56</t>
  </si>
  <si>
    <t>Madagascar</t>
  </si>
  <si>
    <t>57</t>
  </si>
  <si>
    <t>Cameroon</t>
  </si>
  <si>
    <t>58</t>
  </si>
  <si>
    <t>Sri Lanka</t>
  </si>
  <si>
    <t>March 19, 2012</t>
  </si>
  <si>
    <t>59</t>
  </si>
  <si>
    <t>60</t>
  </si>
  <si>
    <t>Niger</t>
  </si>
  <si>
    <t>61</t>
  </si>
  <si>
    <t>Burkina Faso</t>
  </si>
  <si>
    <t>62</t>
  </si>
  <si>
    <t>Chile</t>
  </si>
  <si>
    <t>63</t>
  </si>
  <si>
    <t>Kazakhstan</t>
  </si>
  <si>
    <t>64</t>
  </si>
  <si>
    <t>Netherlands</t>
  </si>
  <si>
    <t>65</t>
  </si>
  <si>
    <t>Malawi</t>
  </si>
  <si>
    <t>66</t>
  </si>
  <si>
    <t>Mali</t>
  </si>
  <si>
    <t>67</t>
  </si>
  <si>
    <t>Ecuador</t>
  </si>
  <si>
    <t>68</t>
  </si>
  <si>
    <t>Guatemala</t>
  </si>
  <si>
    <t>69</t>
  </si>
  <si>
    <t>Zambia</t>
  </si>
  <si>
    <t>70</t>
  </si>
  <si>
    <t>Cambodia</t>
  </si>
  <si>
    <t>71</t>
  </si>
  <si>
    <t>Chad</t>
  </si>
  <si>
    <t>72</t>
  </si>
  <si>
    <t>Senegal</t>
  </si>
  <si>
    <t>November 19, 2013</t>
  </si>
  <si>
    <t>73</t>
  </si>
  <si>
    <t>Zimbabwe</t>
  </si>
  <si>
    <t>August 17, 2012</t>
  </si>
  <si>
    <t>74</t>
  </si>
  <si>
    <t>South Sudan</t>
  </si>
  <si>
    <t>75</t>
  </si>
  <si>
    <t>Bolivia</t>
  </si>
  <si>
    <t>76</t>
  </si>
  <si>
    <t>Belgium</t>
  </si>
  <si>
    <t>77</t>
  </si>
  <si>
    <t>Cuba</t>
  </si>
  <si>
    <t>December 31, 2013</t>
  </si>
  <si>
    <t>78</t>
  </si>
  <si>
    <t>Somalia</t>
  </si>
  <si>
    <t>79</t>
  </si>
  <si>
    <t>Rwanda</t>
  </si>
  <si>
    <t>80</t>
  </si>
  <si>
    <t>Greece</t>
  </si>
  <si>
    <t>81</t>
  </si>
  <si>
    <t>Tunisia</t>
  </si>
  <si>
    <t>April 23, 2014</t>
  </si>
  <si>
    <t>82</t>
  </si>
  <si>
    <t>Haiti</t>
  </si>
  <si>
    <t>83</t>
  </si>
  <si>
    <t>Guinea</t>
  </si>
  <si>
    <t>April 2, 2014</t>
  </si>
  <si>
    <t>84</t>
  </si>
  <si>
    <t>Czech Republic</t>
  </si>
  <si>
    <t>85</t>
  </si>
  <si>
    <t>Portugal</t>
  </si>
  <si>
    <t>86</t>
  </si>
  <si>
    <t>Dominican Republic</t>
  </si>
  <si>
    <t>87</t>
  </si>
  <si>
    <t>Benin</t>
  </si>
  <si>
    <t>88</t>
  </si>
  <si>
    <t>Hungary</t>
  </si>
  <si>
    <t>89</t>
  </si>
  <si>
    <t>Burundi</t>
  </si>
  <si>
    <t>90</t>
  </si>
  <si>
    <t>Sweden</t>
  </si>
  <si>
    <t>91</t>
  </si>
  <si>
    <t>Azerbaijan</t>
  </si>
  <si>
    <t>92</t>
  </si>
  <si>
    <t>United Arab Emirates</t>
  </si>
  <si>
    <t>93</t>
  </si>
  <si>
    <t>Belarus</t>
  </si>
  <si>
    <t>94</t>
  </si>
  <si>
    <t>Honduras</t>
  </si>
  <si>
    <t>95</t>
  </si>
  <si>
    <t>Austria</t>
  </si>
  <si>
    <t>96</t>
  </si>
  <si>
    <t>Tajikistan</t>
  </si>
  <si>
    <t>97</t>
  </si>
  <si>
    <t>Israel</t>
  </si>
  <si>
    <t>98</t>
  </si>
  <si>
    <t>Switzerland</t>
  </si>
  <si>
    <t>99</t>
  </si>
  <si>
    <t>Papua New Guinea</t>
  </si>
  <si>
    <t>100</t>
  </si>
  <si>
    <t>Hong Kong (China)</t>
  </si>
  <si>
    <t>101</t>
  </si>
  <si>
    <t>Bulgaria</t>
  </si>
  <si>
    <t>102</t>
  </si>
  <si>
    <t>Togo</t>
  </si>
  <si>
    <t>103</t>
  </si>
  <si>
    <t>Serbia</t>
  </si>
  <si>
    <t>104</t>
  </si>
  <si>
    <t>Paraguay</t>
  </si>
  <si>
    <t>2015</t>
  </si>
  <si>
    <t>105</t>
  </si>
  <si>
    <t>Laos</t>
  </si>
  <si>
    <t>106</t>
  </si>
  <si>
    <t>Eritrea</t>
  </si>
  <si>
    <t>107</t>
  </si>
  <si>
    <t>Jordan</t>
  </si>
  <si>
    <t>108</t>
  </si>
  <si>
    <t>El Salvador</t>
  </si>
  <si>
    <t>2014</t>
  </si>
  <si>
    <t>109</t>
  </si>
  <si>
    <t>Sierra Leone</t>
  </si>
  <si>
    <t>110</t>
  </si>
  <si>
    <t>Libya</t>
  </si>
  <si>
    <t>111</t>
  </si>
  <si>
    <t>Nicaragua</t>
  </si>
  <si>
    <t>2013</t>
  </si>
  <si>
    <t>112</t>
  </si>
  <si>
    <t>Kyrgyzstan</t>
  </si>
  <si>
    <t>113</t>
  </si>
  <si>
    <t>Denmark</t>
  </si>
  <si>
    <t>114</t>
  </si>
  <si>
    <t>Finland</t>
  </si>
  <si>
    <t>115</t>
  </si>
  <si>
    <t>Singapore</t>
  </si>
  <si>
    <t>116</t>
  </si>
  <si>
    <t>Slovakia</t>
  </si>
  <si>
    <t>117</t>
  </si>
  <si>
    <t>118</t>
  </si>
  <si>
    <t>Central African Republic</t>
  </si>
  <si>
    <t>119</t>
  </si>
  <si>
    <t>Costa Rica</t>
  </si>
  <si>
    <t>120</t>
  </si>
  <si>
    <t>Turkmenistan</t>
  </si>
  <si>
    <t>December 27, 2012</t>
  </si>
  <si>
    <t>121</t>
  </si>
  <si>
    <t>Republic of the Congo</t>
  </si>
  <si>
    <t>122</t>
  </si>
  <si>
    <t>Ireland</t>
  </si>
  <si>
    <t>April 1, 2014</t>
  </si>
  <si>
    <t>123</t>
  </si>
  <si>
    <t>New Zealand</t>
  </si>
  <si>
    <t>124</t>
  </si>
  <si>
    <t>Palestine</t>
  </si>
  <si>
    <t>125</t>
  </si>
  <si>
    <t>Liberia</t>
  </si>
  <si>
    <t>126</t>
  </si>
  <si>
    <t>Georgia</t>
  </si>
  <si>
    <t>127</t>
  </si>
  <si>
    <t>Croatia</t>
  </si>
  <si>
    <t>July 1, 2012</t>
  </si>
  <si>
    <t>128</t>
  </si>
  <si>
    <t>Oman</t>
  </si>
  <si>
    <t>February 18, 2015</t>
  </si>
  <si>
    <t>129</t>
  </si>
  <si>
    <t>Lebanon</t>
  </si>
  <si>
    <t>130</t>
  </si>
  <si>
    <t>Bosnia and Herzegovina</t>
  </si>
  <si>
    <t>October 15, 2013</t>
  </si>
  <si>
    <t>131</t>
  </si>
  <si>
    <t>Panama</t>
  </si>
  <si>
    <t>132</t>
  </si>
  <si>
    <t>Mauritania</t>
  </si>
  <si>
    <t>133</t>
  </si>
  <si>
    <t>Moldova</t>
  </si>
  <si>
    <t>134</t>
  </si>
  <si>
    <t>Puerto Rico (U.S.)</t>
  </si>
  <si>
    <t>135</t>
  </si>
  <si>
    <t>Uruguay</t>
  </si>
  <si>
    <t>136</t>
  </si>
  <si>
    <t>Kuwait</t>
  </si>
  <si>
    <t>137</t>
  </si>
  <si>
    <t>Armenia</t>
  </si>
  <si>
    <t>138</t>
  </si>
  <si>
    <t>Mongolia</t>
  </si>
  <si>
    <t>January 24, 2015</t>
  </si>
  <si>
    <t>139</t>
  </si>
  <si>
    <t>Lithuania</t>
  </si>
  <si>
    <t>February 1, 2014</t>
  </si>
  <si>
    <t>140</t>
  </si>
  <si>
    <t>Albania</t>
  </si>
  <si>
    <t>141</t>
  </si>
  <si>
    <t>142</t>
  </si>
  <si>
    <t>Qatar</t>
  </si>
  <si>
    <t>February 28, 2015</t>
  </si>
  <si>
    <t>143</t>
  </si>
  <si>
    <t>Lesotho</t>
  </si>
  <si>
    <t>144</t>
  </si>
  <si>
    <t>Namibia</t>
  </si>
  <si>
    <t>August 28, 2011</t>
  </si>
  <si>
    <t>145</t>
  </si>
  <si>
    <t>Macedonia</t>
  </si>
  <si>
    <t>146</t>
  </si>
  <si>
    <t>Slovenia</t>
  </si>
  <si>
    <t>147</t>
  </si>
  <si>
    <t>Botswana</t>
  </si>
  <si>
    <t>August 22, 2011</t>
  </si>
  <si>
    <t>148</t>
  </si>
  <si>
    <t>Latvia</t>
  </si>
  <si>
    <t>149</t>
  </si>
  <si>
    <t>The Gambia</t>
  </si>
  <si>
    <t>April 15, 2013</t>
  </si>
  <si>
    <t>150</t>
  </si>
  <si>
    <t>Kosovo</t>
  </si>
  <si>
    <t>151</t>
  </si>
  <si>
    <t>Guinea-Bissau</t>
  </si>
  <si>
    <t>152</t>
  </si>
  <si>
    <t>Gabon</t>
  </si>
  <si>
    <t>153</t>
  </si>
  <si>
    <t>Equatorial Guinea</t>
  </si>
  <si>
    <t>154</t>
  </si>
  <si>
    <t>Trinidad and Tobago</t>
  </si>
  <si>
    <t>January 9, 2011</t>
  </si>
  <si>
    <t>155</t>
  </si>
  <si>
    <t>Bahrain</t>
  </si>
  <si>
    <t>156</t>
  </si>
  <si>
    <t>Estonia</t>
  </si>
  <si>
    <t>157</t>
  </si>
  <si>
    <t>Mauritius</t>
  </si>
  <si>
    <t>158</t>
  </si>
  <si>
    <t>East Timor</t>
  </si>
  <si>
    <t>159</t>
  </si>
  <si>
    <t>Swaziland</t>
  </si>
  <si>
    <t>160</t>
  </si>
  <si>
    <t>Djibouti</t>
  </si>
  <si>
    <t>161</t>
  </si>
  <si>
    <t>Fiji</t>
  </si>
  <si>
    <t>162</t>
  </si>
  <si>
    <t>Cyprus</t>
  </si>
  <si>
    <t>163</t>
  </si>
  <si>
    <t>Réunion (France)</t>
  </si>
  <si>
    <t>164</t>
  </si>
  <si>
    <t>Comoros</t>
  </si>
  <si>
    <t>165</t>
  </si>
  <si>
    <t>Bhutan</t>
  </si>
  <si>
    <t>166</t>
  </si>
  <si>
    <t>Guyana</t>
  </si>
  <si>
    <t>167</t>
  </si>
  <si>
    <t>Macau (China)</t>
  </si>
  <si>
    <t>168</t>
  </si>
  <si>
    <t>Montenegro</t>
  </si>
  <si>
    <t>April 1, 2011</t>
  </si>
  <si>
    <t>169</t>
  </si>
  <si>
    <t>Western Sahara</t>
  </si>
  <si>
    <t>170</t>
  </si>
  <si>
    <t>Solomon Islands</t>
  </si>
  <si>
    <t>171</t>
  </si>
  <si>
    <t>Luxembourg</t>
  </si>
  <si>
    <t>172</t>
  </si>
  <si>
    <t>Suriname</t>
  </si>
  <si>
    <t>August 13, 2012</t>
  </si>
  <si>
    <t>173</t>
  </si>
  <si>
    <t>Cape Verde</t>
  </si>
  <si>
    <t>174</t>
  </si>
  <si>
    <t>Transnistria</t>
  </si>
  <si>
    <t>175</t>
  </si>
  <si>
    <t>Malta</t>
  </si>
  <si>
    <t>176</t>
  </si>
  <si>
    <t>Guadeloupe (France)</t>
  </si>
  <si>
    <t>January 1, 2013</t>
  </si>
  <si>
    <t>177</t>
  </si>
  <si>
    <t>Brunei</t>
  </si>
  <si>
    <t>June 20, 2011</t>
  </si>
  <si>
    <t>178</t>
  </si>
  <si>
    <t>Martinique (France)</t>
  </si>
  <si>
    <t>179</t>
  </si>
  <si>
    <t>The Bahamas</t>
  </si>
  <si>
    <t>180</t>
  </si>
  <si>
    <t>Belize</t>
  </si>
  <si>
    <t>181</t>
  </si>
  <si>
    <t>Maldives</t>
  </si>
  <si>
    <t>September 20, 2014</t>
  </si>
  <si>
    <t>182</t>
  </si>
  <si>
    <t>Iceland</t>
  </si>
  <si>
    <t>183</t>
  </si>
  <si>
    <t>Northern Cyprus</t>
  </si>
  <si>
    <t>April 30, 2006</t>
  </si>
  <si>
    <t>184</t>
  </si>
  <si>
    <t>Barbados</t>
  </si>
  <si>
    <t>185</t>
  </si>
  <si>
    <t>New Caledonia (France)</t>
  </si>
  <si>
    <t>August 26, 2014</t>
  </si>
  <si>
    <t>186</t>
  </si>
  <si>
    <t>French Polynesia (France)</t>
  </si>
  <si>
    <t>August 22, 2012</t>
  </si>
  <si>
    <t>187</t>
  </si>
  <si>
    <t>Vanuatu</t>
  </si>
  <si>
    <t>188</t>
  </si>
  <si>
    <t>Abkhazia</t>
  </si>
  <si>
    <t>2011</t>
  </si>
  <si>
    <t>189</t>
  </si>
  <si>
    <t>French Guiana (France)</t>
  </si>
  <si>
    <t>January 1, 2012</t>
  </si>
  <si>
    <t>190</t>
  </si>
  <si>
    <t>Mayotte (France)</t>
  </si>
  <si>
    <t>August 21, 2012</t>
  </si>
  <si>
    <t>191</t>
  </si>
  <si>
    <t>Samoa</t>
  </si>
  <si>
    <t>November 7, 2011</t>
  </si>
  <si>
    <t>192</t>
  </si>
  <si>
    <t>São Tomé and Príncipe</t>
  </si>
  <si>
    <t>May 13, 2012</t>
  </si>
  <si>
    <t>193</t>
  </si>
  <si>
    <t>Saint Lucia</t>
  </si>
  <si>
    <t>194</t>
  </si>
  <si>
    <t>Guam (U.S.)</t>
  </si>
  <si>
    <t>April 1, 2010</t>
  </si>
  <si>
    <t>195</t>
  </si>
  <si>
    <t>Curaçao (Netherlands)</t>
  </si>
  <si>
    <t>196</t>
  </si>
  <si>
    <t>Saint Vincent and the Grenadines</t>
  </si>
  <si>
    <t>197</t>
  </si>
  <si>
    <t>Aruba (Netherlands)</t>
  </si>
  <si>
    <t>October 31, 2014</t>
  </si>
  <si>
    <t>198</t>
  </si>
  <si>
    <t>Kiribati</t>
  </si>
  <si>
    <t>199</t>
  </si>
  <si>
    <t>United States Virgin Islands (U.S.)</t>
  </si>
  <si>
    <t>200</t>
  </si>
  <si>
    <t>Grenada</t>
  </si>
  <si>
    <t>May 12, 2011</t>
  </si>
  <si>
    <t>201</t>
  </si>
  <si>
    <t>Tonga</t>
  </si>
  <si>
    <t>November 30, 2011</t>
  </si>
  <si>
    <t>202</t>
  </si>
  <si>
    <t>Federated States of Micronesia</t>
  </si>
  <si>
    <t>203</t>
  </si>
  <si>
    <t>Jersey (UK)</t>
  </si>
  <si>
    <t>December 31, 2012</t>
  </si>
  <si>
    <t>204</t>
  </si>
  <si>
    <t>Seychelles</t>
  </si>
  <si>
    <t>205</t>
  </si>
  <si>
    <t>Antigua and Barbuda</t>
  </si>
  <si>
    <t>May 27, 2011</t>
  </si>
  <si>
    <t>206</t>
  </si>
  <si>
    <t>Isle of Man (UK)</t>
  </si>
  <si>
    <t>March 27, 2011</t>
  </si>
  <si>
    <t>207</t>
  </si>
  <si>
    <t>Andorra</t>
  </si>
  <si>
    <t>208</t>
  </si>
  <si>
    <t>Dominica</t>
  </si>
  <si>
    <t>May 14, 2011</t>
  </si>
  <si>
    <t>209</t>
  </si>
  <si>
    <t>Bermuda (UK)</t>
  </si>
  <si>
    <t>May 20, 2010</t>
  </si>
  <si>
    <t>210</t>
  </si>
  <si>
    <t>Guernsey (UK)</t>
  </si>
  <si>
    <t>March 31, 2012</t>
  </si>
  <si>
    <t>211</t>
  </si>
  <si>
    <t>Marshall Islands</t>
  </si>
  <si>
    <t>212</t>
  </si>
  <si>
    <t>Greenland (Denmark)</t>
  </si>
  <si>
    <t>213</t>
  </si>
  <si>
    <t>Cayman Islands (UK)</t>
  </si>
  <si>
    <t>214</t>
  </si>
  <si>
    <t>American Samoa (U.S.)</t>
  </si>
  <si>
    <t>215</t>
  </si>
  <si>
    <t>Saint Kitts and Nevis</t>
  </si>
  <si>
    <t>216</t>
  </si>
  <si>
    <t>Northern Mariana Islands (U.S.)</t>
  </si>
  <si>
    <t>217</t>
  </si>
  <si>
    <t>South Ossetia</t>
  </si>
  <si>
    <t>January, 2013</t>
  </si>
  <si>
    <t>218</t>
  </si>
  <si>
    <t>Faroe Islands (Denmark)</t>
  </si>
  <si>
    <t>December 1, 2014</t>
  </si>
  <si>
    <t>219</t>
  </si>
  <si>
    <t>Sint Maarten (Netherlands)</t>
  </si>
  <si>
    <t>January 1, 2010</t>
  </si>
  <si>
    <t>220</t>
  </si>
  <si>
    <t>Liechtenstein</t>
  </si>
  <si>
    <t>221</t>
  </si>
  <si>
    <t>Monaco</t>
  </si>
  <si>
    <t>222</t>
  </si>
  <si>
    <t>Collectivity of Saint Martin (France)</t>
  </si>
  <si>
    <t>223</t>
  </si>
  <si>
    <t>San Marino</t>
  </si>
  <si>
    <t>224</t>
  </si>
  <si>
    <t>Turks and Caicos Islands (UK)</t>
  </si>
  <si>
    <t>January 25, 2012</t>
  </si>
  <si>
    <t>225</t>
  </si>
  <si>
    <t>Gibraltar (UK)</t>
  </si>
  <si>
    <t>226</t>
  </si>
  <si>
    <t>Åland Islands (Finland)</t>
  </si>
  <si>
    <t>227</t>
  </si>
  <si>
    <t>British Virgin Islands (UK)</t>
  </si>
  <si>
    <t>July 12, 2010</t>
  </si>
  <si>
    <t>228</t>
  </si>
  <si>
    <t>Caribbean Netherlands (Netherlands)</t>
  </si>
  <si>
    <t>229</t>
  </si>
  <si>
    <t>Palau</t>
  </si>
  <si>
    <t>230</t>
  </si>
  <si>
    <t>Cook Islands (New Zealand)</t>
  </si>
  <si>
    <t>December 1, 2011</t>
  </si>
  <si>
    <t>231</t>
  </si>
  <si>
    <t>Anguilla (UK)</t>
  </si>
  <si>
    <t>May 11, 2011</t>
  </si>
  <si>
    <t>232</t>
  </si>
  <si>
    <t>Wallis and Futuna (France)</t>
  </si>
  <si>
    <t>233</t>
  </si>
  <si>
    <t>Tuvalu</t>
  </si>
  <si>
    <t>234</t>
  </si>
  <si>
    <t>Nauru</t>
  </si>
  <si>
    <t>October 30, 2011</t>
  </si>
  <si>
    <t>235</t>
  </si>
  <si>
    <t>Saint Barthélemy (France)</t>
  </si>
  <si>
    <t>236</t>
  </si>
  <si>
    <t>Saint Pierre and Miquelon (France)</t>
  </si>
  <si>
    <t>237</t>
  </si>
  <si>
    <t>Montserrat (UK)</t>
  </si>
  <si>
    <t>238</t>
  </si>
  <si>
    <t>Saint Helena, Ascension and Tristan da Cunha (UK)</t>
  </si>
  <si>
    <t>239</t>
  </si>
  <si>
    <t>Falkland Islands (UK)</t>
  </si>
  <si>
    <t>240</t>
  </si>
  <si>
    <t>Svalbard and Jan Mayen (Norway)</t>
  </si>
  <si>
    <t>241</t>
  </si>
  <si>
    <t>Norfolk Island (Australia)</t>
  </si>
  <si>
    <t>August 9, 2011</t>
  </si>
  <si>
    <t>242</t>
  </si>
  <si>
    <t>Christmas Island (Australia)</t>
  </si>
  <si>
    <t>243</t>
  </si>
  <si>
    <t>Niue (New Zealand)</t>
  </si>
  <si>
    <t>September 10, 2011</t>
  </si>
  <si>
    <t>244</t>
  </si>
  <si>
    <t>Tokelau (NZ)</t>
  </si>
  <si>
    <t>October 18, 2011</t>
  </si>
  <si>
    <t>245</t>
  </si>
  <si>
    <t>Vatican City</t>
  </si>
  <si>
    <t>246</t>
  </si>
  <si>
    <t>Cocos (Keeling) Islands (Australia)</t>
  </si>
  <si>
    <t>247</t>
  </si>
  <si>
    <t>Pitcairn Islands (UK)</t>
  </si>
  <si>
    <t>Percentage</t>
  </si>
  <si>
    <t>3/6/2015</t>
  </si>
  <si>
    <t>7/1/2015</t>
  </si>
  <si>
    <t>1/1/2015</t>
  </si>
  <si>
    <t>2/1/2015</t>
  </si>
  <si>
    <t>7/1/2014</t>
  </si>
  <si>
    <t>6/30/2014</t>
  </si>
  <si>
    <t>12/31/2014</t>
  </si>
  <si>
    <t>7/1/2013</t>
  </si>
  <si>
    <t>9/30/2014</t>
  </si>
  <si>
    <t>3/29/2014</t>
  </si>
  <si>
    <t>10/1/2014</t>
  </si>
  <si>
    <t>8/28/2014</t>
  </si>
  <si>
    <t>1/1/2014</t>
  </si>
  <si>
    <t>5/16/2014</t>
  </si>
  <si>
    <t>1/31/2015</t>
  </si>
  <si>
    <t>5/15/2014</t>
  </si>
  <si>
    <t>3/19/2012</t>
  </si>
  <si>
    <t>11/19/2013</t>
  </si>
  <si>
    <t>8/17/2012</t>
  </si>
  <si>
    <t>12/31/2013</t>
  </si>
  <si>
    <t>4/23/2014</t>
  </si>
  <si>
    <t>4/2/2014</t>
  </si>
  <si>
    <t>1/1/2013</t>
  </si>
  <si>
    <t>12/27/2012</t>
  </si>
  <si>
    <t>4/1/2014</t>
  </si>
  <si>
    <t>7/1/2012</t>
  </si>
  <si>
    <t>2/18/2015</t>
  </si>
  <si>
    <t>10/15/2013</t>
  </si>
  <si>
    <t>1/24/2015</t>
  </si>
  <si>
    <t>2/1/2014</t>
  </si>
  <si>
    <t>2/28/2015</t>
  </si>
  <si>
    <t>8/28/2011</t>
  </si>
  <si>
    <t>8/22/2011</t>
  </si>
  <si>
    <t>4/15/2013</t>
  </si>
  <si>
    <t>1/9/2011</t>
  </si>
  <si>
    <t>4/1/2011</t>
  </si>
  <si>
    <t>8/13/2012</t>
  </si>
  <si>
    <t>6/20/2011</t>
  </si>
  <si>
    <t>9/20/2014</t>
  </si>
  <si>
    <t>4/30/2006</t>
  </si>
  <si>
    <t>8/26/2014</t>
  </si>
  <si>
    <t>8/22/2012</t>
  </si>
  <si>
    <t>1/1/2011</t>
  </si>
  <si>
    <t>1/1/2012</t>
  </si>
  <si>
    <t>8/21/2012</t>
  </si>
  <si>
    <t>11/7/2011</t>
  </si>
  <si>
    <t>5/13/2012</t>
  </si>
  <si>
    <t>4/1/2010</t>
  </si>
  <si>
    <t>10/31/2014</t>
  </si>
  <si>
    <t>5/12/2011</t>
  </si>
  <si>
    <t>11/30/2011</t>
  </si>
  <si>
    <t>12/31/2012</t>
  </si>
  <si>
    <t>5/27/2011</t>
  </si>
  <si>
    <t>3/27/2011</t>
  </si>
  <si>
    <t>5/14/2011</t>
  </si>
  <si>
    <t>5/20/2010</t>
  </si>
  <si>
    <t>3/31/2012</t>
  </si>
  <si>
    <t>12/1/2014</t>
  </si>
  <si>
    <t>1/1/2010</t>
  </si>
  <si>
    <t>1/25/2012</t>
  </si>
  <si>
    <t>7/12/2010</t>
  </si>
  <si>
    <t>12/1/2011</t>
  </si>
  <si>
    <t>5/11/2011</t>
  </si>
  <si>
    <t>10/30/2011</t>
  </si>
  <si>
    <t>8/9/2011</t>
  </si>
  <si>
    <t>9/10/2011</t>
  </si>
  <si>
    <t>10/18/2011</t>
  </si>
  <si>
    <t>Price</t>
  </si>
  <si>
    <t>Change</t>
  </si>
  <si>
    <t>180.50p</t>
  </si>
  <si>
    <t>97.50p</t>
  </si>
  <si>
    <t>3.13p</t>
  </si>
  <si>
    <t>8.63p</t>
  </si>
  <si>
    <t>102.13p</t>
  </si>
  <si>
    <t>13.63p</t>
  </si>
  <si>
    <t>73.50p</t>
  </si>
  <si>
    <t>190.80p</t>
  </si>
  <si>
    <t>25.25p</t>
  </si>
  <si>
    <t>59.00p</t>
  </si>
  <si>
    <t>327.13p</t>
  </si>
  <si>
    <t>1,193.50p</t>
  </si>
  <si>
    <t>3,214.00p</t>
  </si>
  <si>
    <t>1,469.50p</t>
  </si>
  <si>
    <t>152.50p</t>
  </si>
  <si>
    <t>392.88p</t>
  </si>
  <si>
    <t>875.00p</t>
  </si>
  <si>
    <t>0.00$</t>
  </si>
  <si>
    <t>476.13p</t>
  </si>
  <si>
    <t>197.63p</t>
  </si>
  <si>
    <t>114.13p</t>
  </si>
  <si>
    <t>886.25p</t>
  </si>
  <si>
    <t>464.20p</t>
  </si>
  <si>
    <t>498.50p</t>
  </si>
  <si>
    <t>65.25p</t>
  </si>
  <si>
    <t>1.00p</t>
  </si>
  <si>
    <t>188.88p</t>
  </si>
  <si>
    <t>457.50p</t>
  </si>
  <si>
    <t>89.88p</t>
  </si>
  <si>
    <t>201.00p</t>
  </si>
  <si>
    <t>328.38p</t>
  </si>
  <si>
    <t>174.00p</t>
  </si>
  <si>
    <t>151.00p</t>
  </si>
  <si>
    <t>1,090.00p</t>
  </si>
  <si>
    <t>82.25p</t>
  </si>
  <si>
    <t>264.20p</t>
  </si>
  <si>
    <t>274.00p</t>
  </si>
  <si>
    <t>2.63p</t>
  </si>
  <si>
    <t>576.00p</t>
  </si>
  <si>
    <t>69.63p</t>
  </si>
  <si>
    <t>27.75p</t>
  </si>
  <si>
    <t>106.00p</t>
  </si>
  <si>
    <t>309.50p</t>
  </si>
  <si>
    <t>0.00p</t>
  </si>
  <si>
    <t>55.00p</t>
  </si>
  <si>
    <t>5.05p</t>
  </si>
  <si>
    <t>185.00p</t>
  </si>
  <si>
    <t>0.15€</t>
  </si>
  <si>
    <t>0.73$</t>
  </si>
  <si>
    <t>1,513.00p</t>
  </si>
  <si>
    <t>444.75p</t>
  </si>
  <si>
    <t>57.38p</t>
  </si>
  <si>
    <t>139.63p</t>
  </si>
  <si>
    <t>142.75p</t>
  </si>
  <si>
    <t>4.85p</t>
  </si>
  <si>
    <t>32.00p</t>
  </si>
  <si>
    <t>2.34€</t>
  </si>
  <si>
    <t>32.50p</t>
  </si>
  <si>
    <t>150.00p</t>
  </si>
  <si>
    <t>0.33$</t>
  </si>
  <si>
    <t>6.43p</t>
  </si>
  <si>
    <t>0.41p</t>
  </si>
  <si>
    <t>0.87$</t>
  </si>
  <si>
    <t>0.96$</t>
  </si>
  <si>
    <t>0.70p</t>
  </si>
  <si>
    <t>0.35p</t>
  </si>
  <si>
    <t>0.78p</t>
  </si>
  <si>
    <t>1,605.00p</t>
  </si>
  <si>
    <t>0.58p</t>
  </si>
  <si>
    <t>287.13p</t>
  </si>
  <si>
    <t>232.50p</t>
  </si>
  <si>
    <t>951.25p</t>
  </si>
  <si>
    <t>0.28p</t>
  </si>
  <si>
    <t>100.00p</t>
  </si>
  <si>
    <t>69.00p</t>
  </si>
  <si>
    <t>88.00p</t>
  </si>
  <si>
    <t>76.50p</t>
  </si>
  <si>
    <t>66.00p</t>
  </si>
  <si>
    <t>106.63p</t>
  </si>
  <si>
    <t>0.16p</t>
  </si>
  <si>
    <t>381.00p</t>
  </si>
  <si>
    <t>20.75p</t>
  </si>
  <si>
    <t>18.00p</t>
  </si>
  <si>
    <t>21.50p</t>
  </si>
  <si>
    <t>25.50p</t>
  </si>
  <si>
    <t>38.00p</t>
  </si>
  <si>
    <t>500.75p</t>
  </si>
  <si>
    <t>590.00p</t>
  </si>
  <si>
    <t>580.50p</t>
  </si>
  <si>
    <t>1.88p</t>
  </si>
  <si>
    <t>70.50p</t>
  </si>
  <si>
    <t>3.85p</t>
  </si>
  <si>
    <t>46.38p</t>
  </si>
  <si>
    <t>0.10p</t>
  </si>
  <si>
    <t>492.50p</t>
  </si>
  <si>
    <t>16.75p</t>
  </si>
  <si>
    <t>58.00p</t>
  </si>
  <si>
    <t>156.50p</t>
  </si>
  <si>
    <t>17.00p</t>
  </si>
  <si>
    <t>102.00p</t>
  </si>
  <si>
    <t>67.00p</t>
  </si>
  <si>
    <t>10.88p</t>
  </si>
  <si>
    <t>913.25p</t>
  </si>
  <si>
    <t>0.38p</t>
  </si>
  <si>
    <t>33.25p</t>
  </si>
  <si>
    <t>155.00p</t>
  </si>
  <si>
    <t>2.03p</t>
  </si>
  <si>
    <t>138.00p</t>
  </si>
  <si>
    <t>505.75p</t>
  </si>
  <si>
    <t>8.23p</t>
  </si>
  <si>
    <t>20.88p</t>
  </si>
  <si>
    <t>312.50p</t>
  </si>
  <si>
    <t>2.13p</t>
  </si>
  <si>
    <t>1,153.75p</t>
  </si>
  <si>
    <t>4.50p</t>
  </si>
  <si>
    <t>91.75p</t>
  </si>
  <si>
    <t>595.25p</t>
  </si>
  <si>
    <t>194.00p</t>
  </si>
  <si>
    <t>291.00p</t>
  </si>
  <si>
    <t>754.00p</t>
  </si>
  <si>
    <t>1.75p</t>
  </si>
  <si>
    <t>29.50p</t>
  </si>
  <si>
    <t>171.50p</t>
  </si>
  <si>
    <t>13.50p</t>
  </si>
  <si>
    <t>12.50p</t>
  </si>
  <si>
    <t>10.75p</t>
  </si>
  <si>
    <t>57.50p</t>
  </si>
  <si>
    <t>1,508.00p</t>
  </si>
  <si>
    <t>0.18$</t>
  </si>
  <si>
    <t>0.19p</t>
  </si>
  <si>
    <t>52.50p</t>
  </si>
  <si>
    <t>8.88p</t>
  </si>
  <si>
    <t>5.88p</t>
  </si>
  <si>
    <t>30.50p</t>
  </si>
  <si>
    <t>0.83p</t>
  </si>
  <si>
    <t>44.00p</t>
  </si>
  <si>
    <t>0.04p</t>
  </si>
  <si>
    <t>6.00p</t>
  </si>
  <si>
    <t>0.02p</t>
  </si>
  <si>
    <t>35.00p</t>
  </si>
  <si>
    <t>2.25$</t>
  </si>
  <si>
    <t>245.38p</t>
  </si>
  <si>
    <t>62.50p</t>
  </si>
  <si>
    <t>27.00p</t>
  </si>
  <si>
    <t>277.13p</t>
  </si>
  <si>
    <t>6.13p</t>
  </si>
  <si>
    <t>0.18p</t>
  </si>
  <si>
    <t>0.45$</t>
  </si>
  <si>
    <t>266.50p</t>
  </si>
  <si>
    <t>29.00p</t>
  </si>
  <si>
    <t>4.38p</t>
  </si>
  <si>
    <t>3.90$</t>
  </si>
  <si>
    <t>3.80£</t>
  </si>
  <si>
    <t>289.50p</t>
  </si>
  <si>
    <t>1,115.50p</t>
  </si>
  <si>
    <t>6.63p</t>
  </si>
  <si>
    <t>16.00p</t>
  </si>
  <si>
    <t>212.38p</t>
  </si>
  <si>
    <t>292.50p</t>
  </si>
  <si>
    <t>120.00p</t>
  </si>
  <si>
    <t>3,129.50p</t>
  </si>
  <si>
    <t>55.63p</t>
  </si>
  <si>
    <t>4,439.50p</t>
  </si>
  <si>
    <t>195.00p</t>
  </si>
  <si>
    <t>1,331.50p</t>
  </si>
  <si>
    <t>0.14p</t>
  </si>
  <si>
    <t>128.00p</t>
  </si>
  <si>
    <t>28.00p</t>
  </si>
  <si>
    <t>5.38p</t>
  </si>
  <si>
    <t>7.80$</t>
  </si>
  <si>
    <t>57.00p</t>
  </si>
  <si>
    <t>137.50£</t>
  </si>
  <si>
    <t>8.75p</t>
  </si>
  <si>
    <t>42.25p</t>
  </si>
  <si>
    <t>22.00p</t>
  </si>
  <si>
    <t>7.25p</t>
  </si>
  <si>
    <t>0.30p</t>
  </si>
  <si>
    <t>148.00p</t>
  </si>
  <si>
    <t>9.75p</t>
  </si>
  <si>
    <t>0.95p</t>
  </si>
  <si>
    <t>0.85p</t>
  </si>
  <si>
    <t>19,038.60$</t>
  </si>
  <si>
    <t>40.50p</t>
  </si>
  <si>
    <t>239.13p</t>
  </si>
  <si>
    <t>10.50p</t>
  </si>
  <si>
    <t>151.50p</t>
  </si>
  <si>
    <t>131.00p</t>
  </si>
  <si>
    <t>105.00p</t>
  </si>
  <si>
    <t>144.75p</t>
  </si>
  <si>
    <t>572.25p</t>
  </si>
  <si>
    <t>5.25p</t>
  </si>
  <si>
    <t>735.50p</t>
  </si>
  <si>
    <t>42.63p</t>
  </si>
  <si>
    <t>Investment.1</t>
  </si>
  <si>
    <t>Investment.2</t>
  </si>
  <si>
    <t xml:space="preserve">AB Dynamics Ord 1p </t>
  </si>
  <si>
    <t>ABDP</t>
  </si>
  <si>
    <t xml:space="preserve">ADVFN </t>
  </si>
  <si>
    <t>AFN</t>
  </si>
  <si>
    <t xml:space="preserve">AEC Education </t>
  </si>
  <si>
    <t>AEC</t>
  </si>
  <si>
    <t xml:space="preserve">AFC Energy </t>
  </si>
  <si>
    <t>AFC</t>
  </si>
  <si>
    <t xml:space="preserve">AGA Rangemaster Group </t>
  </si>
  <si>
    <t>AGA</t>
  </si>
  <si>
    <t xml:space="preserve">AIREA </t>
  </si>
  <si>
    <t>AIEA</t>
  </si>
  <si>
    <t xml:space="preserve">ANGLE </t>
  </si>
  <si>
    <t>AGL</t>
  </si>
  <si>
    <t xml:space="preserve">AO World </t>
  </si>
  <si>
    <t>AO.</t>
  </si>
  <si>
    <t xml:space="preserve">APC Technology Group </t>
  </si>
  <si>
    <t>APC</t>
  </si>
  <si>
    <t xml:space="preserve">API Group </t>
  </si>
  <si>
    <t>API</t>
  </si>
  <si>
    <t xml:space="preserve">APR Energy </t>
  </si>
  <si>
    <t>APR</t>
  </si>
  <si>
    <t xml:space="preserve">ARM Holdings </t>
  </si>
  <si>
    <t>ARM</t>
  </si>
  <si>
    <t xml:space="preserve">ASOS </t>
  </si>
  <si>
    <t>ASC</t>
  </si>
  <si>
    <t xml:space="preserve">AVEVA Group </t>
  </si>
  <si>
    <t>AVV</t>
  </si>
  <si>
    <t xml:space="preserve">AVIVA 8 3/4% CUM </t>
  </si>
  <si>
    <t>AV.A</t>
  </si>
  <si>
    <t xml:space="preserve">Aa Ord 0.1p </t>
  </si>
  <si>
    <t>AA.</t>
  </si>
  <si>
    <t xml:space="preserve">Abbey </t>
  </si>
  <si>
    <t>ABBY</t>
  </si>
  <si>
    <t xml:space="preserve">Abbott Laboratories </t>
  </si>
  <si>
    <t>ABT</t>
  </si>
  <si>
    <t xml:space="preserve">Abcam </t>
  </si>
  <si>
    <t>ABC</t>
  </si>
  <si>
    <t xml:space="preserve">Aberdeen Asian Income Fund </t>
  </si>
  <si>
    <t>AAIF</t>
  </si>
  <si>
    <t xml:space="preserve">Aberdeen Asian Smaller Co Inv Trust </t>
  </si>
  <si>
    <t>AASC</t>
  </si>
  <si>
    <t xml:space="preserve">Aberdeen Asian Smaller Companies Investment Trust </t>
  </si>
  <si>
    <t>AAS</t>
  </si>
  <si>
    <t xml:space="preserve">Aberdeen Asset Management </t>
  </si>
  <si>
    <t>ADN</t>
  </si>
  <si>
    <t xml:space="preserve">Aberdeen Japan Investment Trust </t>
  </si>
  <si>
    <t>AJIT</t>
  </si>
  <si>
    <t xml:space="preserve">Aberdeen Latin American Income Fund </t>
  </si>
  <si>
    <t>ALAI</t>
  </si>
  <si>
    <t xml:space="preserve">Aberdeen Latin American Income Fund Limited Sub Shs Npv </t>
  </si>
  <si>
    <t>ALAS</t>
  </si>
  <si>
    <t xml:space="preserve">Aberdeen New Dawn Investment Trust </t>
  </si>
  <si>
    <t>ABD</t>
  </si>
  <si>
    <t xml:space="preserve">Aberdeen New Thai Investment Trust </t>
  </si>
  <si>
    <t>ANW</t>
  </si>
  <si>
    <t xml:space="preserve">Aberdeen Private Equity Fund </t>
  </si>
  <si>
    <t>APEF</t>
  </si>
  <si>
    <t xml:space="preserve">Aberdeen Smaller Companies High Income Trust </t>
  </si>
  <si>
    <t>ASCH</t>
  </si>
  <si>
    <t xml:space="preserve">Aberdeen Uk Tracker Trust </t>
  </si>
  <si>
    <t>AUKT</t>
  </si>
  <si>
    <t xml:space="preserve">Aberforth Geared Income Trust </t>
  </si>
  <si>
    <t>AGIT</t>
  </si>
  <si>
    <t>AGIZ</t>
  </si>
  <si>
    <t xml:space="preserve">Aberforth Smaller Companies Trust </t>
  </si>
  <si>
    <t>ASL</t>
  </si>
  <si>
    <t xml:space="preserve">Abu Dhabi Islamic Bank </t>
  </si>
  <si>
    <t>45SI</t>
  </si>
  <si>
    <t xml:space="preserve">Abzena Ord Gbp0.002 </t>
  </si>
  <si>
    <t>ABZA</t>
  </si>
  <si>
    <t xml:space="preserve">Acacia Mining Ord 10p </t>
  </si>
  <si>
    <t>ACA</t>
  </si>
  <si>
    <t xml:space="preserve">Acal </t>
  </si>
  <si>
    <t>ACL</t>
  </si>
  <si>
    <t xml:space="preserve">Access Intelligence </t>
  </si>
  <si>
    <t>ACC</t>
  </si>
  <si>
    <t xml:space="preserve">Accesso Technology Group </t>
  </si>
  <si>
    <t>ACSO</t>
  </si>
  <si>
    <t xml:space="preserve">Accsys Technologies </t>
  </si>
  <si>
    <t>AXS</t>
  </si>
  <si>
    <t xml:space="preserve">Accumuli </t>
  </si>
  <si>
    <t>ACM</t>
  </si>
  <si>
    <t xml:space="preserve">AcenciA Debt Strategies </t>
  </si>
  <si>
    <t>ACD</t>
  </si>
  <si>
    <t xml:space="preserve">Acer Incorporated Gdr Repr 5 Shs Com Stk Twd10144a </t>
  </si>
  <si>
    <t>ACIA</t>
  </si>
  <si>
    <t xml:space="preserve">Acorn Income Fund </t>
  </si>
  <si>
    <t>AIF</t>
  </si>
  <si>
    <t xml:space="preserve">Acron Jsc </t>
  </si>
  <si>
    <t>34NF</t>
  </si>
  <si>
    <t xml:space="preserve">Acta S.p.A. </t>
  </si>
  <si>
    <t>ACTA</t>
  </si>
  <si>
    <t xml:space="preserve">Action Hotels </t>
  </si>
  <si>
    <t>AHCG</t>
  </si>
  <si>
    <t xml:space="preserve">Active Energy Group </t>
  </si>
  <si>
    <t>AEG</t>
  </si>
  <si>
    <t xml:space="preserve">Actual Experience </t>
  </si>
  <si>
    <t>ACT</t>
  </si>
  <si>
    <t xml:space="preserve">AdEPT Telecom </t>
  </si>
  <si>
    <t>ADT</t>
  </si>
  <si>
    <t xml:space="preserve">Adalta Real </t>
  </si>
  <si>
    <t>ADA</t>
  </si>
  <si>
    <t xml:space="preserve">Adamas Finance Asia Limited Ord Npv </t>
  </si>
  <si>
    <t>ADAM</t>
  </si>
  <si>
    <t xml:space="preserve">Admiral Group </t>
  </si>
  <si>
    <t>ADM</t>
  </si>
  <si>
    <t xml:space="preserve">Advance Developing Markets Fd </t>
  </si>
  <si>
    <t>ADMF</t>
  </si>
  <si>
    <t xml:space="preserve">Advance Frontier Markets Fund </t>
  </si>
  <si>
    <t>AFMF</t>
  </si>
  <si>
    <t xml:space="preserve">Advanced Computer Software </t>
  </si>
  <si>
    <t>ASW</t>
  </si>
  <si>
    <t xml:space="preserve">Advanced Medical Solutions Group </t>
  </si>
  <si>
    <t>AMS</t>
  </si>
  <si>
    <t xml:space="preserve">Advanced Oncotherapy </t>
  </si>
  <si>
    <t>AVO</t>
  </si>
  <si>
    <t xml:space="preserve">Aeci </t>
  </si>
  <si>
    <t>87FZ</t>
  </si>
  <si>
    <t xml:space="preserve">Aeorema Communications </t>
  </si>
  <si>
    <t>AEO</t>
  </si>
  <si>
    <t xml:space="preserve">Aer Lingus Group </t>
  </si>
  <si>
    <t>AERL</t>
  </si>
  <si>
    <t xml:space="preserve">Afarak Group </t>
  </si>
  <si>
    <t>AFRK</t>
  </si>
  <si>
    <t xml:space="preserve">Afh Financial Group Ord 10p </t>
  </si>
  <si>
    <t>AFHP</t>
  </si>
  <si>
    <t xml:space="preserve">Afi Development </t>
  </si>
  <si>
    <t>53GI</t>
  </si>
  <si>
    <t>AFRB</t>
  </si>
  <si>
    <t xml:space="preserve">Afren </t>
  </si>
  <si>
    <t>AFR</t>
  </si>
  <si>
    <t xml:space="preserve">Afriag Ord 0.1p </t>
  </si>
  <si>
    <t>AFRI</t>
  </si>
  <si>
    <t xml:space="preserve">Africa Opportunity Fund </t>
  </si>
  <si>
    <t>AOF</t>
  </si>
  <si>
    <t xml:space="preserve">Africa Opportunity Fund Limited C Ord Usd0.10 </t>
  </si>
  <si>
    <t>AOFC</t>
  </si>
  <si>
    <t xml:space="preserve">African Consolidated Resources Ord 1p </t>
  </si>
  <si>
    <t>VAST</t>
  </si>
  <si>
    <t xml:space="preserve">African Copper </t>
  </si>
  <si>
    <t>ACU</t>
  </si>
  <si>
    <t xml:space="preserve">African Minerals </t>
  </si>
  <si>
    <t>AMI</t>
  </si>
  <si>
    <t xml:space="preserve">African Potash Limited </t>
  </si>
  <si>
    <t>AFPO</t>
  </si>
  <si>
    <t xml:space="preserve">Aggregated Micro Power Holdings Ord 0.5p </t>
  </si>
  <si>
    <t>AMPH</t>
  </si>
  <si>
    <t xml:space="preserve">Aggreko </t>
  </si>
  <si>
    <t>AGK</t>
  </si>
  <si>
    <t xml:space="preserve">Agriterra </t>
  </si>
  <si>
    <t>AGTA</t>
  </si>
  <si>
    <t xml:space="preserve">Air China </t>
  </si>
  <si>
    <t>AIRC</t>
  </si>
  <si>
    <t xml:space="preserve">Air Partner </t>
  </si>
  <si>
    <t>AIP</t>
  </si>
  <si>
    <t xml:space="preserve">Akers Biosciences Inc </t>
  </si>
  <si>
    <t>AKR</t>
  </si>
  <si>
    <t xml:space="preserve">Al Noor Hospitals Group </t>
  </si>
  <si>
    <t>ANH</t>
  </si>
  <si>
    <t xml:space="preserve">Alba Mineral Resources </t>
  </si>
  <si>
    <t>ALBA</t>
  </si>
  <si>
    <t xml:space="preserve">Albion Development VCT D </t>
  </si>
  <si>
    <t>AADD</t>
  </si>
  <si>
    <t xml:space="preserve">Albion Development Vct </t>
  </si>
  <si>
    <t>AADV</t>
  </si>
  <si>
    <t xml:space="preserve">Albion Enterprise VCT </t>
  </si>
  <si>
    <t>AAEV</t>
  </si>
  <si>
    <t xml:space="preserve">Albion Technology &amp; General VCT </t>
  </si>
  <si>
    <t>AATG</t>
  </si>
  <si>
    <t xml:space="preserve">Albion Venture Capital Trust </t>
  </si>
  <si>
    <t>AAVC</t>
  </si>
  <si>
    <t xml:space="preserve">Alcentra European Floating Rate Income Fund Red </t>
  </si>
  <si>
    <t>AEFS</t>
  </si>
  <si>
    <t xml:space="preserve">Alecto Minerals </t>
  </si>
  <si>
    <t>ALO</t>
  </si>
  <si>
    <t xml:space="preserve">Alent </t>
  </si>
  <si>
    <t>ALNT</t>
  </si>
  <si>
    <t xml:space="preserve">Alexander Mining </t>
  </si>
  <si>
    <t>AXM</t>
  </si>
  <si>
    <t xml:space="preserve">Alkane Energy </t>
  </si>
  <si>
    <t>ALK</t>
  </si>
  <si>
    <t xml:space="preserve">All Asia Asset Capital Limited Ord Npv </t>
  </si>
  <si>
    <t xml:space="preserve">All Leisure Group </t>
  </si>
  <si>
    <t>ALLG</t>
  </si>
  <si>
    <t xml:space="preserve">Allergy Therapeutics </t>
  </si>
  <si>
    <t>AGY</t>
  </si>
  <si>
    <t xml:space="preserve">Alliance Pharma </t>
  </si>
  <si>
    <t>APH</t>
  </si>
  <si>
    <t xml:space="preserve">Alliance Trust </t>
  </si>
  <si>
    <t>ATST</t>
  </si>
  <si>
    <t xml:space="preserve">Allianz Technology Trust Ord 25p </t>
  </si>
  <si>
    <t>ATT</t>
  </si>
  <si>
    <t xml:space="preserve">Allied Mind Ord 1p </t>
  </si>
  <si>
    <t>ALM</t>
  </si>
  <si>
    <t xml:space="preserve">Alpha Bank A E </t>
  </si>
  <si>
    <t>01NX</t>
  </si>
  <si>
    <t xml:space="preserve">Alpha Pyrenees </t>
  </si>
  <si>
    <t>ALPH</t>
  </si>
  <si>
    <t xml:space="preserve">Alpha Real Trust </t>
  </si>
  <si>
    <t>ARTL</t>
  </si>
  <si>
    <t xml:space="preserve">Alpha Returns Group Ord 0.01p </t>
  </si>
  <si>
    <t>ARGP</t>
  </si>
  <si>
    <t xml:space="preserve">Alternative Asset Opps PCC </t>
  </si>
  <si>
    <t>TLI</t>
  </si>
  <si>
    <t xml:space="preserve">Alternative Energy </t>
  </si>
  <si>
    <t>ALR</t>
  </si>
  <si>
    <t xml:space="preserve">Alternative Networks </t>
  </si>
  <si>
    <t>AN.</t>
  </si>
  <si>
    <t xml:space="preserve">Altitude Group </t>
  </si>
  <si>
    <t>ALT</t>
  </si>
  <si>
    <t xml:space="preserve">Altona Energy </t>
  </si>
  <si>
    <t>ANR</t>
  </si>
  <si>
    <t xml:space="preserve">Altus Resource Capital Limited </t>
  </si>
  <si>
    <t>ARCL</t>
  </si>
  <si>
    <t xml:space="preserve">Alumasc Group </t>
  </si>
  <si>
    <t>ALU</t>
  </si>
  <si>
    <t xml:space="preserve">Aluminium Bahrain B.s.c. Gdr Each Repr 15 Ord 144a </t>
  </si>
  <si>
    <t>78QZ</t>
  </si>
  <si>
    <t xml:space="preserve">Amara Mining </t>
  </si>
  <si>
    <t>AMA</t>
  </si>
  <si>
    <t xml:space="preserve">Amati VCT 2 </t>
  </si>
  <si>
    <t>AT2</t>
  </si>
  <si>
    <t xml:space="preserve">Amati VCT </t>
  </si>
  <si>
    <t>ATI</t>
  </si>
  <si>
    <t xml:space="preserve">Ambrian </t>
  </si>
  <si>
    <t>AMBR</t>
  </si>
  <si>
    <t xml:space="preserve">Amec Ord 50p </t>
  </si>
  <si>
    <t>AMFW</t>
  </si>
  <si>
    <t xml:space="preserve">Amedeo Resources </t>
  </si>
  <si>
    <t>AMED</t>
  </si>
  <si>
    <t xml:space="preserve">Amerisur Resources </t>
  </si>
  <si>
    <t>AMER</t>
  </si>
  <si>
    <t xml:space="preserve">Amiad Water Systems </t>
  </si>
  <si>
    <t>AFS</t>
  </si>
  <si>
    <t xml:space="preserve">Aminex </t>
  </si>
  <si>
    <t>AEX</t>
  </si>
  <si>
    <t xml:space="preserve">Amino Technologies </t>
  </si>
  <si>
    <t>AMO</t>
  </si>
  <si>
    <t xml:space="preserve">Amlin </t>
  </si>
  <si>
    <t>AML</t>
  </si>
  <si>
    <t xml:space="preserve">Amphion Innovations </t>
  </si>
  <si>
    <t>AMP</t>
  </si>
  <si>
    <t xml:space="preserve">Amur Minerals Corporation </t>
  </si>
  <si>
    <t>AMC</t>
  </si>
  <si>
    <t xml:space="preserve">Andes Energia </t>
  </si>
  <si>
    <t>AEN</t>
  </si>
  <si>
    <t xml:space="preserve">Andrews Sykes Group </t>
  </si>
  <si>
    <t>ASY</t>
  </si>
  <si>
    <t xml:space="preserve">Anglesey Mining </t>
  </si>
  <si>
    <t>AYM</t>
  </si>
  <si>
    <t xml:space="preserve">Anglo American </t>
  </si>
  <si>
    <t>AAL</t>
  </si>
  <si>
    <t xml:space="preserve">Anglo Asian Mining </t>
  </si>
  <si>
    <t>AAZ</t>
  </si>
  <si>
    <t xml:space="preserve">Anglo Pacific Group </t>
  </si>
  <si>
    <t>APF</t>
  </si>
  <si>
    <t xml:space="preserve">Anglo-Eastern Plantations </t>
  </si>
  <si>
    <t>AEP</t>
  </si>
  <si>
    <t xml:space="preserve">Animalcare Group </t>
  </si>
  <si>
    <t>ANCR</t>
  </si>
  <si>
    <t xml:space="preserve">Anite </t>
  </si>
  <si>
    <t>AIE</t>
  </si>
  <si>
    <t xml:space="preserve">Anpario </t>
  </si>
  <si>
    <t>ANP</t>
  </si>
  <si>
    <t xml:space="preserve">Antofagasta </t>
  </si>
  <si>
    <t>70GD</t>
  </si>
  <si>
    <t>ANTO</t>
  </si>
  <si>
    <t xml:space="preserve">Antrim Energy </t>
  </si>
  <si>
    <t>AEY</t>
  </si>
  <si>
    <t xml:space="preserve">AorTech International </t>
  </si>
  <si>
    <t>AOR</t>
  </si>
  <si>
    <t xml:space="preserve">Api Group Ord 1p Assd Cedar 2015 Cash </t>
  </si>
  <si>
    <t>APIA</t>
  </si>
  <si>
    <t xml:space="preserve">Applied Graphene Materials </t>
  </si>
  <si>
    <t>AGM</t>
  </si>
  <si>
    <t xml:space="preserve">Aqua Bounty Technologies Inc </t>
  </si>
  <si>
    <t>ABTX</t>
  </si>
  <si>
    <t xml:space="preserve">Aqua Bounty Technologies Inc. Com Shs Usd0.001 Di </t>
  </si>
  <si>
    <t>ABTU</t>
  </si>
  <si>
    <t xml:space="preserve">Aquarius Platinum </t>
  </si>
  <si>
    <t>AQP</t>
  </si>
  <si>
    <t xml:space="preserve">Aquatic Foods Group Ord Npv </t>
  </si>
  <si>
    <t>AFG</t>
  </si>
  <si>
    <t xml:space="preserve">Arab Potash Co </t>
  </si>
  <si>
    <t>88KZ</t>
  </si>
  <si>
    <t xml:space="preserve">Arbuthnot Banking Group </t>
  </si>
  <si>
    <t>ARBB</t>
  </si>
  <si>
    <t xml:space="preserve">Arc Capital </t>
  </si>
  <si>
    <t>ARCH</t>
  </si>
  <si>
    <t xml:space="preserve">Arcontech Group </t>
  </si>
  <si>
    <t>ARC</t>
  </si>
  <si>
    <t xml:space="preserve">Arden Partners </t>
  </si>
  <si>
    <t>ARDN</t>
  </si>
  <si>
    <t xml:space="preserve">Argo Group </t>
  </si>
  <si>
    <t>ARGO</t>
  </si>
  <si>
    <t xml:space="preserve">Argos Resources </t>
  </si>
  <si>
    <t>ARG</t>
  </si>
  <si>
    <t xml:space="preserve">Arian Silver Corporation </t>
  </si>
  <si>
    <t>AGQ</t>
  </si>
  <si>
    <t xml:space="preserve">Ariana Resources </t>
  </si>
  <si>
    <t>AAU</t>
  </si>
  <si>
    <t xml:space="preserve">Ark Therapeutics Group </t>
  </si>
  <si>
    <t>AKT</t>
  </si>
  <si>
    <t xml:space="preserve">Armadale Capital </t>
  </si>
  <si>
    <t>ACP</t>
  </si>
  <si>
    <t xml:space="preserve">Armour Group </t>
  </si>
  <si>
    <t>AMR</t>
  </si>
  <si>
    <t xml:space="preserve">Armstrong Ventures Ord 0.01p </t>
  </si>
  <si>
    <t>AVP</t>
  </si>
  <si>
    <t xml:space="preserve">Arria Nlg Ord 0.1p </t>
  </si>
  <si>
    <t>NLG</t>
  </si>
  <si>
    <t xml:space="preserve">Arricano Real Estate Ord Eur0.0005 </t>
  </si>
  <si>
    <t>ARO</t>
  </si>
  <si>
    <t xml:space="preserve">Arrow Global Group </t>
  </si>
  <si>
    <t>ARW</t>
  </si>
  <si>
    <t xml:space="preserve">Artemis Aim Vct 2 </t>
  </si>
  <si>
    <t>AAM</t>
  </si>
  <si>
    <t xml:space="preserve">Artemis Alpha Trust </t>
  </si>
  <si>
    <t>ATSS</t>
  </si>
  <si>
    <t>ATS</t>
  </si>
  <si>
    <t xml:space="preserve">Artilium </t>
  </si>
  <si>
    <t>ARTA</t>
  </si>
  <si>
    <t xml:space="preserve">Ascent Resources </t>
  </si>
  <si>
    <t>AST</t>
  </si>
  <si>
    <t xml:space="preserve">Aseana Properties </t>
  </si>
  <si>
    <t>ASPL</t>
  </si>
  <si>
    <t xml:space="preserve">Ashcourt Rowan </t>
  </si>
  <si>
    <t>ARP</t>
  </si>
  <si>
    <t xml:space="preserve">Ashley </t>
  </si>
  <si>
    <t>Laura Holdings (ALY</t>
  </si>
  <si>
    <t xml:space="preserve">Ashley House </t>
  </si>
  <si>
    <t>ASH</t>
  </si>
  <si>
    <t xml:space="preserve">Ashmore Global Opportunities Limited Ord Npv </t>
  </si>
  <si>
    <t>usd (AGOU</t>
  </si>
  <si>
    <t xml:space="preserve">Ashmore Global Opportunities </t>
  </si>
  <si>
    <t>AGOL</t>
  </si>
  <si>
    <t xml:space="preserve">Ashmore Group </t>
  </si>
  <si>
    <t>ASHM</t>
  </si>
  <si>
    <t xml:space="preserve">Ashok Leyland </t>
  </si>
  <si>
    <t>AKLS</t>
  </si>
  <si>
    <t xml:space="preserve">Ashpol </t>
  </si>
  <si>
    <t>BC24</t>
  </si>
  <si>
    <t xml:space="preserve">Ashtead Group </t>
  </si>
  <si>
    <t>AHT</t>
  </si>
  <si>
    <t xml:space="preserve">Asia Ceramics Holdings </t>
  </si>
  <si>
    <t>ACHP</t>
  </si>
  <si>
    <t xml:space="preserve">Asia Resource Minerals </t>
  </si>
  <si>
    <t>ARMS</t>
  </si>
  <si>
    <t xml:space="preserve">Asian Citrus Holdings </t>
  </si>
  <si>
    <t>ACHL</t>
  </si>
  <si>
    <t xml:space="preserve">Asian Growth Properties </t>
  </si>
  <si>
    <t>AGP</t>
  </si>
  <si>
    <t xml:space="preserve">Asian Total Return Investment Company </t>
  </si>
  <si>
    <t>ATR</t>
  </si>
  <si>
    <t xml:space="preserve">Asr Test Stock Ord </t>
  </si>
  <si>
    <t>TE17</t>
  </si>
  <si>
    <t xml:space="preserve">AssetCo </t>
  </si>
  <si>
    <t>ASTO</t>
  </si>
  <si>
    <t xml:space="preserve">Associated British Engineering </t>
  </si>
  <si>
    <t>ASBE</t>
  </si>
  <si>
    <t xml:space="preserve">Associated British Foods </t>
  </si>
  <si>
    <t>ABF</t>
  </si>
  <si>
    <t xml:space="preserve">Assura Group </t>
  </si>
  <si>
    <t>AGR</t>
  </si>
  <si>
    <t xml:space="preserve">AstraZeneca </t>
  </si>
  <si>
    <t>AZN</t>
  </si>
  <si>
    <t xml:space="preserve">Athelney Trust </t>
  </si>
  <si>
    <t>ATY</t>
  </si>
  <si>
    <t xml:space="preserve">Atia Group </t>
  </si>
  <si>
    <t>ATIA</t>
  </si>
  <si>
    <t xml:space="preserve">Atkins </t>
  </si>
  <si>
    <t>W S (ATK</t>
  </si>
  <si>
    <t xml:space="preserve">Atlantic Coal </t>
  </si>
  <si>
    <t>ATC</t>
  </si>
  <si>
    <t xml:space="preserve">Atlantis Japan </t>
  </si>
  <si>
    <t>AJG</t>
  </si>
  <si>
    <t xml:space="preserve">Atlantis Resources Limited Ord Npv </t>
  </si>
  <si>
    <t>ARL</t>
  </si>
  <si>
    <t xml:space="preserve">Atlas Development Support Services Limited Ord Npv </t>
  </si>
  <si>
    <t>ADSS</t>
  </si>
  <si>
    <t xml:space="preserve">Atlas Mara Co-nvest Limited Ord Npv </t>
  </si>
  <si>
    <t>ATMA</t>
  </si>
  <si>
    <t xml:space="preserve">Attraqt Group Ord 1p </t>
  </si>
  <si>
    <t>ATQT</t>
  </si>
  <si>
    <t xml:space="preserve">Auctus Growth Ord Gbp0.10 </t>
  </si>
  <si>
    <t>AUCT</t>
  </si>
  <si>
    <t xml:space="preserve">Audax Properties </t>
  </si>
  <si>
    <t>34GE</t>
  </si>
  <si>
    <t xml:space="preserve">Audioboom Group </t>
  </si>
  <si>
    <t>BOOM</t>
  </si>
  <si>
    <t xml:space="preserve">Augean </t>
  </si>
  <si>
    <t>AUG</t>
  </si>
  <si>
    <t xml:space="preserve">Auhua Clean Energy </t>
  </si>
  <si>
    <t>ACE</t>
  </si>
  <si>
    <t xml:space="preserve">Aukett Swanke Group </t>
  </si>
  <si>
    <t>AUK</t>
  </si>
  <si>
    <t xml:space="preserve">Aurasian Minerals Ord 0.1p </t>
  </si>
  <si>
    <t>AUM</t>
  </si>
  <si>
    <t xml:space="preserve">Aureus Mining </t>
  </si>
  <si>
    <t>AUE</t>
  </si>
  <si>
    <t xml:space="preserve">Aurora Investment Trust </t>
  </si>
  <si>
    <t>ARR</t>
  </si>
  <si>
    <t xml:space="preserve">Aurora Russia </t>
  </si>
  <si>
    <t>AURR</t>
  </si>
  <si>
    <t xml:space="preserve">Aurum Mining </t>
  </si>
  <si>
    <t>AUR</t>
  </si>
  <si>
    <t xml:space="preserve">Avacta Group </t>
  </si>
  <si>
    <t>AVCT</t>
  </si>
  <si>
    <t xml:space="preserve">Avanta Serviced Office Group Ord 30p </t>
  </si>
  <si>
    <t>ASOG</t>
  </si>
  <si>
    <t xml:space="preserve">Avanti Capital </t>
  </si>
  <si>
    <t>AVA</t>
  </si>
  <si>
    <t xml:space="preserve">Avanti Communications Group </t>
  </si>
  <si>
    <t>AVN</t>
  </si>
  <si>
    <t xml:space="preserve">Avarae Global Coins </t>
  </si>
  <si>
    <t>AVR</t>
  </si>
  <si>
    <t xml:space="preserve">Avation </t>
  </si>
  <si>
    <t>AVAP</t>
  </si>
  <si>
    <t xml:space="preserve">Avesco Group </t>
  </si>
  <si>
    <t>AVS</t>
  </si>
  <si>
    <t xml:space="preserve">Avingtrans </t>
  </si>
  <si>
    <t>AVG</t>
  </si>
  <si>
    <t xml:space="preserve">Aviva </t>
  </si>
  <si>
    <t>AV.B</t>
  </si>
  <si>
    <t>AV.</t>
  </si>
  <si>
    <t xml:space="preserve">Avocet Mining </t>
  </si>
  <si>
    <t>AVM</t>
  </si>
  <si>
    <t xml:space="preserve">Avon Rubber </t>
  </si>
  <si>
    <t>AVON</t>
  </si>
  <si>
    <t xml:space="preserve">Axa Property </t>
  </si>
  <si>
    <t>APT</t>
  </si>
  <si>
    <t xml:space="preserve">Axis Bank </t>
  </si>
  <si>
    <t>AXBA</t>
  </si>
  <si>
    <t xml:space="preserve">Azonto Petroleum Ord Npv </t>
  </si>
  <si>
    <t>AZO</t>
  </si>
  <si>
    <t>Custom.1</t>
  </si>
  <si>
    <t>Ch</t>
  </si>
  <si>
    <t>In</t>
  </si>
  <si>
    <t>Un</t>
  </si>
  <si>
    <t>Br</t>
  </si>
  <si>
    <t>Pa</t>
  </si>
  <si>
    <t>Ni</t>
  </si>
  <si>
    <t>Ba</t>
  </si>
  <si>
    <t>Ru</t>
  </si>
  <si>
    <t>Ja</t>
  </si>
  <si>
    <t>Me</t>
  </si>
  <si>
    <t>Ph</t>
  </si>
  <si>
    <t>Vi</t>
  </si>
  <si>
    <t>Et</t>
  </si>
  <si>
    <t>Eg</t>
  </si>
  <si>
    <t>Ge</t>
  </si>
  <si>
    <t>Ir</t>
  </si>
  <si>
    <t>Tu</t>
  </si>
  <si>
    <t>De</t>
  </si>
  <si>
    <t>Fr</t>
  </si>
  <si>
    <t>Th</t>
  </si>
  <si>
    <t>It</t>
  </si>
  <si>
    <t>So</t>
  </si>
  <si>
    <t>Bu</t>
  </si>
  <si>
    <t>Co</t>
  </si>
  <si>
    <t>Ta</t>
  </si>
  <si>
    <t>Ke</t>
  </si>
  <si>
    <t>Sp</t>
  </si>
  <si>
    <t>Ar</t>
  </si>
  <si>
    <t>Uk</t>
  </si>
  <si>
    <t>Al</t>
  </si>
  <si>
    <t>Po</t>
  </si>
  <si>
    <t>Su</t>
  </si>
  <si>
    <t>Ca</t>
  </si>
  <si>
    <t>Ug</t>
  </si>
  <si>
    <t>Mo</t>
  </si>
  <si>
    <t>Sa</t>
  </si>
  <si>
    <t>Pe</t>
  </si>
  <si>
    <t>Ve</t>
  </si>
  <si>
    <t>Ma</t>
  </si>
  <si>
    <t>Uz</t>
  </si>
  <si>
    <t>Ne</t>
  </si>
  <si>
    <t>Gh</t>
  </si>
  <si>
    <t>Af</t>
  </si>
  <si>
    <t>Ye</t>
  </si>
  <si>
    <t>An</t>
  </si>
  <si>
    <t>Au</t>
  </si>
  <si>
    <t>Sy</t>
  </si>
  <si>
    <t>Iv</t>
  </si>
  <si>
    <t>Sr</t>
  </si>
  <si>
    <t>Ro</t>
  </si>
  <si>
    <t>Ka</t>
  </si>
  <si>
    <t>Ec</t>
  </si>
  <si>
    <t>Gu</t>
  </si>
  <si>
    <t>Za</t>
  </si>
  <si>
    <t>Se</t>
  </si>
  <si>
    <t>Zi</t>
  </si>
  <si>
    <t>Bo</t>
  </si>
  <si>
    <t>Be</t>
  </si>
  <si>
    <t>Cu</t>
  </si>
  <si>
    <t>Rw</t>
  </si>
  <si>
    <t>Gr</t>
  </si>
  <si>
    <t>Ha</t>
  </si>
  <si>
    <t>Cz</t>
  </si>
  <si>
    <t>Do</t>
  </si>
  <si>
    <t>Hu</t>
  </si>
  <si>
    <t>Sw</t>
  </si>
  <si>
    <t>Az</t>
  </si>
  <si>
    <t>Ho</t>
  </si>
  <si>
    <t>Is</t>
  </si>
  <si>
    <t>La</t>
  </si>
  <si>
    <t>Er</t>
  </si>
  <si>
    <t>Jo</t>
  </si>
  <si>
    <t>El</t>
  </si>
  <si>
    <t>Si</t>
  </si>
  <si>
    <t>Li</t>
  </si>
  <si>
    <t>Ky</t>
  </si>
  <si>
    <t>Fi</t>
  </si>
  <si>
    <t>Sl</t>
  </si>
  <si>
    <t>Ce</t>
  </si>
  <si>
    <t>Re</t>
  </si>
  <si>
    <t>Cr</t>
  </si>
  <si>
    <t>Om</t>
  </si>
  <si>
    <t>Le</t>
  </si>
  <si>
    <t>Pu</t>
  </si>
  <si>
    <t>Ur</t>
  </si>
  <si>
    <t>Ku</t>
  </si>
  <si>
    <t>Qa</t>
  </si>
  <si>
    <t>Na</t>
  </si>
  <si>
    <t>Ko</t>
  </si>
  <si>
    <t>Ga</t>
  </si>
  <si>
    <t>Eq</t>
  </si>
  <si>
    <t>Tr</t>
  </si>
  <si>
    <t>Es</t>
  </si>
  <si>
    <t>Ea</t>
  </si>
  <si>
    <t>Dj</t>
  </si>
  <si>
    <t>Cy</t>
  </si>
  <si>
    <t>Ré</t>
  </si>
  <si>
    <t>Bh</t>
  </si>
  <si>
    <t>We</t>
  </si>
  <si>
    <t>Lu</t>
  </si>
  <si>
    <t>Ic</t>
  </si>
  <si>
    <t>Va</t>
  </si>
  <si>
    <t>Ab</t>
  </si>
  <si>
    <t>Sã</t>
  </si>
  <si>
    <t>Ki</t>
  </si>
  <si>
    <t>Fe</t>
  </si>
  <si>
    <t>Je</t>
  </si>
  <si>
    <t>Am</t>
  </si>
  <si>
    <t>Fa</t>
  </si>
  <si>
    <t>Gi</t>
  </si>
  <si>
    <t>Ål</t>
  </si>
  <si>
    <t>Wa</t>
  </si>
  <si>
    <t>Sv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</si>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</sst>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_(* #,##0_);_(* \(#,##0\);_(* &quot;-&quot;??_);_(@_)"/>
    <numFmt numFmtId="165" formatCode="_(&quot;$&quot;* #,##0.00_);_(&quot;$&quot;* \(#,##0.00\);_(&quot;$&quot;* &quot;-&quot;??_);_(@_)"/>
    <numFmt numFmtId="166" formatCode="_ * #,##0_ ;_ * \-#,##0_ ;_ * &quot;-&quot;??_ ;_ @_ "/>
    <numFmt numFmtId="167" formatCode="_-[$$-409]* #,##0.0000_ ;_-[$$-409]* \-#,##0.0000\ ;_-[$$-409]* &quot;-&quot;??_ ;_-@_ "/>
    <numFmt numFmtId="168" formatCode="_([$$-409]* #,##0.00_);_([$$-409]* \(#,##0.00\);_([$$-409]* &quot;-&quot;??_);_(@_)"/>
    <numFmt numFmtId="169" formatCode="dd\/mm\/yyyy"/>
  </numFmts>
  <fonts count="4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charset val="177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E101A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b/>
      <u/>
      <sz val="11"/>
      <color rgb="FF0E101A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rgb="FF000000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5" fillId="0" borderId="0"/>
    <xf numFmtId="0" fontId="6" fillId="0" borderId="0" applyNumberForma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9" fontId="42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33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2" xfId="0" applyFont="1" applyBorder="1"/>
    <xf numFmtId="0" fontId="7" fillId="3" borderId="2" xfId="0" applyFont="1" applyFill="1" applyBorder="1"/>
    <xf numFmtId="0" fontId="7" fillId="4" borderId="2" xfId="0" applyFont="1" applyFill="1" applyBorder="1"/>
    <xf numFmtId="0" fontId="7" fillId="5" borderId="2" xfId="0" applyFont="1" applyFill="1" applyBorder="1"/>
    <xf numFmtId="0" fontId="7" fillId="2" borderId="1" xfId="0" applyFont="1" applyFill="1" applyBorder="1" applyProtection="1">
      <protection locked="0"/>
    </xf>
    <xf numFmtId="0" fontId="8" fillId="2" borderId="1" xfId="0" applyFont="1" applyFill="1" applyBorder="1" applyProtection="1">
      <protection locked="0"/>
    </xf>
    <xf numFmtId="0" fontId="9" fillId="0" borderId="0" xfId="0" applyFont="1"/>
    <xf numFmtId="0" fontId="10" fillId="0" borderId="0" xfId="0" applyFont="1"/>
    <xf numFmtId="0" fontId="11" fillId="0" borderId="0" xfId="0" applyFont="1"/>
    <xf numFmtId="17" fontId="9" fillId="0" borderId="0" xfId="0" applyNumberFormat="1" applyFont="1"/>
    <xf numFmtId="0" fontId="9" fillId="2" borderId="0" xfId="0" applyFont="1" applyFill="1"/>
    <xf numFmtId="0" fontId="0" fillId="6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0" borderId="2" xfId="0" applyFont="1" applyBorder="1"/>
    <xf numFmtId="0" fontId="15" fillId="7" borderId="2" xfId="0" applyFont="1" applyFill="1" applyBorder="1"/>
    <xf numFmtId="0" fontId="14" fillId="7" borderId="2" xfId="0" applyFont="1" applyFill="1" applyBorder="1"/>
    <xf numFmtId="0" fontId="14" fillId="2" borderId="1" xfId="0" applyFont="1" applyFill="1" applyBorder="1"/>
    <xf numFmtId="0" fontId="14" fillId="8" borderId="3" xfId="0" applyFont="1" applyFill="1" applyBorder="1"/>
    <xf numFmtId="0" fontId="14" fillId="8" borderId="4" xfId="0" applyFont="1" applyFill="1" applyBorder="1"/>
    <xf numFmtId="0" fontId="14" fillId="8" borderId="5" xfId="0" applyFont="1" applyFill="1" applyBorder="1"/>
    <xf numFmtId="0" fontId="16" fillId="0" borderId="0" xfId="0" applyFont="1"/>
    <xf numFmtId="0" fontId="17" fillId="0" borderId="0" xfId="0" applyFont="1"/>
    <xf numFmtId="0" fontId="18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2" xfId="0" applyFont="1" applyBorder="1"/>
    <xf numFmtId="0" fontId="9" fillId="0" borderId="2" xfId="0" applyFont="1" applyBorder="1"/>
    <xf numFmtId="0" fontId="9" fillId="2" borderId="2" xfId="0" applyFont="1" applyFill="1" applyBorder="1"/>
    <xf numFmtId="0" fontId="20" fillId="0" borderId="0" xfId="0" applyFont="1"/>
    <xf numFmtId="9" fontId="9" fillId="0" borderId="2" xfId="0" applyNumberFormat="1" applyFont="1" applyBorder="1"/>
    <xf numFmtId="3" fontId="9" fillId="0" borderId="2" xfId="0" applyNumberFormat="1" applyFont="1" applyBorder="1"/>
    <xf numFmtId="0" fontId="10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7" xfId="0" applyFont="1" applyBorder="1"/>
    <xf numFmtId="0" fontId="13" fillId="0" borderId="7" xfId="0" applyFont="1" applyBorder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11" fillId="0" borderId="6" xfId="0" applyFont="1" applyBorder="1"/>
    <xf numFmtId="0" fontId="10" fillId="0" borderId="6" xfId="0" applyFont="1" applyBorder="1"/>
    <xf numFmtId="0" fontId="10" fillId="9" borderId="6" xfId="0" applyFont="1" applyFill="1" applyBorder="1"/>
    <xf numFmtId="0" fontId="9" fillId="6" borderId="0" xfId="0" applyFont="1" applyFill="1"/>
    <xf numFmtId="1" fontId="9" fillId="6" borderId="0" xfId="0" applyNumberFormat="1" applyFont="1" applyFill="1"/>
    <xf numFmtId="0" fontId="17" fillId="6" borderId="6" xfId="0" applyFont="1" applyFill="1" applyBorder="1"/>
    <xf numFmtId="0" fontId="25" fillId="0" borderId="0" xfId="0" applyFont="1"/>
    <xf numFmtId="164" fontId="7" fillId="0" borderId="0" xfId="0" applyNumberFormat="1" applyFont="1" applyAlignment="1">
      <alignment horizontal="center"/>
    </xf>
    <xf numFmtId="164" fontId="7" fillId="2" borderId="1" xfId="0" applyNumberFormat="1" applyFont="1" applyFill="1" applyBorder="1" applyProtection="1">
      <protection locked="0"/>
    </xf>
    <xf numFmtId="14" fontId="8" fillId="10" borderId="2" xfId="0" applyNumberFormat="1" applyFont="1" applyFill="1" applyBorder="1"/>
    <xf numFmtId="165" fontId="8" fillId="10" borderId="2" xfId="0" applyNumberFormat="1" applyFont="1" applyFill="1" applyBorder="1"/>
    <xf numFmtId="14" fontId="7" fillId="0" borderId="2" xfId="0" applyNumberFormat="1" applyFont="1" applyBorder="1"/>
    <xf numFmtId="165" fontId="7" fillId="0" borderId="2" xfId="0" applyNumberFormat="1" applyFont="1" applyBorder="1"/>
    <xf numFmtId="3" fontId="26" fillId="11" borderId="2" xfId="0" applyNumberFormat="1" applyFont="1" applyFill="1" applyBorder="1" applyAlignment="1">
      <alignment horizontal="center"/>
    </xf>
    <xf numFmtId="3" fontId="27" fillId="0" borderId="0" xfId="0" applyNumberFormat="1" applyFont="1"/>
    <xf numFmtId="3" fontId="26" fillId="0" borderId="0" xfId="0" applyNumberFormat="1" applyFont="1" applyAlignment="1">
      <alignment horizontal="right"/>
    </xf>
    <xf numFmtId="0" fontId="26" fillId="11" borderId="2" xfId="0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8" fillId="2" borderId="2" xfId="0" applyNumberFormat="1" applyFont="1" applyFill="1" applyBorder="1" applyAlignment="1">
      <alignment horizontal="center"/>
    </xf>
    <xf numFmtId="0" fontId="28" fillId="0" borderId="0" xfId="0" applyFont="1"/>
    <xf numFmtId="0" fontId="26" fillId="0" borderId="2" xfId="0" applyFont="1" applyBorder="1" applyAlignment="1">
      <alignment horizontal="center"/>
    </xf>
    <xf numFmtId="3" fontId="7" fillId="2" borderId="2" xfId="0" applyNumberFormat="1" applyFont="1" applyFill="1" applyBorder="1" applyProtection="1">
      <protection locked="0"/>
    </xf>
    <xf numFmtId="3" fontId="7" fillId="2" borderId="6" xfId="0" applyNumberFormat="1" applyFont="1" applyFill="1" applyBorder="1" applyProtection="1">
      <protection locked="0"/>
    </xf>
    <xf numFmtId="3" fontId="7" fillId="6" borderId="6" xfId="0" applyNumberFormat="1" applyFont="1" applyFill="1" applyBorder="1" applyProtection="1">
      <protection locked="0"/>
    </xf>
    <xf numFmtId="0" fontId="4" fillId="0" borderId="0" xfId="4"/>
    <xf numFmtId="0" fontId="23" fillId="0" borderId="6" xfId="4" applyFont="1" applyBorder="1"/>
    <xf numFmtId="0" fontId="4" fillId="0" borderId="6" xfId="4" applyBorder="1"/>
    <xf numFmtId="166" fontId="4" fillId="0" borderId="6" xfId="5" applyNumberFormat="1" applyFont="1" applyBorder="1"/>
    <xf numFmtId="0" fontId="23" fillId="0" borderId="0" xfId="4" applyFont="1"/>
    <xf numFmtId="0" fontId="4" fillId="6" borderId="11" xfId="4" applyFill="1" applyBorder="1" applyProtection="1">
      <protection locked="0"/>
    </xf>
    <xf numFmtId="0" fontId="33" fillId="0" borderId="0" xfId="4" applyFont="1"/>
    <xf numFmtId="0" fontId="33" fillId="0" borderId="6" xfId="4" applyFont="1" applyBorder="1"/>
    <xf numFmtId="0" fontId="32" fillId="0" borderId="6" xfId="4" applyFont="1" applyBorder="1"/>
    <xf numFmtId="0" fontId="34" fillId="0" borderId="0" xfId="4" applyFont="1" applyAlignment="1">
      <alignment vertical="center"/>
    </xf>
    <xf numFmtId="0" fontId="35" fillId="0" borderId="0" xfId="4" applyFont="1" applyAlignment="1">
      <alignment vertical="center"/>
    </xf>
    <xf numFmtId="0" fontId="36" fillId="0" borderId="0" xfId="4" applyFont="1"/>
    <xf numFmtId="0" fontId="37" fillId="0" borderId="0" xfId="4" applyFont="1"/>
    <xf numFmtId="0" fontId="38" fillId="6" borderId="6" xfId="4" applyFont="1" applyFill="1" applyBorder="1"/>
    <xf numFmtId="0" fontId="6" fillId="0" borderId="0" xfId="6" quotePrefix="1"/>
    <xf numFmtId="14" fontId="39" fillId="0" borderId="0" xfId="4" applyNumberFormat="1" applyFont="1" applyAlignment="1">
      <alignment wrapText="1"/>
    </xf>
    <xf numFmtId="14" fontId="4" fillId="0" borderId="0" xfId="4" applyNumberFormat="1"/>
    <xf numFmtId="167" fontId="39" fillId="0" borderId="0" xfId="4" applyNumberFormat="1" applyFont="1" applyAlignment="1">
      <alignment horizontal="left" wrapText="1"/>
    </xf>
    <xf numFmtId="0" fontId="40" fillId="0" borderId="0" xfId="4" applyFont="1" applyAlignment="1">
      <alignment wrapText="1"/>
    </xf>
    <xf numFmtId="0" fontId="4" fillId="6" borderId="0" xfId="4" applyFill="1" applyProtection="1">
      <protection locked="0"/>
    </xf>
    <xf numFmtId="0" fontId="24" fillId="0" borderId="0" xfId="0" applyFont="1"/>
    <xf numFmtId="0" fontId="41" fillId="13" borderId="2" xfId="0" applyFont="1" applyFill="1" applyBorder="1"/>
    <xf numFmtId="0" fontId="41" fillId="13" borderId="10" xfId="0" applyFont="1" applyFill="1" applyBorder="1"/>
    <xf numFmtId="0" fontId="24" fillId="0" borderId="12" xfId="0" applyFont="1" applyBorder="1" applyAlignment="1">
      <alignment horizontal="left"/>
    </xf>
    <xf numFmtId="0" fontId="24" fillId="0" borderId="13" xfId="0" applyFont="1" applyBorder="1"/>
    <xf numFmtId="0" fontId="24" fillId="0" borderId="13" xfId="0" applyFont="1" applyBorder="1" applyAlignment="1">
      <alignment horizontal="right"/>
    </xf>
    <xf numFmtId="0" fontId="41" fillId="0" borderId="2" xfId="0" applyFont="1" applyBorder="1"/>
    <xf numFmtId="0" fontId="41" fillId="0" borderId="10" xfId="0" applyFont="1" applyBorder="1"/>
    <xf numFmtId="0" fontId="24" fillId="0" borderId="12" xfId="0" applyFont="1" applyBorder="1"/>
    <xf numFmtId="0" fontId="24" fillId="2" borderId="13" xfId="0" applyFont="1" applyFill="1" applyBorder="1" applyProtection="1">
      <protection locked="0"/>
    </xf>
    <xf numFmtId="0" fontId="38" fillId="0" borderId="0" xfId="4" applyFont="1"/>
    <xf numFmtId="0" fontId="37" fillId="0" borderId="6" xfId="4" applyFont="1" applyBorder="1"/>
    <xf numFmtId="0" fontId="38" fillId="0" borderId="6" xfId="4" applyFont="1" applyBorder="1"/>
    <xf numFmtId="0" fontId="36" fillId="0" borderId="0" xfId="4" applyFont="1" applyAlignment="1">
      <alignment vertical="center"/>
    </xf>
    <xf numFmtId="0" fontId="4" fillId="6" borderId="0" xfId="4" applyFill="1"/>
    <xf numFmtId="0" fontId="4" fillId="14" borderId="11" xfId="4" applyFill="1" applyBorder="1" applyProtection="1">
      <protection locked="0"/>
    </xf>
    <xf numFmtId="165" fontId="0" fillId="6" borderId="0" xfId="0" applyNumberFormat="1" applyFill="1"/>
    <xf numFmtId="3" fontId="0" fillId="6" borderId="0" xfId="0" applyNumberFormat="1" applyFill="1"/>
    <xf numFmtId="0" fontId="27" fillId="0" borderId="0" xfId="0" applyFont="1"/>
    <xf numFmtId="0" fontId="43" fillId="0" borderId="0" xfId="0" applyFont="1"/>
    <xf numFmtId="0" fontId="8" fillId="0" borderId="2" xfId="0" applyFont="1" applyBorder="1"/>
    <xf numFmtId="168" fontId="7" fillId="0" borderId="2" xfId="0" applyNumberFormat="1" applyFont="1" applyBorder="1"/>
    <xf numFmtId="0" fontId="7" fillId="2" borderId="2" xfId="0" applyFont="1" applyFill="1" applyBorder="1" applyProtection="1">
      <protection locked="0"/>
    </xf>
    <xf numFmtId="0" fontId="13" fillId="6" borderId="0" xfId="0" applyFont="1" applyFill="1"/>
    <xf numFmtId="0" fontId="44" fillId="15" borderId="2" xfId="0" applyFont="1" applyFill="1" applyBorder="1" applyAlignment="1">
      <alignment horizontal="center" vertical="center" wrapText="1"/>
    </xf>
    <xf numFmtId="0" fontId="45" fillId="15" borderId="2" xfId="0" applyFont="1" applyFill="1" applyBorder="1" applyAlignment="1">
      <alignment horizontal="center" vertical="center" wrapText="1"/>
    </xf>
    <xf numFmtId="43" fontId="45" fillId="15" borderId="2" xfId="0" applyNumberFormat="1" applyFont="1" applyFill="1" applyBorder="1" applyAlignment="1">
      <alignment vertical="center" wrapText="1"/>
    </xf>
    <xf numFmtId="43" fontId="45" fillId="15" borderId="2" xfId="0" applyNumberFormat="1" applyFont="1" applyFill="1" applyBorder="1" applyAlignment="1">
      <alignment horizontal="center" vertical="center" wrapText="1"/>
    </xf>
    <xf numFmtId="1" fontId="45" fillId="15" borderId="2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Protection="1">
      <protection locked="0"/>
    </xf>
    <xf numFmtId="9" fontId="9" fillId="2" borderId="0" xfId="7" applyFont="1" applyFill="1"/>
    <xf numFmtId="169" fontId="0" fillId="0" borderId="0" xfId="0" applyNumberFormat="1"/>
    <xf numFmtId="0" fontId="13" fillId="0" borderId="0" xfId="0" applyFont="1"/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30" fillId="12" borderId="8" xfId="0" applyFont="1" applyFill="1" applyBorder="1" applyAlignment="1">
      <alignment horizontal="center"/>
    </xf>
    <xf numFmtId="0" fontId="31" fillId="0" borderId="9" xfId="0" applyFont="1" applyBorder="1"/>
    <xf numFmtId="0" fontId="31" fillId="0" borderId="10" xfId="0" applyFont="1" applyBorder="1"/>
    <xf numFmtId="0" fontId="41" fillId="0" borderId="0" xfId="0" applyFont="1"/>
    <xf numFmtId="0" fontId="0" fillId="0" borderId="0" xfId="0"/>
    <xf numFmtId="0" fontId="24" fillId="0" borderId="0" xfId="0" applyFont="1"/>
    <xf numFmtId="0" fontId="0" fillId="6" borderId="0" xfId="0" applyFill="1"/>
  </cellXfs>
  <cellStyles count="11">
    <cellStyle name="Comma 2" xfId="5" xr:uid="{4B1B2B16-4CDC-4637-B0C6-B118E5D2C189}"/>
    <cellStyle name="Hyperlink" xfId="6" builtinId="8"/>
    <cellStyle name="Hyperlink 2" xfId="2" xr:uid="{8F3D1A4D-B52C-4A2F-A367-DED74E3979C1}"/>
    <cellStyle name="Normal" xfId="0" builtinId="0"/>
    <cellStyle name="Normal 2" xfId="1" xr:uid="{EB7893CD-57C7-41C9-9D6E-85E9E452B487}"/>
    <cellStyle name="Normal 2 2" xfId="4" xr:uid="{2DDC26AE-C3A6-46A1-B757-0A2D52EE070B}"/>
    <cellStyle name="Normal 2 3" xfId="8" xr:uid="{75FB448E-0C36-4DA1-A69B-B41EB9736CE5}"/>
    <cellStyle name="Normal 3" xfId="3" xr:uid="{93EABC21-D15A-4446-810A-0D950F60D0F6}"/>
    <cellStyle name="Normal 4" xfId="9" xr:uid="{BC525CAD-C30F-435E-BBE9-8D55C24D1610}"/>
    <cellStyle name="Normal 5" xfId="10" xr:uid="{A5395B58-BFD4-4347-9C7C-A006C56BC465}"/>
    <cellStyle name="Percent" xfId="7" builtinId="5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9" formatCode="dd\/mm\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ill>
        <patternFill>
          <bgColor rgb="FF9FD5B7"/>
        </patternFill>
      </fill>
    </dxf>
    <dxf>
      <font>
        <b/>
        <i val="0"/>
        <color rgb="FFFFFFFF"/>
      </font>
      <fill>
        <patternFill>
          <bgColor rgb="FF217346"/>
        </patternFill>
      </fill>
    </dxf>
    <dxf>
      <border>
        <left style="thin">
          <color rgb="FF439467"/>
        </left>
        <right style="thin">
          <color rgb="FF439467"/>
        </right>
        <top style="thin">
          <color rgb="FF439467"/>
        </top>
        <bottom style="thin">
          <color rgb="FF439467"/>
        </bottom>
        <horizontal style="thin">
          <color rgb="FF439467"/>
        </horizontal>
      </border>
    </dxf>
    <dxf>
      <fill>
        <patternFill>
          <bgColor rgb="FFFCE4D6"/>
        </patternFill>
      </fill>
    </dxf>
    <dxf>
      <font>
        <b/>
        <i val="0"/>
        <color rgb="FFFFFFFF"/>
      </font>
      <fill>
        <patternFill>
          <bgColor rgb="FFED7D31"/>
        </patternFill>
      </fill>
    </dxf>
    <dxf>
      <border>
        <left style="thin">
          <color rgb="FFF4B084"/>
        </left>
        <right style="thin">
          <color rgb="FFF4B084"/>
        </right>
        <top style="thin">
          <color rgb="FFF4B084"/>
        </top>
        <bottom style="thin">
          <color rgb="FFF4B084"/>
        </bottom>
        <horizontal style="thin">
          <color rgb="FFF4B084"/>
        </horizontal>
      </border>
    </dxf>
  </dxfs>
  <tableStyles count="4" defaultTableStyle="TableStyleMedium2" defaultPivotStyle="PivotStyleLight16">
    <tableStyle name="TableStyleQueryError" pivot="0" count="3" xr9:uid="{616B93E5-A1F1-4D38-AC6F-3B6B86420D89}">
      <tableStyleElement type="wholeTable" dxfId="21"/>
      <tableStyleElement type="headerRow" dxfId="20"/>
      <tableStyleElement type="firstRowStripe" dxfId="19"/>
    </tableStyle>
    <tableStyle name="TableStyleQueryInfo" pivot="0" count="3" xr9:uid="{1163EC7E-ED9B-4F0C-8242-D0F278ECA9B3}">
      <tableStyleElement type="wholeTable" dxfId="18"/>
      <tableStyleElement type="headerRow" dxfId="17"/>
      <tableStyleElement type="firstRowStripe" dxfId="16"/>
    </tableStyle>
    <tableStyle name="TableStyleQueryPreview" pivot="0" count="3" xr9:uid="{5C2BCA46-91D2-4D52-86EA-1661F1AE141D}">
      <tableStyleElement type="wholeTable" dxfId="15"/>
      <tableStyleElement type="headerRow" dxfId="14"/>
      <tableStyleElement type="firstRowStripe" dxfId="13"/>
    </tableStyle>
    <tableStyle name="TableStyleQueryResult" pivot="0" count="3" xr9:uid="{E1442176-1AC0-40FA-A6E6-33CCEA329690}">
      <tableStyleElement type="wholeTable" dxfId="12"/>
      <tableStyleElement type="headerRow" dxfId="11"/>
      <tableStyleElement type="first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A1E045-395B-4D6A-A7C3-CBFD956E7DCE}" autoFormatId="16" applyNumberFormats="0" applyBorderFormats="0" applyFontFormats="0" applyPatternFormats="0" applyAlignmentFormats="0" applyWidthHeightFormats="0">
  <queryTableRefresh nextId="5">
    <queryTableFields count="4">
      <queryTableField id="1" name="From" tableColumnId="1"/>
      <queryTableField id="2" name="To" tableColumnId="2"/>
      <queryTableField id="3" name="Bid" tableColumnId="3"/>
      <queryTableField id="4" name="Ask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F598116-7A3B-4099-B22A-0B3A11A7CD39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" tableColumnId="2"/>
      <queryTableField id="3" name="Population" tableColumnId="3"/>
      <queryTableField id="4" name="Date" tableColumnId="4"/>
      <queryTableField id="5" name="Percentag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6F39480-44B9-4E51-8DDE-F276B8F1A61A}" autoFormatId="16" applyNumberFormats="0" applyBorderFormats="0" applyFontFormats="0" applyPatternFormats="0" applyAlignmentFormats="0" applyWidthHeightFormats="0">
  <queryTableRefresh nextId="6">
    <queryTableFields count="5">
      <queryTableField id="1" name="Investment.1" tableColumnId="1"/>
      <queryTableField id="2" name="Investment.2" tableColumnId="2"/>
      <queryTableField id="3" name="Price" tableColumnId="3"/>
      <queryTableField id="4" name="%" tableColumnId="4"/>
      <queryTableField id="5" name="Chang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CE09304-1CD6-41F7-9C44-9AE488811750}" autoFormatId="16" applyNumberFormats="0" applyBorderFormats="0" applyFontFormats="0" applyPatternFormats="0" applyAlignmentFormats="0" applyWidthHeightFormats="0">
  <queryTableRefresh nextId="7">
    <queryTableFields count="6">
      <queryTableField id="1" name="Rank" tableColumnId="1"/>
      <queryTableField id="2" name="Country" tableColumnId="2"/>
      <queryTableField id="3" name="Custom.1" tableColumnId="3"/>
      <queryTableField id="4" name="Population" tableColumnId="4"/>
      <queryTableField id="5" name="Date" tableColumnId="5"/>
      <queryTableField id="6" name="% of world _x000a_popul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4DDB2-9750-43B0-9639-A4069986DA06}" name="Table1_1" displayName="Table1_1" ref="A1:D14" tableType="queryTable" totalsRowShown="0">
  <autoFilter ref="A1:D14" xr:uid="{1184DDB2-9750-43B0-9639-A4069986DA06}"/>
  <tableColumns count="4">
    <tableColumn id="1" xr3:uid="{F8DB92D7-5342-4F7D-901A-093E37D94764}" uniqueName="1" name="From" queryTableFieldId="1" dataDxfId="9"/>
    <tableColumn id="2" xr3:uid="{B0ECC55A-5386-42CA-9220-F120773FC70D}" uniqueName="2" name="To" queryTableFieldId="2" dataDxfId="8"/>
    <tableColumn id="3" xr3:uid="{47F8181F-E1F7-4C50-BA90-C25A01ADA9C9}" uniqueName="3" name="Bid" queryTableFieldId="3"/>
    <tableColumn id="4" xr3:uid="{6B5F28A6-736E-43B3-B7D9-BAFB2A79F205}" uniqueName="4" name="Ask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4FD3-D912-4297-B457-987A54363E76}" name="Table3_1" displayName="Table3_1" ref="A1:E248" tableType="queryTable" totalsRowShown="0">
  <autoFilter ref="A1:E248" xr:uid="{134E4FD3-D912-4297-B457-987A54363E76}"/>
  <tableColumns count="5">
    <tableColumn id="1" xr3:uid="{3C62C495-A23E-4F9C-A6DA-7450728C15A8}" uniqueName="1" name="Rank" queryTableFieldId="1" dataDxfId="7"/>
    <tableColumn id="2" xr3:uid="{F0685923-7DD1-4C68-B183-36373144BCD3}" uniqueName="2" name="Country" queryTableFieldId="2" dataDxfId="6"/>
    <tableColumn id="3" xr3:uid="{C3507AE2-B42E-475A-9E9A-5B02EC4F52C8}" uniqueName="3" name="Population" queryTableFieldId="3"/>
    <tableColumn id="4" xr3:uid="{CAA6DC59-1C49-4931-99A9-18EA820A42F3}" uniqueName="4" name="Date" queryTableFieldId="4" dataDxfId="5"/>
    <tableColumn id="5" xr3:uid="{38C3E936-0A8A-4AAD-98C0-211FA0CC5E91}" uniqueName="5" name="Percentag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E13D-9250-4C0A-986E-37E10F054CE3}" name="Table1__3" displayName="Table1__3" ref="A1:E222" tableType="queryTable" totalsRowShown="0">
  <autoFilter ref="A1:E222" xr:uid="{A933E13D-9250-4C0A-986E-37E10F054CE3}"/>
  <tableColumns count="5">
    <tableColumn id="1" xr3:uid="{55CBCD65-D80F-44CF-A330-14B9D5791F83}" uniqueName="1" name="Investment.1" queryTableFieldId="1" dataDxfId="4"/>
    <tableColumn id="2" xr3:uid="{79FF4927-4353-4366-945E-AEC5625B0748}" uniqueName="2" name="Investment.2" queryTableFieldId="2" dataDxfId="3"/>
    <tableColumn id="3" xr3:uid="{84D7A9D9-2106-4AC6-874A-A61778342FCA}" uniqueName="3" name="Price" queryTableFieldId="3" dataDxfId="2"/>
    <tableColumn id="4" xr3:uid="{60B3C96D-DBF2-4DEC-953C-9CD900AB928B}" uniqueName="4" name="%" queryTableFieldId="4"/>
    <tableColumn id="5" xr3:uid="{12E56F06-31B5-430D-9167-D6562FD54488}" uniqueName="5" name="Chang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27BEC1-428A-46C3-8BE4-52BF7BF3FBBA}" name="Table5_1" displayName="Table5_1" ref="A1:F248" tableType="queryTable" totalsRowShown="0">
  <autoFilter ref="A1:F248" xr:uid="{6127BEC1-428A-46C3-8BE4-52BF7BF3FBBA}"/>
  <tableColumns count="6">
    <tableColumn id="1" xr3:uid="{3858653A-2535-4E65-8CF6-886EA0967D06}" uniqueName="1" name="Rank" queryTableFieldId="1"/>
    <tableColumn id="2" xr3:uid="{215F4BE6-454F-44CD-9416-D330868DC80F}" uniqueName="2" name="Country" queryTableFieldId="2" dataDxfId="1"/>
    <tableColumn id="3" xr3:uid="{E0060584-5098-48AD-943B-26124055DF37}" uniqueName="3" name="Custom.1" queryTableFieldId="3"/>
    <tableColumn id="4" xr3:uid="{AAEE7E05-6566-4242-9A36-CE89DADB9EB5}" uniqueName="4" name="Population" queryTableFieldId="4"/>
    <tableColumn id="5" xr3:uid="{EA734B6B-66A1-4B6E-97D1-BF5B9C843CDF}" uniqueName="5" name="Date" queryTableFieldId="5" dataDxfId="0"/>
    <tableColumn id="6" xr3:uid="{84B41E74-18B7-41D9-A795-F982F1F6B97B}" uniqueName="6" name="% of world _x000a_population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workbookViewId="0">
      <selection activeCell="F26" sqref="F26"/>
    </sheetView>
  </sheetViews>
  <sheetFormatPr defaultRowHeight="14.4" x14ac:dyDescent="0.3"/>
  <cols>
    <col min="1" max="1" width="2" bestFit="1" customWidth="1"/>
    <col min="2" max="2" width="33.5546875" customWidth="1"/>
    <col min="4" max="4" width="7.44140625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01CDE-4929-42CD-BC3F-4B1CB2118728}">
  <dimension ref="A1:F24"/>
  <sheetViews>
    <sheetView workbookViewId="0">
      <selection activeCell="F24" sqref="F24"/>
    </sheetView>
  </sheetViews>
  <sheetFormatPr defaultRowHeight="14.4" x14ac:dyDescent="0.3"/>
  <sheetData>
    <row r="1" spans="1:3" x14ac:dyDescent="0.3">
      <c r="A1" s="9" t="s">
        <v>20</v>
      </c>
      <c r="B1" s="10"/>
      <c r="C1" s="10"/>
    </row>
    <row r="2" spans="1:3" x14ac:dyDescent="0.3">
      <c r="A2" s="9" t="s">
        <v>21</v>
      </c>
      <c r="B2" s="10"/>
      <c r="C2" s="10"/>
    </row>
    <row r="3" spans="1:3" x14ac:dyDescent="0.3">
      <c r="A3" s="11" t="s">
        <v>22</v>
      </c>
      <c r="B3" s="11" t="s">
        <v>23</v>
      </c>
      <c r="C3" s="11" t="s">
        <v>24</v>
      </c>
    </row>
    <row r="4" spans="1:3" x14ac:dyDescent="0.3">
      <c r="A4" s="9" t="s">
        <v>25</v>
      </c>
      <c r="B4" s="12">
        <v>43101</v>
      </c>
      <c r="C4" s="9">
        <v>152</v>
      </c>
    </row>
    <row r="5" spans="1:3" x14ac:dyDescent="0.3">
      <c r="A5" s="9" t="s">
        <v>26</v>
      </c>
      <c r="B5" s="12">
        <v>43101</v>
      </c>
      <c r="C5" s="9">
        <v>171</v>
      </c>
    </row>
    <row r="6" spans="1:3" x14ac:dyDescent="0.3">
      <c r="A6" s="9" t="s">
        <v>27</v>
      </c>
      <c r="B6" s="12">
        <v>43101</v>
      </c>
      <c r="C6" s="9">
        <v>110</v>
      </c>
    </row>
    <row r="7" spans="1:3" x14ac:dyDescent="0.3">
      <c r="A7" s="9" t="s">
        <v>28</v>
      </c>
      <c r="B7" s="12">
        <v>43132</v>
      </c>
      <c r="C7" s="9">
        <v>173</v>
      </c>
    </row>
    <row r="8" spans="1:3" x14ac:dyDescent="0.3">
      <c r="A8" s="9" t="s">
        <v>29</v>
      </c>
      <c r="B8" s="12">
        <v>43132</v>
      </c>
      <c r="C8" s="9">
        <v>128</v>
      </c>
    </row>
    <row r="9" spans="1:3" x14ac:dyDescent="0.3">
      <c r="A9" s="9" t="s">
        <v>30</v>
      </c>
      <c r="B9" s="12">
        <v>43132</v>
      </c>
      <c r="C9" s="9">
        <v>107</v>
      </c>
    </row>
    <row r="10" spans="1:3" x14ac:dyDescent="0.3">
      <c r="A10" s="9" t="s">
        <v>31</v>
      </c>
      <c r="B10" s="12">
        <v>43160</v>
      </c>
      <c r="C10" s="9">
        <v>213</v>
      </c>
    </row>
    <row r="11" spans="1:3" x14ac:dyDescent="0.3">
      <c r="A11" s="9" t="s">
        <v>32</v>
      </c>
      <c r="B11" s="12">
        <v>43160</v>
      </c>
      <c r="C11" s="9">
        <v>238</v>
      </c>
    </row>
    <row r="12" spans="1:3" x14ac:dyDescent="0.3">
      <c r="A12" s="9" t="s">
        <v>33</v>
      </c>
      <c r="B12" s="12">
        <v>43160</v>
      </c>
      <c r="C12" s="9">
        <v>131</v>
      </c>
    </row>
    <row r="13" spans="1:3" x14ac:dyDescent="0.3">
      <c r="A13" s="10"/>
      <c r="B13" s="10"/>
      <c r="C13" s="10"/>
    </row>
    <row r="14" spans="1:3" x14ac:dyDescent="0.3">
      <c r="A14" s="9" t="s">
        <v>34</v>
      </c>
      <c r="B14" s="10"/>
      <c r="C14" s="10"/>
    </row>
    <row r="15" spans="1:3" x14ac:dyDescent="0.3">
      <c r="A15" s="10"/>
      <c r="B15" s="10"/>
      <c r="C15" s="10"/>
    </row>
    <row r="16" spans="1:3" x14ac:dyDescent="0.3">
      <c r="A16" s="12">
        <v>43101</v>
      </c>
      <c r="B16" s="13">
        <f>AVERAGE(C4:C6)</f>
        <v>144.33333333333334</v>
      </c>
      <c r="C16" s="9"/>
    </row>
    <row r="17" spans="1:6" x14ac:dyDescent="0.3">
      <c r="A17" s="12">
        <v>43132</v>
      </c>
      <c r="B17" s="13">
        <f>AVERAGE(C7:C9)</f>
        <v>136</v>
      </c>
      <c r="C17" s="9"/>
    </row>
    <row r="18" spans="1:6" x14ac:dyDescent="0.3">
      <c r="A18" s="12">
        <v>43160</v>
      </c>
      <c r="B18" s="13">
        <f>AVERAGE(C10:C12)</f>
        <v>194</v>
      </c>
      <c r="C18" s="9"/>
    </row>
    <row r="19" spans="1:6" x14ac:dyDescent="0.3">
      <c r="A19" s="10"/>
      <c r="B19" s="10"/>
      <c r="C19" s="10"/>
    </row>
    <row r="20" spans="1:6" x14ac:dyDescent="0.3">
      <c r="A20" s="10"/>
      <c r="B20" s="10"/>
      <c r="C20" s="10"/>
    </row>
    <row r="21" spans="1:6" x14ac:dyDescent="0.3">
      <c r="A21" s="9" t="s">
        <v>35</v>
      </c>
      <c r="B21" s="10"/>
      <c r="C21" s="10"/>
    </row>
    <row r="22" spans="1:6" x14ac:dyDescent="0.3">
      <c r="A22" s="10"/>
      <c r="B22" s="10"/>
      <c r="C22" s="10"/>
    </row>
    <row r="23" spans="1:6" x14ac:dyDescent="0.3">
      <c r="A23" s="9" t="s">
        <v>36</v>
      </c>
      <c r="B23" s="9"/>
      <c r="C23" s="9"/>
      <c r="F23" s="14">
        <f>SUM(C4:C12)/COUNT(C4:C12)</f>
        <v>158.11111111111111</v>
      </c>
    </row>
    <row r="24" spans="1:6" x14ac:dyDescent="0.3">
      <c r="A24" s="9" t="s">
        <v>37</v>
      </c>
      <c r="B24" s="9"/>
      <c r="C24" s="9"/>
      <c r="F24" s="14">
        <f>AVERAGE(C4:C12)</f>
        <v>158.11111111111111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61D3-68C9-411B-9F0C-96CF9CE66E32}">
  <dimension ref="A1:G18"/>
  <sheetViews>
    <sheetView workbookViewId="0">
      <selection activeCell="G18" sqref="G18"/>
    </sheetView>
  </sheetViews>
  <sheetFormatPr defaultRowHeight="14.4" x14ac:dyDescent="0.3"/>
  <cols>
    <col min="2" max="2" width="16.109375" customWidth="1"/>
  </cols>
  <sheetData>
    <row r="1" spans="1:7" x14ac:dyDescent="0.3">
      <c r="A1" s="15" t="s">
        <v>38</v>
      </c>
      <c r="B1" s="16"/>
      <c r="C1" s="16"/>
      <c r="D1" s="16"/>
      <c r="E1" s="16"/>
      <c r="F1" s="16"/>
      <c r="G1" s="16"/>
    </row>
    <row r="2" spans="1:7" x14ac:dyDescent="0.3">
      <c r="A2" s="17" t="s">
        <v>39</v>
      </c>
      <c r="B2" s="16"/>
      <c r="C2" s="16"/>
      <c r="D2" s="16"/>
      <c r="E2" s="16"/>
      <c r="F2" s="16"/>
      <c r="G2" s="16"/>
    </row>
    <row r="3" spans="1:7" x14ac:dyDescent="0.3">
      <c r="A3" s="18" t="s">
        <v>40</v>
      </c>
      <c r="B3" s="19" t="s">
        <v>41</v>
      </c>
      <c r="C3" s="16"/>
      <c r="D3" s="16"/>
      <c r="E3" s="16"/>
      <c r="F3" s="16"/>
      <c r="G3" s="16"/>
    </row>
    <row r="4" spans="1:7" x14ac:dyDescent="0.3">
      <c r="A4" s="18" t="s">
        <v>42</v>
      </c>
      <c r="B4" s="20">
        <v>7</v>
      </c>
      <c r="C4" s="16"/>
      <c r="D4" s="16"/>
      <c r="E4" s="16"/>
      <c r="F4" s="16"/>
      <c r="G4" s="16"/>
    </row>
    <row r="5" spans="1:7" x14ac:dyDescent="0.3">
      <c r="A5" s="18" t="s">
        <v>43</v>
      </c>
      <c r="B5" s="20">
        <v>5</v>
      </c>
      <c r="C5" s="16"/>
      <c r="D5" s="16"/>
      <c r="E5" s="16"/>
      <c r="F5" s="16"/>
      <c r="G5" s="16"/>
    </row>
    <row r="6" spans="1:7" x14ac:dyDescent="0.3">
      <c r="A6" s="18" t="s">
        <v>44</v>
      </c>
      <c r="B6" s="20">
        <v>6</v>
      </c>
      <c r="C6" s="16"/>
      <c r="D6" s="16"/>
      <c r="E6" s="16"/>
      <c r="F6" s="16"/>
      <c r="G6" s="16"/>
    </row>
    <row r="7" spans="1:7" x14ac:dyDescent="0.3">
      <c r="A7" s="18" t="s">
        <v>45</v>
      </c>
      <c r="B7" s="20">
        <v>4</v>
      </c>
      <c r="C7" s="16"/>
      <c r="D7" s="16"/>
      <c r="E7" s="16"/>
      <c r="F7" s="16"/>
      <c r="G7" s="16"/>
    </row>
    <row r="8" spans="1:7" x14ac:dyDescent="0.3">
      <c r="A8" s="18" t="s">
        <v>46</v>
      </c>
      <c r="B8" s="20" t="s">
        <v>47</v>
      </c>
      <c r="C8" s="16"/>
      <c r="D8" s="16"/>
      <c r="E8" s="16"/>
      <c r="F8" s="16"/>
      <c r="G8" s="16"/>
    </row>
    <row r="9" spans="1:7" x14ac:dyDescent="0.3">
      <c r="A9" s="18" t="s">
        <v>48</v>
      </c>
      <c r="B9" s="20" t="s">
        <v>49</v>
      </c>
      <c r="C9" s="16"/>
      <c r="D9" s="16"/>
      <c r="E9" s="16"/>
      <c r="F9" s="16"/>
      <c r="G9" s="16"/>
    </row>
    <row r="10" spans="1:7" x14ac:dyDescent="0.3">
      <c r="A10" s="18" t="s">
        <v>50</v>
      </c>
      <c r="B10" s="20" t="s">
        <v>50</v>
      </c>
      <c r="C10" s="16"/>
      <c r="D10" s="16"/>
      <c r="E10" s="16"/>
      <c r="F10" s="16"/>
      <c r="G10" s="16"/>
    </row>
    <row r="11" spans="1:7" x14ac:dyDescent="0.3">
      <c r="A11" s="16"/>
      <c r="B11" s="16"/>
      <c r="C11" s="16"/>
      <c r="D11" s="16"/>
      <c r="E11" s="16"/>
      <c r="F11" s="16"/>
      <c r="G11" s="16"/>
    </row>
    <row r="12" spans="1:7" x14ac:dyDescent="0.3">
      <c r="A12" s="17" t="s">
        <v>51</v>
      </c>
      <c r="B12" s="16"/>
      <c r="C12" s="16"/>
      <c r="D12" s="16"/>
      <c r="E12" s="16"/>
      <c r="F12" s="16"/>
      <c r="G12" s="16"/>
    </row>
    <row r="13" spans="1:7" x14ac:dyDescent="0.3">
      <c r="A13" s="16"/>
      <c r="B13" s="16"/>
      <c r="C13" s="16"/>
      <c r="D13" s="16"/>
      <c r="E13" s="16"/>
      <c r="F13" s="16"/>
      <c r="G13" s="16"/>
    </row>
    <row r="14" spans="1:7" ht="15" thickBot="1" x14ac:dyDescent="0.35">
      <c r="A14" s="17" t="s">
        <v>52</v>
      </c>
      <c r="B14" s="17" t="s">
        <v>53</v>
      </c>
      <c r="C14" s="16"/>
      <c r="D14" s="16"/>
      <c r="E14" s="16"/>
      <c r="F14" s="16"/>
      <c r="G14" s="16"/>
    </row>
    <row r="15" spans="1:7" ht="15" thickBot="1" x14ac:dyDescent="0.35">
      <c r="A15" s="17" t="s">
        <v>41</v>
      </c>
      <c r="B15" s="21">
        <f>COUNT(B4:B10)</f>
        <v>4</v>
      </c>
      <c r="C15" s="17"/>
      <c r="D15" s="16"/>
      <c r="E15" s="16"/>
      <c r="F15" s="16"/>
      <c r="G15" s="16"/>
    </row>
    <row r="16" spans="1:7" x14ac:dyDescent="0.3">
      <c r="A16" s="16"/>
      <c r="B16" s="16"/>
      <c r="C16" s="16"/>
      <c r="D16" s="16"/>
      <c r="E16" s="16"/>
      <c r="F16" s="16"/>
      <c r="G16" s="16"/>
    </row>
    <row r="17" spans="1:7" ht="15" thickBot="1" x14ac:dyDescent="0.35">
      <c r="A17" s="17" t="s">
        <v>52</v>
      </c>
      <c r="B17" s="17" t="s">
        <v>54</v>
      </c>
      <c r="C17" s="16"/>
      <c r="D17" s="16"/>
      <c r="E17" s="16"/>
      <c r="F17" s="16"/>
      <c r="G17" s="16"/>
    </row>
    <row r="18" spans="1:7" ht="15" thickBot="1" x14ac:dyDescent="0.35">
      <c r="A18" s="17" t="s">
        <v>41</v>
      </c>
      <c r="B18" s="21">
        <f>COUNTA(B4:B10)</f>
        <v>7</v>
      </c>
      <c r="C18" s="17"/>
      <c r="D18" s="16"/>
      <c r="E18" s="16"/>
      <c r="F18" s="16"/>
      <c r="G1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F708-20F0-43EF-B715-8C86299F4572}">
  <dimension ref="A2:F28"/>
  <sheetViews>
    <sheetView zoomScale="70" zoomScaleNormal="70" workbookViewId="0">
      <selection activeCell="G31" sqref="G31"/>
    </sheetView>
  </sheetViews>
  <sheetFormatPr defaultRowHeight="14.4" x14ac:dyDescent="0.3"/>
  <cols>
    <col min="2" max="2" width="36.77734375" customWidth="1"/>
  </cols>
  <sheetData>
    <row r="2" spans="1:6" x14ac:dyDescent="0.3">
      <c r="A2" s="29" t="s">
        <v>489</v>
      </c>
      <c r="B2" s="26"/>
      <c r="C2" s="26"/>
      <c r="D2" s="26"/>
      <c r="E2" s="26"/>
      <c r="F2" s="26"/>
    </row>
    <row r="3" spans="1:6" x14ac:dyDescent="0.3">
      <c r="A3" s="29" t="s">
        <v>490</v>
      </c>
      <c r="B3" s="26"/>
      <c r="C3" s="26"/>
      <c r="D3" s="26"/>
      <c r="E3" s="26"/>
      <c r="F3" s="26"/>
    </row>
    <row r="4" spans="1:6" ht="24" x14ac:dyDescent="0.3">
      <c r="A4" s="114" t="s">
        <v>491</v>
      </c>
      <c r="B4" s="114" t="s">
        <v>492</v>
      </c>
      <c r="C4" s="114" t="s">
        <v>111</v>
      </c>
      <c r="D4" s="26"/>
      <c r="E4" s="26"/>
      <c r="F4" s="26"/>
    </row>
    <row r="5" spans="1:6" x14ac:dyDescent="0.3">
      <c r="A5" s="115">
        <v>101</v>
      </c>
      <c r="B5" s="115" t="s">
        <v>493</v>
      </c>
      <c r="C5" s="116">
        <v>78022</v>
      </c>
      <c r="D5" s="26"/>
      <c r="E5" s="26"/>
      <c r="F5" s="26"/>
    </row>
    <row r="6" spans="1:6" x14ac:dyDescent="0.3">
      <c r="A6" s="115">
        <v>102</v>
      </c>
      <c r="B6" s="115" t="s">
        <v>494</v>
      </c>
      <c r="C6" s="116">
        <v>99819</v>
      </c>
      <c r="D6" s="26"/>
      <c r="E6" s="26"/>
      <c r="F6" s="26"/>
    </row>
    <row r="7" spans="1:6" x14ac:dyDescent="0.3">
      <c r="A7" s="115">
        <v>103</v>
      </c>
      <c r="B7" s="115" t="s">
        <v>495</v>
      </c>
      <c r="C7" s="117" t="s">
        <v>496</v>
      </c>
      <c r="D7" s="26"/>
      <c r="E7" s="26"/>
      <c r="F7" s="26"/>
    </row>
    <row r="8" spans="1:6" x14ac:dyDescent="0.3">
      <c r="A8" s="115">
        <v>104</v>
      </c>
      <c r="B8" s="115" t="s">
        <v>497</v>
      </c>
      <c r="C8" s="116">
        <v>27522</v>
      </c>
      <c r="D8" s="26"/>
      <c r="E8" s="26"/>
      <c r="F8" s="26"/>
    </row>
    <row r="9" spans="1:6" x14ac:dyDescent="0.3">
      <c r="A9" s="115">
        <v>105</v>
      </c>
      <c r="B9" s="115" t="s">
        <v>498</v>
      </c>
      <c r="C9" s="118">
        <v>0</v>
      </c>
      <c r="D9" s="26"/>
      <c r="E9" s="26"/>
      <c r="F9" s="26"/>
    </row>
    <row r="10" spans="1:6" x14ac:dyDescent="0.3">
      <c r="A10" s="115">
        <v>106</v>
      </c>
      <c r="B10" s="115" t="s">
        <v>499</v>
      </c>
      <c r="C10" s="118"/>
      <c r="D10" s="26"/>
      <c r="E10" s="26"/>
      <c r="F10" s="26"/>
    </row>
    <row r="11" spans="1:6" x14ac:dyDescent="0.3">
      <c r="A11" s="115">
        <v>107</v>
      </c>
      <c r="B11" s="115" t="s">
        <v>500</v>
      </c>
      <c r="C11" s="118">
        <v>0</v>
      </c>
      <c r="D11" s="26"/>
      <c r="E11" s="26"/>
      <c r="F11" s="26"/>
    </row>
    <row r="12" spans="1:6" x14ac:dyDescent="0.3">
      <c r="A12" s="115">
        <v>108</v>
      </c>
      <c r="B12" s="115" t="s">
        <v>501</v>
      </c>
      <c r="C12" s="116">
        <v>88041</v>
      </c>
      <c r="D12" s="26"/>
      <c r="E12" s="26"/>
      <c r="F12" s="26"/>
    </row>
    <row r="13" spans="1:6" x14ac:dyDescent="0.3">
      <c r="A13" s="115">
        <v>109</v>
      </c>
      <c r="B13" s="115" t="s">
        <v>502</v>
      </c>
      <c r="C13" s="116">
        <v>81831</v>
      </c>
      <c r="D13" s="26"/>
      <c r="E13" s="26"/>
      <c r="F13" s="26"/>
    </row>
    <row r="14" spans="1:6" x14ac:dyDescent="0.3">
      <c r="A14" s="115">
        <v>110</v>
      </c>
      <c r="B14" s="115" t="s">
        <v>503</v>
      </c>
      <c r="C14" s="117" t="s">
        <v>496</v>
      </c>
      <c r="D14" s="26"/>
      <c r="E14" s="26"/>
      <c r="F14" s="26"/>
    </row>
    <row r="15" spans="1:6" x14ac:dyDescent="0.3">
      <c r="A15" s="115">
        <v>111</v>
      </c>
      <c r="B15" s="115" t="s">
        <v>504</v>
      </c>
      <c r="C15" s="116"/>
      <c r="D15" s="26"/>
      <c r="E15" s="26"/>
      <c r="F15" s="26"/>
    </row>
    <row r="16" spans="1:6" x14ac:dyDescent="0.3">
      <c r="A16" s="115">
        <v>112</v>
      </c>
      <c r="B16" s="115" t="s">
        <v>505</v>
      </c>
      <c r="C16" s="116">
        <v>26624</v>
      </c>
      <c r="D16" s="26"/>
      <c r="E16" s="26"/>
      <c r="F16" s="26"/>
    </row>
    <row r="17" spans="1:6" x14ac:dyDescent="0.3">
      <c r="A17" s="115">
        <v>113</v>
      </c>
      <c r="B17" s="115" t="s">
        <v>506</v>
      </c>
      <c r="C17" s="116">
        <v>92885</v>
      </c>
      <c r="D17" s="26"/>
      <c r="E17" s="26"/>
      <c r="F17" s="26"/>
    </row>
    <row r="18" spans="1:6" x14ac:dyDescent="0.3">
      <c r="A18" s="115">
        <v>114</v>
      </c>
      <c r="B18" s="115" t="s">
        <v>507</v>
      </c>
      <c r="C18" s="118">
        <v>0</v>
      </c>
      <c r="D18" s="26"/>
      <c r="E18" s="26"/>
      <c r="F18" s="26"/>
    </row>
    <row r="19" spans="1:6" x14ac:dyDescent="0.3">
      <c r="A19" s="26"/>
      <c r="B19" s="26"/>
      <c r="C19" s="26"/>
      <c r="D19" s="26"/>
      <c r="E19" s="26"/>
      <c r="F19" s="26"/>
    </row>
    <row r="20" spans="1:6" x14ac:dyDescent="0.3">
      <c r="A20" s="29" t="s">
        <v>508</v>
      </c>
      <c r="B20" s="26"/>
      <c r="C20" s="26"/>
      <c r="D20" s="26"/>
      <c r="E20" s="26"/>
      <c r="F20" s="26"/>
    </row>
    <row r="21" spans="1:6" ht="15" thickBot="1" x14ac:dyDescent="0.35">
      <c r="A21" s="26" t="s">
        <v>52</v>
      </c>
      <c r="B21" s="26" t="s">
        <v>509</v>
      </c>
      <c r="C21" s="26"/>
      <c r="D21" s="26"/>
      <c r="E21" s="26"/>
      <c r="F21" s="26"/>
    </row>
    <row r="22" spans="1:6" ht="15" thickBot="1" x14ac:dyDescent="0.35">
      <c r="A22" s="26" t="s">
        <v>41</v>
      </c>
      <c r="B22" s="119">
        <f>COUNT(C5:C18)</f>
        <v>10</v>
      </c>
      <c r="C22" s="26"/>
      <c r="D22" s="26"/>
      <c r="E22" s="26"/>
      <c r="F22" s="26"/>
    </row>
    <row r="23" spans="1:6" x14ac:dyDescent="0.3">
      <c r="A23" s="26"/>
      <c r="B23" s="26"/>
      <c r="C23" s="26"/>
      <c r="D23" s="26"/>
      <c r="E23" s="26"/>
      <c r="F23" s="26"/>
    </row>
    <row r="24" spans="1:6" x14ac:dyDescent="0.3">
      <c r="A24" s="26"/>
      <c r="B24" s="26" t="s">
        <v>510</v>
      </c>
      <c r="C24" s="26"/>
      <c r="D24" s="26"/>
      <c r="E24" s="26"/>
      <c r="F24" s="26"/>
    </row>
    <row r="25" spans="1:6" x14ac:dyDescent="0.3">
      <c r="A25" s="26"/>
      <c r="B25" s="26"/>
      <c r="C25" s="26"/>
      <c r="D25" s="26"/>
      <c r="E25" s="26"/>
      <c r="F25" s="26"/>
    </row>
    <row r="26" spans="1:6" x14ac:dyDescent="0.3">
      <c r="A26" s="26"/>
      <c r="B26" s="26"/>
      <c r="C26" s="26"/>
      <c r="D26" s="26"/>
      <c r="E26" s="26"/>
      <c r="F26" s="26"/>
    </row>
    <row r="27" spans="1:6" ht="15" thickBot="1" x14ac:dyDescent="0.35">
      <c r="A27" s="26" t="s">
        <v>52</v>
      </c>
      <c r="B27" s="26" t="s">
        <v>511</v>
      </c>
      <c r="C27" s="26"/>
      <c r="D27" s="26"/>
      <c r="E27" s="26"/>
      <c r="F27" s="26"/>
    </row>
    <row r="28" spans="1:6" ht="15" thickBot="1" x14ac:dyDescent="0.35">
      <c r="A28" s="26" t="s">
        <v>41</v>
      </c>
      <c r="B28" s="119">
        <f>COUNTA(C5:C18)</f>
        <v>12</v>
      </c>
      <c r="C28" s="26"/>
      <c r="D28" s="26"/>
      <c r="E28" s="26"/>
      <c r="F28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F863-A0E9-4F79-B9C0-CF11F31B4762}">
  <dimension ref="A1:F28"/>
  <sheetViews>
    <sheetView workbookViewId="0">
      <selection activeCell="D26" sqref="D26"/>
    </sheetView>
  </sheetViews>
  <sheetFormatPr defaultRowHeight="14.4" x14ac:dyDescent="0.3"/>
  <cols>
    <col min="2" max="2" width="63.33203125" bestFit="1" customWidth="1"/>
  </cols>
  <sheetData>
    <row r="1" spans="1:6" x14ac:dyDescent="0.3">
      <c r="A1" s="16"/>
      <c r="B1" s="17" t="s">
        <v>55</v>
      </c>
      <c r="C1" s="16"/>
      <c r="D1" s="16"/>
      <c r="E1" s="16"/>
      <c r="F1" s="16"/>
    </row>
    <row r="2" spans="1:6" ht="15" thickBot="1" x14ac:dyDescent="0.35">
      <c r="A2" s="122"/>
      <c r="B2" s="122"/>
      <c r="C2" s="16"/>
      <c r="D2" s="16"/>
      <c r="E2" s="16"/>
      <c r="F2" s="16"/>
    </row>
    <row r="3" spans="1:6" x14ac:dyDescent="0.3">
      <c r="A3" s="16"/>
      <c r="B3" s="22"/>
      <c r="C3" s="16"/>
      <c r="D3" s="16"/>
      <c r="E3" s="16"/>
      <c r="F3" s="16"/>
    </row>
    <row r="4" spans="1:6" x14ac:dyDescent="0.3">
      <c r="A4" s="16"/>
      <c r="B4" s="23" t="s">
        <v>56</v>
      </c>
      <c r="C4" s="16"/>
      <c r="D4" s="16"/>
      <c r="E4" s="16"/>
      <c r="F4" s="16"/>
    </row>
    <row r="5" spans="1:6" x14ac:dyDescent="0.3">
      <c r="A5" s="16"/>
      <c r="B5" s="23">
        <v>4</v>
      </c>
      <c r="C5" s="16"/>
      <c r="D5" s="16"/>
      <c r="E5" s="16"/>
      <c r="F5" s="16"/>
    </row>
    <row r="6" spans="1:6" x14ac:dyDescent="0.3">
      <c r="A6" s="16"/>
      <c r="B6" s="23"/>
      <c r="C6" s="16"/>
      <c r="D6" s="16"/>
      <c r="E6" s="16"/>
      <c r="F6" s="16"/>
    </row>
    <row r="7" spans="1:6" x14ac:dyDescent="0.3">
      <c r="A7" s="16"/>
      <c r="B7" s="23">
        <v>3</v>
      </c>
      <c r="C7" s="16"/>
      <c r="D7" s="16"/>
      <c r="E7" s="16"/>
      <c r="F7" s="16"/>
    </row>
    <row r="8" spans="1:6" x14ac:dyDescent="0.3">
      <c r="A8" s="16"/>
      <c r="B8" s="23"/>
      <c r="C8" s="16"/>
      <c r="D8" s="16"/>
      <c r="E8" s="16"/>
      <c r="F8" s="16"/>
    </row>
    <row r="9" spans="1:6" x14ac:dyDescent="0.3">
      <c r="A9" s="16"/>
      <c r="B9" s="23" t="s">
        <v>57</v>
      </c>
      <c r="C9" s="16"/>
      <c r="D9" s="16"/>
      <c r="E9" s="16"/>
      <c r="F9" s="16"/>
    </row>
    <row r="10" spans="1:6" x14ac:dyDescent="0.3">
      <c r="A10" s="16"/>
      <c r="B10" s="23"/>
      <c r="C10" s="16"/>
      <c r="D10" s="16"/>
      <c r="E10" s="16"/>
      <c r="F10" s="16"/>
    </row>
    <row r="11" spans="1:6" x14ac:dyDescent="0.3">
      <c r="A11" s="16"/>
      <c r="B11" s="23" t="e">
        <v>#DIV/0!</v>
      </c>
      <c r="C11" s="16"/>
      <c r="D11" s="16"/>
      <c r="E11" s="16"/>
      <c r="F11" s="16"/>
    </row>
    <row r="12" spans="1:6" x14ac:dyDescent="0.3">
      <c r="A12" s="16"/>
      <c r="B12" s="23" t="s">
        <v>58</v>
      </c>
      <c r="C12" s="16"/>
      <c r="D12" s="16"/>
      <c r="E12" s="16"/>
      <c r="F12" s="16"/>
    </row>
    <row r="13" spans="1:6" ht="15" thickBot="1" x14ac:dyDescent="0.35">
      <c r="A13" s="16"/>
      <c r="B13" s="24" t="s">
        <v>59</v>
      </c>
      <c r="C13" s="16"/>
      <c r="D13" s="16"/>
      <c r="E13" s="16"/>
      <c r="F13" s="16"/>
    </row>
    <row r="14" spans="1:6" x14ac:dyDescent="0.3">
      <c r="A14" s="122"/>
      <c r="B14" s="122"/>
      <c r="C14" s="16"/>
      <c r="D14" s="16"/>
      <c r="E14" s="16"/>
      <c r="F14" s="16"/>
    </row>
    <row r="15" spans="1:6" x14ac:dyDescent="0.3">
      <c r="A15" s="16"/>
      <c r="B15" s="17" t="s">
        <v>60</v>
      </c>
      <c r="C15" s="16"/>
      <c r="D15" s="16"/>
      <c r="E15" s="16"/>
      <c r="F15" s="16"/>
    </row>
    <row r="16" spans="1:6" x14ac:dyDescent="0.3">
      <c r="A16" s="122"/>
      <c r="B16" s="122"/>
      <c r="C16" s="16"/>
      <c r="D16" s="16"/>
      <c r="E16" s="16"/>
      <c r="F16" s="16"/>
    </row>
    <row r="17" spans="1:6" x14ac:dyDescent="0.3">
      <c r="A17" s="17">
        <v>1</v>
      </c>
      <c r="B17" s="17" t="s">
        <v>61</v>
      </c>
      <c r="C17" s="16"/>
      <c r="D17" s="113">
        <f>COUNT(B3:B13)</f>
        <v>2</v>
      </c>
      <c r="E17" s="16"/>
      <c r="F17" s="16"/>
    </row>
    <row r="18" spans="1:6" x14ac:dyDescent="0.3">
      <c r="A18" s="122"/>
      <c r="B18" s="122"/>
      <c r="C18" s="17"/>
      <c r="D18" s="16"/>
      <c r="E18" s="16"/>
      <c r="F18" s="16"/>
    </row>
    <row r="19" spans="1:6" x14ac:dyDescent="0.3">
      <c r="A19" s="122"/>
      <c r="B19" s="122"/>
      <c r="C19" s="16"/>
      <c r="D19" s="16"/>
      <c r="E19" s="16"/>
      <c r="F19" s="16"/>
    </row>
    <row r="20" spans="1:6" x14ac:dyDescent="0.3">
      <c r="A20" s="17">
        <v>2</v>
      </c>
      <c r="B20" s="17" t="s">
        <v>62</v>
      </c>
      <c r="C20" s="16"/>
      <c r="D20" s="113">
        <f>COUNTBLANK(B3:B13)</f>
        <v>4</v>
      </c>
      <c r="E20" s="16"/>
      <c r="F20" s="16"/>
    </row>
    <row r="21" spans="1:6" x14ac:dyDescent="0.3">
      <c r="A21" s="122"/>
      <c r="B21" s="122"/>
      <c r="C21" s="17"/>
      <c r="D21" s="16"/>
      <c r="E21" s="16"/>
      <c r="F21" s="16"/>
    </row>
    <row r="22" spans="1:6" x14ac:dyDescent="0.3">
      <c r="A22" s="122"/>
      <c r="B22" s="122"/>
      <c r="C22" s="16"/>
      <c r="D22" s="16"/>
      <c r="E22" s="16"/>
      <c r="F22" s="16"/>
    </row>
    <row r="23" spans="1:6" x14ac:dyDescent="0.3">
      <c r="A23" s="17">
        <v>3</v>
      </c>
      <c r="B23" s="17" t="s">
        <v>63</v>
      </c>
      <c r="C23" s="16"/>
      <c r="D23" s="113">
        <f>COUNTA(B3:B13)-COUNT(B3:B13)</f>
        <v>5</v>
      </c>
      <c r="E23" s="16"/>
      <c r="F23" s="16"/>
    </row>
    <row r="24" spans="1:6" x14ac:dyDescent="0.3">
      <c r="A24" s="122"/>
      <c r="B24" s="122"/>
      <c r="C24" s="17"/>
      <c r="D24" s="16"/>
      <c r="E24" s="16"/>
      <c r="F24" s="16"/>
    </row>
    <row r="25" spans="1:6" x14ac:dyDescent="0.3">
      <c r="A25" s="122"/>
      <c r="B25" s="122"/>
      <c r="C25" s="16"/>
      <c r="D25" s="16"/>
      <c r="E25" s="16"/>
      <c r="F25" s="16"/>
    </row>
    <row r="26" spans="1:6" x14ac:dyDescent="0.3">
      <c r="A26" s="17">
        <v>4</v>
      </c>
      <c r="B26" s="17" t="s">
        <v>64</v>
      </c>
      <c r="C26" s="16"/>
      <c r="D26" s="113">
        <f>COUNTA(B3:B13)+COUNTBLANK(B3:B13)</f>
        <v>11</v>
      </c>
      <c r="E26" s="16"/>
      <c r="F26" s="16"/>
    </row>
    <row r="27" spans="1:6" x14ac:dyDescent="0.3">
      <c r="A27" s="123"/>
      <c r="B27" s="123"/>
      <c r="C27" s="17"/>
      <c r="D27" s="16"/>
      <c r="E27" s="16"/>
      <c r="F27" s="16"/>
    </row>
    <row r="28" spans="1:6" x14ac:dyDescent="0.3">
      <c r="A28" s="122"/>
      <c r="B28" s="122"/>
      <c r="C28" s="16"/>
      <c r="D28" s="16"/>
      <c r="E28" s="16"/>
      <c r="F28" s="16"/>
    </row>
  </sheetData>
  <mergeCells count="11">
    <mergeCell ref="A22:B22"/>
    <mergeCell ref="A24:B24"/>
    <mergeCell ref="A25:B25"/>
    <mergeCell ref="A27:B27"/>
    <mergeCell ref="A28:B28"/>
    <mergeCell ref="A21:B21"/>
    <mergeCell ref="A2:B2"/>
    <mergeCell ref="A14:B14"/>
    <mergeCell ref="A16:B16"/>
    <mergeCell ref="A18:B18"/>
    <mergeCell ref="A19:B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8F16-4166-4AF7-B210-2DA0B7A09C68}">
  <dimension ref="A1:K21"/>
  <sheetViews>
    <sheetView workbookViewId="0">
      <selection activeCell="B20" sqref="B20"/>
    </sheetView>
  </sheetViews>
  <sheetFormatPr defaultRowHeight="14.4" x14ac:dyDescent="0.3"/>
  <cols>
    <col min="1" max="1" width="23.6640625" customWidth="1"/>
    <col min="3" max="3" width="9.6640625" bestFit="1" customWidth="1"/>
    <col min="4" max="4" width="11.33203125" bestFit="1" customWidth="1"/>
    <col min="7" max="7" width="11.109375" bestFit="1" customWidth="1"/>
    <col min="8" max="8" width="13.5546875" bestFit="1" customWidth="1"/>
    <col min="9" max="9" width="11.33203125" bestFit="1" customWidth="1"/>
    <col min="10" max="10" width="11.44140625" bestFit="1" customWidth="1"/>
    <col min="11" max="11" width="11.77734375" bestFit="1" customWidth="1"/>
  </cols>
  <sheetData>
    <row r="1" spans="1:11" x14ac:dyDescent="0.3">
      <c r="A1" s="25" t="s">
        <v>65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3">
      <c r="A2" s="27" t="s">
        <v>66</v>
      </c>
      <c r="B2" s="27">
        <v>101</v>
      </c>
      <c r="C2" s="27">
        <v>102</v>
      </c>
      <c r="D2" s="27">
        <v>103</v>
      </c>
      <c r="E2" s="27">
        <v>104</v>
      </c>
      <c r="F2" s="27">
        <v>105</v>
      </c>
      <c r="G2" s="27">
        <v>106</v>
      </c>
      <c r="H2" s="27">
        <v>107</v>
      </c>
      <c r="I2" s="27">
        <v>108</v>
      </c>
      <c r="J2" s="27">
        <v>109</v>
      </c>
      <c r="K2" s="27">
        <v>110</v>
      </c>
    </row>
    <row r="3" spans="1:11" x14ac:dyDescent="0.3">
      <c r="A3" s="27" t="s">
        <v>67</v>
      </c>
      <c r="B3" s="28" t="s">
        <v>68</v>
      </c>
      <c r="C3" s="28" t="s">
        <v>69</v>
      </c>
      <c r="D3" s="28" t="s">
        <v>70</v>
      </c>
      <c r="E3" s="28" t="s">
        <v>71</v>
      </c>
      <c r="F3" s="28" t="s">
        <v>72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77</v>
      </c>
    </row>
    <row r="4" spans="1:11" x14ac:dyDescent="0.3">
      <c r="A4" s="27" t="s">
        <v>78</v>
      </c>
      <c r="B4" s="28" t="s">
        <v>79</v>
      </c>
      <c r="C4" s="28" t="s">
        <v>80</v>
      </c>
      <c r="D4" s="28" t="s">
        <v>81</v>
      </c>
      <c r="E4" s="28" t="s">
        <v>82</v>
      </c>
      <c r="F4" s="28" t="s">
        <v>79</v>
      </c>
      <c r="G4" s="28" t="s">
        <v>80</v>
      </c>
      <c r="H4" s="28" t="s">
        <v>81</v>
      </c>
      <c r="I4" s="28" t="s">
        <v>82</v>
      </c>
      <c r="J4" s="28" t="s">
        <v>79</v>
      </c>
      <c r="K4" s="28" t="s">
        <v>80</v>
      </c>
    </row>
    <row r="5" spans="1:11" x14ac:dyDescent="0.3">
      <c r="A5" s="27" t="s">
        <v>83</v>
      </c>
      <c r="B5" s="28">
        <v>50000</v>
      </c>
      <c r="C5" s="28">
        <v>55000</v>
      </c>
      <c r="D5" s="28">
        <v>60000</v>
      </c>
      <c r="E5" s="28">
        <v>65000</v>
      </c>
      <c r="F5" s="28">
        <v>70000</v>
      </c>
      <c r="G5" s="28">
        <v>75000</v>
      </c>
      <c r="H5" s="28">
        <v>80000</v>
      </c>
      <c r="I5" s="28">
        <v>85000</v>
      </c>
      <c r="J5" s="28">
        <v>90000</v>
      </c>
      <c r="K5" s="28">
        <v>95000</v>
      </c>
    </row>
    <row r="6" spans="1:11" x14ac:dyDescent="0.3">
      <c r="A6" s="27" t="s">
        <v>84</v>
      </c>
      <c r="B6" s="28">
        <v>2000</v>
      </c>
      <c r="C6" s="28">
        <v>2500</v>
      </c>
      <c r="D6" s="28">
        <v>3000</v>
      </c>
      <c r="E6" s="28">
        <v>3500</v>
      </c>
      <c r="F6" s="28">
        <v>4000</v>
      </c>
      <c r="G6" s="28">
        <v>4500</v>
      </c>
      <c r="H6" s="28">
        <v>5000</v>
      </c>
      <c r="I6" s="28">
        <v>5500</v>
      </c>
      <c r="J6" s="28">
        <v>6000</v>
      </c>
      <c r="K6" s="28">
        <v>6500</v>
      </c>
    </row>
    <row r="7" spans="1:11" x14ac:dyDescent="0.3">
      <c r="A7" s="27" t="s">
        <v>85</v>
      </c>
      <c r="B7" s="28">
        <v>52000</v>
      </c>
      <c r="C7" s="28">
        <v>57500</v>
      </c>
      <c r="D7" s="28">
        <v>63000</v>
      </c>
      <c r="E7" s="28">
        <v>685000</v>
      </c>
      <c r="F7" s="28">
        <v>74000</v>
      </c>
      <c r="G7" s="28">
        <v>79500</v>
      </c>
      <c r="H7" s="28">
        <v>85000</v>
      </c>
      <c r="I7" s="28">
        <v>90500</v>
      </c>
      <c r="J7" s="28">
        <v>96000</v>
      </c>
      <c r="K7" s="28">
        <v>101500</v>
      </c>
    </row>
    <row r="8" spans="1:11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x14ac:dyDescent="0.3">
      <c r="A9" s="25" t="s">
        <v>86</v>
      </c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x14ac:dyDescent="0.3">
      <c r="A10" s="26"/>
      <c r="B10" s="25"/>
      <c r="C10" s="25"/>
      <c r="D10" s="26"/>
      <c r="E10" s="26"/>
      <c r="F10" s="26"/>
      <c r="G10" s="26"/>
      <c r="H10" s="26"/>
      <c r="I10" s="26"/>
      <c r="J10" s="26"/>
      <c r="K10" s="26"/>
    </row>
    <row r="11" spans="1:11" x14ac:dyDescent="0.3">
      <c r="A11" s="26" t="s">
        <v>87</v>
      </c>
      <c r="B11" s="50" t="str">
        <f>HLOOKUP(C2,A2:L7,3,FALSE)</f>
        <v>Marketing</v>
      </c>
      <c r="C11" s="26"/>
      <c r="D11" s="26"/>
      <c r="E11" s="26"/>
      <c r="F11" s="26"/>
      <c r="G11" s="26"/>
      <c r="H11" s="26"/>
      <c r="I11" s="26"/>
      <c r="J11" s="26"/>
    </row>
    <row r="12" spans="1:1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x14ac:dyDescent="0.3">
      <c r="A13" s="25" t="s">
        <v>88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1" x14ac:dyDescent="0.3">
      <c r="A14" s="26"/>
      <c r="B14" s="25"/>
      <c r="C14" s="25"/>
      <c r="D14" s="26"/>
      <c r="E14" s="26"/>
      <c r="F14" s="26"/>
      <c r="G14" s="26"/>
      <c r="H14" s="26"/>
      <c r="I14" s="26"/>
      <c r="J14" s="26"/>
    </row>
    <row r="15" spans="1:11" x14ac:dyDescent="0.3">
      <c r="A15" s="26" t="s">
        <v>87</v>
      </c>
      <c r="B15" s="50">
        <f>HLOOKUP(F2,A2:K7,4,FALSE)</f>
        <v>70000</v>
      </c>
      <c r="C15" s="26"/>
      <c r="D15" s="26"/>
      <c r="E15" s="26"/>
      <c r="F15" s="26"/>
      <c r="G15" s="26"/>
      <c r="H15" s="26"/>
      <c r="I15" s="26"/>
      <c r="J15" s="26"/>
    </row>
    <row r="16" spans="1:1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1:11" x14ac:dyDescent="0.3">
      <c r="A18" s="25" t="s">
        <v>89</v>
      </c>
      <c r="B18" s="25"/>
      <c r="C18" s="25"/>
      <c r="D18" s="26"/>
      <c r="E18" s="26"/>
      <c r="F18" s="26"/>
      <c r="G18" s="26"/>
      <c r="H18" s="26"/>
      <c r="I18" s="26"/>
      <c r="J18" s="26"/>
      <c r="K18" s="26"/>
    </row>
    <row r="19" spans="1:11" x14ac:dyDescent="0.3">
      <c r="A19" s="29" t="s">
        <v>87</v>
      </c>
      <c r="B19" s="50">
        <f>HLOOKUP(H2,A2:K7,6,FALSE)</f>
        <v>85000</v>
      </c>
      <c r="C19" s="26"/>
      <c r="D19" s="26"/>
      <c r="E19" s="26"/>
      <c r="F19" s="26"/>
      <c r="G19" s="26"/>
      <c r="H19" s="26"/>
      <c r="I19" s="26"/>
      <c r="J19" s="26"/>
    </row>
    <row r="20" spans="1:1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</row>
    <row r="21" spans="1:1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E727-0B0B-4D70-8501-CF0A07390E59}">
  <dimension ref="A1:E10"/>
  <sheetViews>
    <sheetView workbookViewId="0">
      <selection activeCell="C7" sqref="C7"/>
    </sheetView>
  </sheetViews>
  <sheetFormatPr defaultRowHeight="14.4" x14ac:dyDescent="0.3"/>
  <sheetData>
    <row r="1" spans="1:5" x14ac:dyDescent="0.3">
      <c r="A1" s="30" t="s">
        <v>90</v>
      </c>
      <c r="B1" s="9"/>
      <c r="C1" s="9"/>
      <c r="D1" s="9"/>
      <c r="E1" s="9"/>
    </row>
    <row r="2" spans="1:5" x14ac:dyDescent="0.3">
      <c r="A2" s="9" t="s">
        <v>91</v>
      </c>
      <c r="B2" s="9"/>
      <c r="C2" s="9"/>
      <c r="D2" s="9"/>
      <c r="E2" s="9"/>
    </row>
    <row r="3" spans="1:5" x14ac:dyDescent="0.3">
      <c r="A3" s="9" t="s">
        <v>92</v>
      </c>
      <c r="B3" s="9"/>
      <c r="C3" s="9"/>
      <c r="D3" s="9"/>
      <c r="E3" s="9"/>
    </row>
    <row r="4" spans="1:5" x14ac:dyDescent="0.3">
      <c r="A4" s="9" t="s">
        <v>93</v>
      </c>
      <c r="B4" s="9"/>
      <c r="C4" s="9"/>
      <c r="D4" s="9"/>
      <c r="E4" s="9"/>
    </row>
    <row r="5" spans="1:5" x14ac:dyDescent="0.3">
      <c r="A5" s="9"/>
      <c r="B5" s="9"/>
      <c r="C5" s="9"/>
      <c r="D5" s="9"/>
      <c r="E5" s="9"/>
    </row>
    <row r="6" spans="1:5" x14ac:dyDescent="0.3">
      <c r="A6" s="31" t="s">
        <v>1</v>
      </c>
      <c r="B6" s="31" t="s">
        <v>94</v>
      </c>
      <c r="C6" s="31" t="s">
        <v>95</v>
      </c>
      <c r="D6" s="9"/>
      <c r="E6" s="9"/>
    </row>
    <row r="7" spans="1:5" x14ac:dyDescent="0.3">
      <c r="A7" s="32" t="s">
        <v>96</v>
      </c>
      <c r="B7" s="32">
        <v>98</v>
      </c>
      <c r="C7" s="33" t="str">
        <f>IF(B7&gt;=60,"Pass","Fail")</f>
        <v>Pass</v>
      </c>
      <c r="D7" s="9"/>
      <c r="E7" s="9"/>
    </row>
    <row r="8" spans="1:5" x14ac:dyDescent="0.3">
      <c r="A8" s="32" t="s">
        <v>97</v>
      </c>
      <c r="B8" s="32">
        <v>55</v>
      </c>
      <c r="C8" s="33" t="str">
        <f t="shared" ref="C8:C10" si="0">IF(B8&gt;=60,"Pass","Fail")</f>
        <v>Fail</v>
      </c>
      <c r="D8" s="9"/>
      <c r="E8" s="9"/>
    </row>
    <row r="9" spans="1:5" x14ac:dyDescent="0.3">
      <c r="A9" s="32" t="s">
        <v>98</v>
      </c>
      <c r="B9" s="32">
        <v>15</v>
      </c>
      <c r="C9" s="33" t="str">
        <f t="shared" si="0"/>
        <v>Fail</v>
      </c>
      <c r="D9" s="9"/>
      <c r="E9" s="9"/>
    </row>
    <row r="10" spans="1:5" x14ac:dyDescent="0.3">
      <c r="A10" s="32" t="s">
        <v>99</v>
      </c>
      <c r="B10" s="32">
        <v>60</v>
      </c>
      <c r="C10" s="33" t="str">
        <f t="shared" si="0"/>
        <v>Pass</v>
      </c>
      <c r="D10" s="9"/>
      <c r="E1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9C3-BC89-4B5B-8F3D-60C8B07B2DD6}">
  <dimension ref="A2:E11"/>
  <sheetViews>
    <sheetView workbookViewId="0">
      <selection activeCell="D14" sqref="D14"/>
    </sheetView>
  </sheetViews>
  <sheetFormatPr defaultRowHeight="14.4" x14ac:dyDescent="0.3"/>
  <cols>
    <col min="4" max="4" width="11.5546875" bestFit="1" customWidth="1"/>
  </cols>
  <sheetData>
    <row r="2" spans="1:5" x14ac:dyDescent="0.3">
      <c r="A2" s="108" t="s">
        <v>100</v>
      </c>
    </row>
    <row r="3" spans="1:5" x14ac:dyDescent="0.3">
      <c r="A3" s="109" t="s">
        <v>101</v>
      </c>
    </row>
    <row r="4" spans="1:5" x14ac:dyDescent="0.3">
      <c r="A4" s="108" t="s">
        <v>102</v>
      </c>
    </row>
    <row r="5" spans="1:5" x14ac:dyDescent="0.3">
      <c r="A5" s="51"/>
    </row>
    <row r="6" spans="1:5" x14ac:dyDescent="0.3">
      <c r="B6" s="1" t="s">
        <v>4</v>
      </c>
      <c r="C6" s="1" t="s">
        <v>5</v>
      </c>
    </row>
    <row r="7" spans="1:5" x14ac:dyDescent="0.3">
      <c r="A7" s="3"/>
      <c r="B7" s="3" t="s">
        <v>103</v>
      </c>
      <c r="C7" s="3" t="s">
        <v>104</v>
      </c>
      <c r="D7" s="110" t="s">
        <v>105</v>
      </c>
    </row>
    <row r="8" spans="1:5" x14ac:dyDescent="0.3">
      <c r="A8" s="3" t="s">
        <v>106</v>
      </c>
      <c r="B8" s="111">
        <v>94</v>
      </c>
      <c r="C8" s="111">
        <v>94</v>
      </c>
      <c r="D8" s="112" t="str">
        <f>IF(B8=C8,"MATCH","NO MATCH")</f>
        <v>MATCH</v>
      </c>
      <c r="E8" s="1"/>
    </row>
    <row r="9" spans="1:5" x14ac:dyDescent="0.3">
      <c r="A9" s="3" t="s">
        <v>107</v>
      </c>
      <c r="B9" s="111">
        <v>109</v>
      </c>
      <c r="C9" s="111">
        <v>109</v>
      </c>
      <c r="D9" s="112" t="str">
        <f t="shared" ref="D9:D11" si="0">IF(B9=C9,"MATCH","NO MATCH")</f>
        <v>MATCH</v>
      </c>
      <c r="E9" s="1"/>
    </row>
    <row r="10" spans="1:5" x14ac:dyDescent="0.3">
      <c r="A10" s="3" t="s">
        <v>108</v>
      </c>
      <c r="B10" s="111">
        <v>85</v>
      </c>
      <c r="C10" s="111">
        <v>85.5</v>
      </c>
      <c r="D10" s="112" t="str">
        <f t="shared" si="0"/>
        <v>NO MATCH</v>
      </c>
      <c r="E10" s="1"/>
    </row>
    <row r="11" spans="1:5" x14ac:dyDescent="0.3">
      <c r="A11" s="3" t="s">
        <v>109</v>
      </c>
      <c r="B11" s="111">
        <v>12</v>
      </c>
      <c r="C11" s="111">
        <v>12</v>
      </c>
      <c r="D11" s="112" t="str">
        <f t="shared" si="0"/>
        <v>MATCH</v>
      </c>
      <c r="E1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7302-C6C4-4E28-92F3-0A5963084FC8}">
  <dimension ref="A1:D17"/>
  <sheetViews>
    <sheetView workbookViewId="0">
      <selection activeCell="D12" sqref="D12"/>
    </sheetView>
  </sheetViews>
  <sheetFormatPr defaultRowHeight="14.4" x14ac:dyDescent="0.3"/>
  <sheetData>
    <row r="1" spans="1:4" x14ac:dyDescent="0.3">
      <c r="A1" s="9" t="s">
        <v>110</v>
      </c>
      <c r="B1" s="9"/>
      <c r="C1" s="9"/>
      <c r="D1" s="9"/>
    </row>
    <row r="2" spans="1:4" x14ac:dyDescent="0.3">
      <c r="A2" s="9"/>
      <c r="B2" s="9"/>
      <c r="C2" s="9"/>
      <c r="D2" s="9"/>
    </row>
    <row r="3" spans="1:4" x14ac:dyDescent="0.3">
      <c r="A3" s="9"/>
      <c r="B3" s="9" t="s">
        <v>111</v>
      </c>
      <c r="C3" s="9"/>
      <c r="D3" s="9"/>
    </row>
    <row r="4" spans="1:4" x14ac:dyDescent="0.3">
      <c r="A4" s="32" t="s">
        <v>112</v>
      </c>
      <c r="B4" s="35">
        <v>1</v>
      </c>
      <c r="C4" s="9"/>
      <c r="D4" s="9"/>
    </row>
    <row r="5" spans="1:4" x14ac:dyDescent="0.3">
      <c r="A5" s="32" t="s">
        <v>113</v>
      </c>
      <c r="B5" s="35">
        <v>0.5</v>
      </c>
      <c r="C5" s="9"/>
      <c r="D5" s="9"/>
    </row>
    <row r="6" spans="1:4" x14ac:dyDescent="0.3">
      <c r="A6" s="9"/>
      <c r="B6" s="9"/>
      <c r="C6" s="9"/>
      <c r="D6" s="9"/>
    </row>
    <row r="7" spans="1:4" x14ac:dyDescent="0.3">
      <c r="A7" s="9" t="s">
        <v>114</v>
      </c>
      <c r="B7" s="9"/>
      <c r="C7" s="9"/>
      <c r="D7" s="9"/>
    </row>
    <row r="8" spans="1:4" x14ac:dyDescent="0.3">
      <c r="A8" s="9" t="s">
        <v>115</v>
      </c>
      <c r="B8" s="9"/>
      <c r="C8" s="9"/>
      <c r="D8" s="9"/>
    </row>
    <row r="9" spans="1:4" x14ac:dyDescent="0.3">
      <c r="A9" s="9"/>
      <c r="B9" s="9"/>
      <c r="C9" s="9"/>
      <c r="D9" s="9"/>
    </row>
    <row r="10" spans="1:4" x14ac:dyDescent="0.3">
      <c r="A10" s="31" t="s">
        <v>1</v>
      </c>
      <c r="B10" s="31" t="s">
        <v>116</v>
      </c>
      <c r="C10" s="31" t="s">
        <v>117</v>
      </c>
      <c r="D10" s="31" t="s">
        <v>118</v>
      </c>
    </row>
    <row r="11" spans="1:4" x14ac:dyDescent="0.3">
      <c r="A11" s="32" t="s">
        <v>119</v>
      </c>
      <c r="B11" s="32" t="s">
        <v>112</v>
      </c>
      <c r="C11" s="36">
        <v>46866</v>
      </c>
      <c r="D11" s="33">
        <f>IF(B11="A+",C11*100%,C11*50%)</f>
        <v>46866</v>
      </c>
    </row>
    <row r="12" spans="1:4" x14ac:dyDescent="0.3">
      <c r="A12" s="32" t="s">
        <v>120</v>
      </c>
      <c r="B12" s="32" t="s">
        <v>113</v>
      </c>
      <c r="C12" s="36">
        <v>33495</v>
      </c>
      <c r="D12" s="33">
        <f t="shared" ref="D12:D17" si="0">IF(B12="A+",C12*100%,C12*50%)</f>
        <v>16747.5</v>
      </c>
    </row>
    <row r="13" spans="1:4" x14ac:dyDescent="0.3">
      <c r="A13" s="32" t="s">
        <v>121</v>
      </c>
      <c r="B13" s="32" t="s">
        <v>113</v>
      </c>
      <c r="C13" s="36">
        <v>35087</v>
      </c>
      <c r="D13" s="33">
        <f t="shared" si="0"/>
        <v>17543.5</v>
      </c>
    </row>
    <row r="14" spans="1:4" x14ac:dyDescent="0.3">
      <c r="A14" s="32" t="s">
        <v>122</v>
      </c>
      <c r="B14" s="32" t="s">
        <v>112</v>
      </c>
      <c r="C14" s="36">
        <v>42603</v>
      </c>
      <c r="D14" s="33">
        <f t="shared" si="0"/>
        <v>42603</v>
      </c>
    </row>
    <row r="15" spans="1:4" x14ac:dyDescent="0.3">
      <c r="A15" s="32" t="s">
        <v>123</v>
      </c>
      <c r="B15" s="32" t="s">
        <v>113</v>
      </c>
      <c r="C15" s="36">
        <v>36971</v>
      </c>
      <c r="D15" s="33">
        <f t="shared" si="0"/>
        <v>18485.5</v>
      </c>
    </row>
    <row r="16" spans="1:4" x14ac:dyDescent="0.3">
      <c r="A16" s="32" t="s">
        <v>124</v>
      </c>
      <c r="B16" s="32" t="s">
        <v>112</v>
      </c>
      <c r="C16" s="36">
        <v>41286</v>
      </c>
      <c r="D16" s="33">
        <f t="shared" si="0"/>
        <v>41286</v>
      </c>
    </row>
    <row r="17" spans="1:4" x14ac:dyDescent="0.3">
      <c r="A17" s="32" t="s">
        <v>125</v>
      </c>
      <c r="B17" s="32" t="s">
        <v>113</v>
      </c>
      <c r="C17" s="36">
        <v>37732</v>
      </c>
      <c r="D17" s="33">
        <f t="shared" si="0"/>
        <v>18866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3797-6849-457B-8EC6-0332E390BAE6}">
  <dimension ref="A1:I14"/>
  <sheetViews>
    <sheetView workbookViewId="0">
      <selection activeCell="I15" sqref="I15"/>
    </sheetView>
  </sheetViews>
  <sheetFormatPr defaultRowHeight="14.4" x14ac:dyDescent="0.3"/>
  <cols>
    <col min="2" max="2" width="11.77734375" customWidth="1"/>
  </cols>
  <sheetData>
    <row r="1" spans="1:9" x14ac:dyDescent="0.3">
      <c r="A1" s="37"/>
      <c r="B1" s="9" t="s">
        <v>126</v>
      </c>
      <c r="C1" s="10"/>
      <c r="D1" s="10"/>
    </row>
    <row r="2" spans="1:9" x14ac:dyDescent="0.3">
      <c r="A2" s="38"/>
      <c r="B2" s="39" t="s">
        <v>127</v>
      </c>
      <c r="C2" s="40"/>
      <c r="D2" s="10"/>
    </row>
    <row r="3" spans="1:9" x14ac:dyDescent="0.3">
      <c r="A3" s="41">
        <v>1</v>
      </c>
      <c r="B3" s="9" t="s">
        <v>128</v>
      </c>
      <c r="C3" s="10"/>
      <c r="D3" s="10"/>
    </row>
    <row r="4" spans="1:9" x14ac:dyDescent="0.3">
      <c r="A4" s="42"/>
      <c r="B4" s="31" t="s">
        <v>1</v>
      </c>
      <c r="C4" s="31" t="s">
        <v>2</v>
      </c>
      <c r="D4" s="10"/>
    </row>
    <row r="5" spans="1:9" x14ac:dyDescent="0.3">
      <c r="A5" s="41"/>
      <c r="B5" s="32" t="s">
        <v>129</v>
      </c>
      <c r="C5" s="32">
        <v>200</v>
      </c>
      <c r="D5" s="10"/>
    </row>
    <row r="6" spans="1:9" x14ac:dyDescent="0.3">
      <c r="A6" s="41"/>
      <c r="B6" s="32" t="s">
        <v>130</v>
      </c>
      <c r="C6" s="32">
        <v>120</v>
      </c>
      <c r="D6" s="10"/>
    </row>
    <row r="7" spans="1:9" x14ac:dyDescent="0.3">
      <c r="A7" s="41"/>
      <c r="B7" s="32" t="s">
        <v>131</v>
      </c>
      <c r="C7" s="32">
        <v>156</v>
      </c>
      <c r="D7" s="10"/>
    </row>
    <row r="8" spans="1:9" x14ac:dyDescent="0.3">
      <c r="A8" s="41"/>
      <c r="B8" s="32" t="s">
        <v>132</v>
      </c>
      <c r="C8" s="32">
        <v>190</v>
      </c>
      <c r="D8" s="10"/>
    </row>
    <row r="9" spans="1:9" x14ac:dyDescent="0.3">
      <c r="A9" s="41"/>
      <c r="B9" s="32" t="s">
        <v>133</v>
      </c>
      <c r="C9" s="32">
        <v>320</v>
      </c>
      <c r="D9" s="10"/>
    </row>
    <row r="10" spans="1:9" x14ac:dyDescent="0.3">
      <c r="A10" s="41"/>
      <c r="B10" s="32" t="s">
        <v>134</v>
      </c>
      <c r="C10" s="32">
        <v>89</v>
      </c>
      <c r="D10" s="10"/>
    </row>
    <row r="11" spans="1:9" x14ac:dyDescent="0.3">
      <c r="A11" s="37"/>
      <c r="B11" s="10"/>
      <c r="C11" s="10"/>
      <c r="D11" s="10"/>
    </row>
    <row r="12" spans="1:9" x14ac:dyDescent="0.3">
      <c r="A12" s="41">
        <v>1.1000000000000001</v>
      </c>
      <c r="B12" s="124" t="s">
        <v>135</v>
      </c>
      <c r="C12" s="124"/>
      <c r="D12" s="124"/>
      <c r="E12" s="124"/>
      <c r="I12" s="14">
        <f>MAX(C5:C10)</f>
        <v>320</v>
      </c>
    </row>
    <row r="13" spans="1:9" x14ac:dyDescent="0.3">
      <c r="A13" s="41">
        <v>1.2</v>
      </c>
      <c r="B13" s="125" t="s">
        <v>136</v>
      </c>
      <c r="C13" s="125"/>
      <c r="D13" s="125"/>
      <c r="E13" s="125"/>
      <c r="I13" s="14">
        <f>MIN(C5:C10)</f>
        <v>89</v>
      </c>
    </row>
    <row r="14" spans="1:9" x14ac:dyDescent="0.3">
      <c r="A14" s="41">
        <v>1.3</v>
      </c>
      <c r="B14" s="125" t="s">
        <v>137</v>
      </c>
      <c r="C14" s="125"/>
      <c r="D14" s="125"/>
      <c r="E14" s="125"/>
      <c r="F14" s="125"/>
      <c r="G14" s="125"/>
      <c r="H14" s="125"/>
      <c r="I14" s="14">
        <f>AVERAGE(C5:C10)</f>
        <v>179.16666666666666</v>
      </c>
    </row>
  </sheetData>
  <mergeCells count="3">
    <mergeCell ref="B12:E12"/>
    <mergeCell ref="B13:E13"/>
    <mergeCell ref="B14:H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4735-C49B-4676-82C9-AA43DB7C3203}">
  <dimension ref="A1:I11"/>
  <sheetViews>
    <sheetView workbookViewId="0">
      <selection activeCell="G8" sqref="G8"/>
    </sheetView>
  </sheetViews>
  <sheetFormatPr defaultRowHeight="14.4" x14ac:dyDescent="0.3"/>
  <sheetData>
    <row r="1" spans="1:9" x14ac:dyDescent="0.3">
      <c r="A1" s="9"/>
      <c r="B1" s="9" t="s">
        <v>138</v>
      </c>
      <c r="C1" s="10"/>
      <c r="D1" s="10"/>
      <c r="E1" s="10"/>
      <c r="F1" s="10"/>
      <c r="G1" s="10"/>
      <c r="H1" s="10"/>
      <c r="I1" s="10"/>
    </row>
    <row r="2" spans="1:9" x14ac:dyDescent="0.3">
      <c r="A2" s="123"/>
      <c r="B2" s="123"/>
      <c r="C2" s="10"/>
      <c r="D2" s="10"/>
      <c r="E2" s="10"/>
      <c r="F2" s="10"/>
      <c r="G2" s="10"/>
      <c r="H2" s="10"/>
      <c r="I2" s="10"/>
    </row>
    <row r="3" spans="1:9" x14ac:dyDescent="0.3">
      <c r="A3" s="9"/>
      <c r="B3" s="9" t="s">
        <v>139</v>
      </c>
      <c r="C3" s="10"/>
      <c r="D3" s="10"/>
      <c r="E3" s="10"/>
      <c r="F3" s="10"/>
      <c r="G3" s="10"/>
      <c r="H3" s="10"/>
      <c r="I3" s="10"/>
    </row>
    <row r="4" spans="1:9" x14ac:dyDescent="0.3">
      <c r="A4" s="9"/>
      <c r="B4" s="9" t="s">
        <v>140</v>
      </c>
      <c r="C4" s="10"/>
      <c r="D4" s="10"/>
      <c r="E4" s="10"/>
      <c r="F4" s="10"/>
      <c r="G4" s="10"/>
      <c r="H4" s="10"/>
      <c r="I4" s="10"/>
    </row>
    <row r="5" spans="1:9" x14ac:dyDescent="0.3">
      <c r="A5" s="9"/>
      <c r="B5" s="9" t="s">
        <v>141</v>
      </c>
      <c r="C5" s="10"/>
      <c r="D5" s="10"/>
      <c r="E5" s="10"/>
      <c r="F5" s="10"/>
      <c r="G5" s="10"/>
      <c r="H5" s="10"/>
      <c r="I5" s="10"/>
    </row>
    <row r="6" spans="1:9" x14ac:dyDescent="0.3">
      <c r="A6" s="125"/>
      <c r="B6" s="125"/>
      <c r="C6" s="10"/>
      <c r="D6" s="10"/>
      <c r="E6" s="10"/>
      <c r="F6" s="10"/>
      <c r="G6" s="10"/>
      <c r="H6" s="10"/>
      <c r="I6" s="10"/>
    </row>
    <row r="7" spans="1:9" x14ac:dyDescent="0.3">
      <c r="A7" s="123"/>
      <c r="B7" s="123"/>
      <c r="C7" s="9" t="s">
        <v>142</v>
      </c>
      <c r="D7" s="9" t="s">
        <v>143</v>
      </c>
      <c r="E7" s="9" t="s">
        <v>144</v>
      </c>
      <c r="F7" s="9" t="s">
        <v>145</v>
      </c>
      <c r="G7" s="10"/>
      <c r="H7" s="10"/>
      <c r="I7" s="10"/>
    </row>
    <row r="8" spans="1:9" x14ac:dyDescent="0.3">
      <c r="A8" s="9"/>
      <c r="B8" s="9" t="s">
        <v>146</v>
      </c>
      <c r="C8" s="9">
        <v>95</v>
      </c>
      <c r="D8" s="9">
        <v>56</v>
      </c>
      <c r="E8" s="9">
        <v>14</v>
      </c>
      <c r="F8" s="9">
        <v>66</v>
      </c>
      <c r="G8" s="14" t="str">
        <f>IF(MIN(C8:F8)&lt;50,"Fail","Pass")</f>
        <v>Fail</v>
      </c>
    </row>
    <row r="9" spans="1:9" x14ac:dyDescent="0.3">
      <c r="A9" s="9"/>
      <c r="B9" s="9" t="s">
        <v>147</v>
      </c>
      <c r="C9" s="9">
        <v>54</v>
      </c>
      <c r="D9" s="9">
        <v>89</v>
      </c>
      <c r="E9" s="9">
        <v>53</v>
      </c>
      <c r="F9" s="9">
        <v>66</v>
      </c>
      <c r="G9" s="14" t="str">
        <f t="shared" ref="G9:G11" si="0">IF(MIN(C9:F9)&lt;50,"Fail","Pass")</f>
        <v>Pass</v>
      </c>
    </row>
    <row r="10" spans="1:9" x14ac:dyDescent="0.3">
      <c r="A10" s="9"/>
      <c r="B10" s="9" t="s">
        <v>148</v>
      </c>
      <c r="C10" s="9">
        <v>100</v>
      </c>
      <c r="D10" s="9">
        <v>69</v>
      </c>
      <c r="E10" s="9">
        <v>78</v>
      </c>
      <c r="F10" s="9">
        <v>53</v>
      </c>
      <c r="G10" s="14" t="str">
        <f t="shared" si="0"/>
        <v>Pass</v>
      </c>
    </row>
    <row r="11" spans="1:9" x14ac:dyDescent="0.3">
      <c r="A11" s="9"/>
      <c r="B11" s="9" t="s">
        <v>99</v>
      </c>
      <c r="C11" s="9">
        <v>49</v>
      </c>
      <c r="D11" s="9">
        <v>70</v>
      </c>
      <c r="E11" s="9">
        <v>87</v>
      </c>
      <c r="F11" s="9">
        <v>100</v>
      </c>
      <c r="G11" s="14" t="str">
        <f t="shared" si="0"/>
        <v>Fail</v>
      </c>
    </row>
  </sheetData>
  <mergeCells count="3">
    <mergeCell ref="A2:B2"/>
    <mergeCell ref="A6:B6"/>
    <mergeCell ref="A7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969D-4B93-4684-8317-426C4DEA70DB}">
  <dimension ref="A1:E13"/>
  <sheetViews>
    <sheetView workbookViewId="0">
      <selection activeCell="C12" sqref="C12"/>
    </sheetView>
  </sheetViews>
  <sheetFormatPr defaultRowHeight="14.4" x14ac:dyDescent="0.3"/>
  <sheetData>
    <row r="1" spans="1:5" x14ac:dyDescent="0.3">
      <c r="A1" s="9"/>
      <c r="B1" s="9" t="s">
        <v>149</v>
      </c>
      <c r="C1" s="10"/>
      <c r="D1" s="10"/>
      <c r="E1" s="10"/>
    </row>
    <row r="2" spans="1:5" x14ac:dyDescent="0.3">
      <c r="A2" s="9"/>
      <c r="B2" s="30" t="s">
        <v>150</v>
      </c>
      <c r="C2" s="10"/>
      <c r="D2" s="10"/>
      <c r="E2" s="10"/>
    </row>
    <row r="3" spans="1:5" x14ac:dyDescent="0.3">
      <c r="A3" s="123"/>
      <c r="B3" s="123"/>
      <c r="C3" s="10"/>
      <c r="D3" s="10"/>
      <c r="E3" s="10"/>
    </row>
    <row r="4" spans="1:5" x14ac:dyDescent="0.3">
      <c r="A4" s="123"/>
      <c r="B4" s="123"/>
      <c r="C4" s="9" t="s">
        <v>142</v>
      </c>
      <c r="D4" s="10"/>
      <c r="E4" s="10"/>
    </row>
    <row r="5" spans="1:5" x14ac:dyDescent="0.3">
      <c r="A5" s="9"/>
      <c r="B5" s="9" t="s">
        <v>151</v>
      </c>
      <c r="C5" s="9">
        <v>95</v>
      </c>
      <c r="D5" s="10"/>
      <c r="E5" s="10"/>
    </row>
    <row r="6" spans="1:5" x14ac:dyDescent="0.3">
      <c r="A6" s="9"/>
      <c r="B6" s="9" t="s">
        <v>147</v>
      </c>
      <c r="C6" s="9">
        <v>54</v>
      </c>
      <c r="D6" s="10"/>
    </row>
    <row r="7" spans="1:5" x14ac:dyDescent="0.3">
      <c r="A7" s="9"/>
      <c r="B7" s="9" t="s">
        <v>148</v>
      </c>
      <c r="C7" s="9">
        <v>100</v>
      </c>
      <c r="D7" s="10"/>
    </row>
    <row r="8" spans="1:5" x14ac:dyDescent="0.3">
      <c r="A8" s="9"/>
      <c r="B8" s="9" t="s">
        <v>99</v>
      </c>
      <c r="C8" s="9">
        <v>49</v>
      </c>
      <c r="D8" s="10"/>
    </row>
    <row r="9" spans="1:5" x14ac:dyDescent="0.3">
      <c r="A9" s="9"/>
      <c r="B9" s="9" t="s">
        <v>152</v>
      </c>
      <c r="C9" s="9">
        <v>67</v>
      </c>
      <c r="D9" s="10"/>
    </row>
    <row r="10" spans="1:5" x14ac:dyDescent="0.3">
      <c r="A10" s="9"/>
      <c r="B10" s="9" t="s">
        <v>153</v>
      </c>
      <c r="C10" s="9">
        <v>45</v>
      </c>
      <c r="D10" s="10"/>
    </row>
    <row r="11" spans="1:5" x14ac:dyDescent="0.3">
      <c r="A11" s="9"/>
      <c r="B11" s="9" t="s">
        <v>154</v>
      </c>
      <c r="C11" s="9">
        <v>77</v>
      </c>
      <c r="D11" s="10"/>
    </row>
    <row r="12" spans="1:5" x14ac:dyDescent="0.3">
      <c r="A12" s="123"/>
      <c r="B12" s="123"/>
      <c r="C12" s="13" t="str">
        <f>IF(MAX(C5:C11)&gt;=99,"easy","not")</f>
        <v>easy</v>
      </c>
      <c r="D12" s="10"/>
      <c r="E12" s="9"/>
    </row>
    <row r="13" spans="1:5" x14ac:dyDescent="0.3">
      <c r="A13" s="123"/>
      <c r="B13" s="123"/>
      <c r="C13" s="10"/>
      <c r="D13" s="10"/>
      <c r="E13" s="10"/>
    </row>
  </sheetData>
  <mergeCells count="4">
    <mergeCell ref="A3:B3"/>
    <mergeCell ref="A4:B4"/>
    <mergeCell ref="A12:B12"/>
    <mergeCell ref="A13:B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EDBA-AD7C-4BCB-9949-5CD1B9DBC3A4}">
  <dimension ref="A1:Y25"/>
  <sheetViews>
    <sheetView workbookViewId="0">
      <selection activeCell="D26" sqref="D26"/>
    </sheetView>
  </sheetViews>
  <sheetFormatPr defaultRowHeight="14.4" x14ac:dyDescent="0.3"/>
  <cols>
    <col min="1" max="1" width="39.44140625" customWidth="1"/>
    <col min="2" max="2" width="28.88671875" bestFit="1" customWidth="1"/>
  </cols>
  <sheetData>
    <row r="1" spans="1:25" x14ac:dyDescent="0.3">
      <c r="A1" s="11" t="s">
        <v>155</v>
      </c>
      <c r="B1" s="9"/>
      <c r="C1" s="9"/>
      <c r="D1" s="9"/>
      <c r="E1" s="9"/>
      <c r="F1" s="9"/>
      <c r="G1" s="9"/>
      <c r="H1" s="43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3">
      <c r="A2" s="9" t="s">
        <v>156</v>
      </c>
      <c r="B2" s="9"/>
      <c r="C2" s="9"/>
      <c r="D2" s="9"/>
      <c r="E2" s="9"/>
      <c r="F2" s="9"/>
      <c r="G2" s="9"/>
      <c r="H2" s="3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3">
      <c r="A3" s="9" t="s">
        <v>157</v>
      </c>
      <c r="B3" s="9" t="s">
        <v>158</v>
      </c>
      <c r="C3" s="9"/>
      <c r="D3" s="9"/>
      <c r="E3" s="9"/>
      <c r="F3" s="9"/>
      <c r="G3" s="9"/>
      <c r="H3" s="3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3">
      <c r="A4" s="9" t="s">
        <v>159</v>
      </c>
      <c r="B4" s="9" t="s">
        <v>160</v>
      </c>
      <c r="C4" s="9"/>
      <c r="D4" s="9"/>
      <c r="E4" s="9"/>
      <c r="F4" s="9"/>
      <c r="G4" s="9"/>
      <c r="H4" s="3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3">
      <c r="A5" s="9" t="s">
        <v>161</v>
      </c>
      <c r="B5" s="9" t="s">
        <v>162</v>
      </c>
      <c r="C5" s="9"/>
      <c r="D5" s="9"/>
      <c r="E5" s="9"/>
      <c r="F5" s="9"/>
      <c r="G5" s="9"/>
      <c r="H5" s="3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3">
      <c r="A6" s="9" t="s">
        <v>163</v>
      </c>
      <c r="B6" s="9" t="s">
        <v>164</v>
      </c>
      <c r="C6" s="9"/>
      <c r="D6" s="9"/>
      <c r="E6" s="9"/>
      <c r="F6" s="9"/>
      <c r="G6" s="9"/>
      <c r="H6" s="4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3">
      <c r="A7" s="9" t="s">
        <v>165</v>
      </c>
      <c r="B7" s="9" t="s">
        <v>166</v>
      </c>
      <c r="C7" s="9"/>
      <c r="D7" s="9"/>
      <c r="E7" s="9"/>
      <c r="F7" s="9"/>
      <c r="G7" s="9"/>
      <c r="H7" s="30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3">
      <c r="A8" s="9" t="s">
        <v>167</v>
      </c>
      <c r="B8" s="9" t="s">
        <v>168</v>
      </c>
      <c r="C8" s="9"/>
      <c r="D8" s="9"/>
      <c r="E8" s="9"/>
      <c r="F8" s="9"/>
      <c r="G8" s="9"/>
      <c r="H8" s="3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3">
      <c r="A9" s="9"/>
      <c r="B9" s="9"/>
      <c r="C9" s="9"/>
      <c r="D9" s="9"/>
      <c r="E9" s="9"/>
      <c r="F9" s="9"/>
      <c r="G9" s="9"/>
      <c r="H9" s="3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3">
      <c r="A10" s="34" t="s">
        <v>169</v>
      </c>
      <c r="B10" s="9"/>
      <c r="C10" s="9"/>
      <c r="D10" s="9"/>
      <c r="E10" s="9"/>
      <c r="F10" s="9"/>
      <c r="G10" s="9"/>
      <c r="H10" s="3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3">
      <c r="A11" s="9">
        <v>2</v>
      </c>
      <c r="B11" s="9" t="s">
        <v>170</v>
      </c>
      <c r="C11" s="9">
        <v>3</v>
      </c>
      <c r="D11" s="49">
        <f>2+3</f>
        <v>5</v>
      </c>
      <c r="E11" s="9"/>
      <c r="F11" s="44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5" x14ac:dyDescent="0.3">
      <c r="A12" s="9">
        <v>3</v>
      </c>
      <c r="B12" s="9" t="s">
        <v>171</v>
      </c>
      <c r="C12" s="9">
        <v>1</v>
      </c>
      <c r="D12" s="48">
        <f>3-1</f>
        <v>2</v>
      </c>
      <c r="E12" s="9"/>
      <c r="F12" s="3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5" x14ac:dyDescent="0.3">
      <c r="A13" s="9">
        <v>5</v>
      </c>
      <c r="B13" s="9" t="s">
        <v>172</v>
      </c>
      <c r="C13" s="9">
        <v>10</v>
      </c>
      <c r="D13" s="48">
        <f>5*10</f>
        <v>50</v>
      </c>
      <c r="E13" s="9"/>
      <c r="F13" s="3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5" x14ac:dyDescent="0.3">
      <c r="A14" s="9">
        <v>10</v>
      </c>
      <c r="B14" s="9" t="s">
        <v>173</v>
      </c>
      <c r="C14" s="9">
        <v>2</v>
      </c>
      <c r="D14" s="48">
        <f>10/2</f>
        <v>5</v>
      </c>
      <c r="E14" s="9"/>
      <c r="F14" s="3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5" x14ac:dyDescent="0.3">
      <c r="A15" s="9"/>
      <c r="B15" s="9"/>
      <c r="C15" s="9"/>
      <c r="D15" s="9"/>
      <c r="E15" s="9"/>
      <c r="F15" s="9"/>
      <c r="G15" s="9"/>
      <c r="H15" s="30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3">
      <c r="A16" s="9"/>
      <c r="B16" s="9"/>
      <c r="C16" s="9"/>
      <c r="D16" s="9"/>
      <c r="E16" s="9"/>
      <c r="F16" s="9"/>
      <c r="G16" s="9"/>
      <c r="H16" s="44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3">
      <c r="A17" s="34" t="s">
        <v>174</v>
      </c>
      <c r="B17" s="9"/>
      <c r="C17" s="9"/>
      <c r="D17" s="9" t="s">
        <v>194</v>
      </c>
      <c r="E17" s="9"/>
      <c r="F17" s="9"/>
      <c r="G17" s="9"/>
      <c r="H17" s="44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3">
      <c r="A18" s="11">
        <v>10</v>
      </c>
      <c r="B18" s="9" t="s">
        <v>175</v>
      </c>
      <c r="C18" s="9">
        <v>100</v>
      </c>
      <c r="D18" s="13">
        <f>10/100</f>
        <v>0.1</v>
      </c>
      <c r="E18" s="9"/>
      <c r="F18" s="9"/>
      <c r="G18" s="9"/>
      <c r="H18" s="30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3">
      <c r="A19" s="11">
        <v>3</v>
      </c>
      <c r="B19" s="9" t="s">
        <v>175</v>
      </c>
      <c r="C19" s="9">
        <v>6</v>
      </c>
      <c r="D19" s="13">
        <f>3/6</f>
        <v>0.5</v>
      </c>
      <c r="E19" s="9"/>
      <c r="F19" s="9"/>
      <c r="G19" s="9"/>
      <c r="H19" s="30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3">
      <c r="A20" s="11">
        <v>1.5</v>
      </c>
      <c r="B20" s="9" t="s">
        <v>175</v>
      </c>
      <c r="C20" s="9">
        <v>1</v>
      </c>
      <c r="D20" s="13">
        <f>1.5/1</f>
        <v>1.5</v>
      </c>
      <c r="E20" s="9"/>
      <c r="F20" s="9"/>
      <c r="G20" s="9"/>
      <c r="H20" s="30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3">
      <c r="A21" s="9"/>
      <c r="B21" s="9"/>
      <c r="C21" s="9"/>
      <c r="D21" s="9"/>
      <c r="E21" s="9"/>
      <c r="F21" s="9"/>
      <c r="G21" s="9"/>
      <c r="H21" s="30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3">
      <c r="A22" s="34" t="s">
        <v>176</v>
      </c>
      <c r="B22" s="9"/>
      <c r="C22" s="9"/>
      <c r="D22" s="9"/>
      <c r="E22" s="9"/>
      <c r="F22" s="9"/>
      <c r="G22" s="9"/>
      <c r="H22" s="4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3">
      <c r="A23" s="11" t="s">
        <v>177</v>
      </c>
      <c r="B23" s="11" t="s">
        <v>178</v>
      </c>
      <c r="C23" s="11" t="s">
        <v>179</v>
      </c>
      <c r="D23" s="11" t="s">
        <v>180</v>
      </c>
      <c r="E23" s="11"/>
      <c r="F23" s="9"/>
      <c r="G23" s="9"/>
      <c r="H23" s="3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3">
      <c r="A24" s="9" t="s">
        <v>181</v>
      </c>
      <c r="B24" s="9">
        <v>100</v>
      </c>
      <c r="C24" s="9">
        <v>150</v>
      </c>
      <c r="D24" s="120">
        <f>(150-100)/100</f>
        <v>0.5</v>
      </c>
      <c r="E24" s="9"/>
      <c r="F24" s="9"/>
      <c r="G24" s="9"/>
      <c r="H24" s="30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3">
      <c r="A25" s="9" t="s">
        <v>182</v>
      </c>
      <c r="B25" s="9">
        <v>100</v>
      </c>
      <c r="C25" s="9">
        <v>50</v>
      </c>
      <c r="D25" s="120">
        <f>(50-100)/100</f>
        <v>-0.5</v>
      </c>
      <c r="E25" s="9"/>
      <c r="F25" s="9"/>
      <c r="G25" s="9"/>
      <c r="H25" s="3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8C2C-4390-49F8-BEB3-E66A02DF3582}">
  <dimension ref="A1:C12"/>
  <sheetViews>
    <sheetView workbookViewId="0">
      <selection activeCell="C12" sqref="C12"/>
    </sheetView>
  </sheetViews>
  <sheetFormatPr defaultRowHeight="14.4" x14ac:dyDescent="0.3"/>
  <sheetData>
    <row r="1" spans="1:3" x14ac:dyDescent="0.3">
      <c r="A1" s="10" t="s">
        <v>183</v>
      </c>
      <c r="B1" s="10"/>
      <c r="C1" s="10"/>
    </row>
    <row r="2" spans="1:3" x14ac:dyDescent="0.3">
      <c r="A2" s="10" t="s">
        <v>184</v>
      </c>
      <c r="B2" s="10"/>
      <c r="C2" s="10"/>
    </row>
    <row r="3" spans="1:3" x14ac:dyDescent="0.3">
      <c r="A3" s="10" t="s">
        <v>185</v>
      </c>
      <c r="B3" s="10"/>
      <c r="C3" s="10"/>
    </row>
    <row r="4" spans="1:3" x14ac:dyDescent="0.3">
      <c r="A4" s="10" t="s">
        <v>186</v>
      </c>
      <c r="B4" s="10"/>
      <c r="C4" s="10"/>
    </row>
    <row r="5" spans="1:3" x14ac:dyDescent="0.3">
      <c r="A5" s="10"/>
      <c r="B5" s="10"/>
      <c r="C5" s="10"/>
    </row>
    <row r="6" spans="1:3" x14ac:dyDescent="0.3">
      <c r="A6" s="10" t="s">
        <v>187</v>
      </c>
      <c r="B6" s="10"/>
      <c r="C6" s="10"/>
    </row>
    <row r="7" spans="1:3" x14ac:dyDescent="0.3">
      <c r="A7" s="10"/>
      <c r="B7" s="10"/>
      <c r="C7" s="10"/>
    </row>
    <row r="8" spans="1:3" x14ac:dyDescent="0.3">
      <c r="A8" s="45" t="s">
        <v>188</v>
      </c>
      <c r="B8" s="45" t="s">
        <v>94</v>
      </c>
      <c r="C8" s="45" t="s">
        <v>189</v>
      </c>
    </row>
    <row r="9" spans="1:3" x14ac:dyDescent="0.3">
      <c r="A9" s="46" t="s">
        <v>190</v>
      </c>
      <c r="B9" s="46">
        <v>78</v>
      </c>
      <c r="C9" s="47" t="str">
        <f>IF(B9&gt;=80,"Excellent",IF(B9&gt;=60,"Good",IF(B9&gt;=0,"Failed")))</f>
        <v>Good</v>
      </c>
    </row>
    <row r="10" spans="1:3" x14ac:dyDescent="0.3">
      <c r="A10" s="46" t="s">
        <v>191</v>
      </c>
      <c r="B10" s="46">
        <v>85</v>
      </c>
      <c r="C10" s="47" t="str">
        <f t="shared" ref="C10:C12" si="0">IF(B10&gt;=80,"Excellent",IF(B10&gt;=60,"Good",IF(B10&gt;=0,"Failed")))</f>
        <v>Excellent</v>
      </c>
    </row>
    <row r="11" spans="1:3" x14ac:dyDescent="0.3">
      <c r="A11" s="46" t="s">
        <v>192</v>
      </c>
      <c r="B11" s="46">
        <v>44</v>
      </c>
      <c r="C11" s="47" t="str">
        <f t="shared" si="0"/>
        <v>Failed</v>
      </c>
    </row>
    <row r="12" spans="1:3" x14ac:dyDescent="0.3">
      <c r="A12" s="46" t="s">
        <v>193</v>
      </c>
      <c r="B12" s="46">
        <v>61</v>
      </c>
      <c r="C12" s="47" t="str">
        <f t="shared" si="0"/>
        <v>Good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A8CF-4070-4E47-950D-E91D528DF2B0}">
  <dimension ref="A1:D18"/>
  <sheetViews>
    <sheetView workbookViewId="0">
      <selection activeCell="F16" sqref="F16"/>
    </sheetView>
  </sheetViews>
  <sheetFormatPr defaultRowHeight="14.4" x14ac:dyDescent="0.3"/>
  <sheetData>
    <row r="1" spans="1:2" x14ac:dyDescent="0.3">
      <c r="A1" s="1" t="s">
        <v>211</v>
      </c>
    </row>
    <row r="2" spans="1:2" x14ac:dyDescent="0.3">
      <c r="A2" s="1" t="s">
        <v>212</v>
      </c>
    </row>
    <row r="4" spans="1:2" x14ac:dyDescent="0.3">
      <c r="A4" s="51"/>
    </row>
    <row r="5" spans="1:2" x14ac:dyDescent="0.3">
      <c r="A5" s="51" t="s">
        <v>23</v>
      </c>
      <c r="B5" s="51" t="s">
        <v>213</v>
      </c>
    </row>
    <row r="6" spans="1:2" x14ac:dyDescent="0.3">
      <c r="A6" s="1" t="s">
        <v>214</v>
      </c>
      <c r="B6" s="52">
        <v>759</v>
      </c>
    </row>
    <row r="7" spans="1:2" x14ac:dyDescent="0.3">
      <c r="A7" s="1" t="s">
        <v>215</v>
      </c>
      <c r="B7" s="52">
        <v>200</v>
      </c>
    </row>
    <row r="8" spans="1:2" x14ac:dyDescent="0.3">
      <c r="A8" s="1" t="s">
        <v>216</v>
      </c>
      <c r="B8" s="52">
        <v>42</v>
      </c>
    </row>
    <row r="9" spans="1:2" x14ac:dyDescent="0.3">
      <c r="A9" s="1" t="s">
        <v>217</v>
      </c>
      <c r="B9" s="52">
        <v>423</v>
      </c>
    </row>
    <row r="10" spans="1:2" x14ac:dyDescent="0.3">
      <c r="A10" s="1" t="s">
        <v>218</v>
      </c>
      <c r="B10" s="52">
        <v>200</v>
      </c>
    </row>
    <row r="11" spans="1:2" x14ac:dyDescent="0.3">
      <c r="A11" s="1" t="s">
        <v>219</v>
      </c>
      <c r="B11" s="52">
        <v>50</v>
      </c>
    </row>
    <row r="12" spans="1:2" x14ac:dyDescent="0.3">
      <c r="A12" s="1" t="s">
        <v>220</v>
      </c>
      <c r="B12" s="52">
        <v>700</v>
      </c>
    </row>
    <row r="13" spans="1:2" x14ac:dyDescent="0.3">
      <c r="A13" s="1" t="s">
        <v>221</v>
      </c>
      <c r="B13" s="52">
        <v>450</v>
      </c>
    </row>
    <row r="14" spans="1:2" x14ac:dyDescent="0.3">
      <c r="A14" s="1" t="s">
        <v>222</v>
      </c>
      <c r="B14" s="52">
        <v>605</v>
      </c>
    </row>
    <row r="15" spans="1:2" x14ac:dyDescent="0.3">
      <c r="A15" s="1" t="s">
        <v>223</v>
      </c>
      <c r="B15" s="52">
        <v>240</v>
      </c>
    </row>
    <row r="16" spans="1:2" x14ac:dyDescent="0.3">
      <c r="A16" s="1" t="s">
        <v>224</v>
      </c>
      <c r="B16" s="52">
        <v>685</v>
      </c>
    </row>
    <row r="17" spans="1:4" ht="15" thickBot="1" x14ac:dyDescent="0.35">
      <c r="A17" s="1" t="s">
        <v>225</v>
      </c>
      <c r="B17" s="52">
        <v>295</v>
      </c>
    </row>
    <row r="18" spans="1:4" ht="15" thickBot="1" x14ac:dyDescent="0.35">
      <c r="A18" s="1" t="s">
        <v>226</v>
      </c>
      <c r="B18" s="53">
        <f>SUM(B6:B17)</f>
        <v>4649</v>
      </c>
      <c r="C18" s="2" t="s">
        <v>227</v>
      </c>
      <c r="D18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51CC-DC06-4853-9796-A9A3D89C4378}">
  <dimension ref="A1:B95"/>
  <sheetViews>
    <sheetView topLeftCell="A67" workbookViewId="0">
      <selection activeCell="B95" sqref="B95"/>
    </sheetView>
  </sheetViews>
  <sheetFormatPr defaultRowHeight="14.4" x14ac:dyDescent="0.3"/>
  <cols>
    <col min="1" max="1" width="22.44140625" customWidth="1"/>
    <col min="2" max="2" width="11.109375" bestFit="1" customWidth="1"/>
  </cols>
  <sheetData>
    <row r="1" spans="1:2" x14ac:dyDescent="0.3">
      <c r="A1" s="1" t="s">
        <v>228</v>
      </c>
    </row>
    <row r="2" spans="1:2" x14ac:dyDescent="0.3">
      <c r="A2" s="1" t="s">
        <v>229</v>
      </c>
    </row>
    <row r="4" spans="1:2" x14ac:dyDescent="0.3">
      <c r="A4" s="54" t="s">
        <v>197</v>
      </c>
      <c r="B4" s="55" t="s">
        <v>230</v>
      </c>
    </row>
    <row r="5" spans="1:2" x14ac:dyDescent="0.3">
      <c r="A5" s="56">
        <v>42005</v>
      </c>
      <c r="B5" s="57">
        <v>432.17</v>
      </c>
    </row>
    <row r="6" spans="1:2" x14ac:dyDescent="0.3">
      <c r="A6" s="56">
        <v>42351</v>
      </c>
      <c r="B6" s="57">
        <v>528.5</v>
      </c>
    </row>
    <row r="7" spans="1:2" x14ac:dyDescent="0.3">
      <c r="A7" s="56">
        <v>42007</v>
      </c>
      <c r="B7" s="57">
        <v>810.71</v>
      </c>
    </row>
    <row r="8" spans="1:2" x14ac:dyDescent="0.3">
      <c r="A8" s="56">
        <v>42008</v>
      </c>
      <c r="B8" s="57">
        <v>418.54</v>
      </c>
    </row>
    <row r="9" spans="1:2" x14ac:dyDescent="0.3">
      <c r="A9" s="56">
        <v>42009</v>
      </c>
      <c r="B9" s="57">
        <v>722.22</v>
      </c>
    </row>
    <row r="10" spans="1:2" x14ac:dyDescent="0.3">
      <c r="A10" s="56">
        <v>42010</v>
      </c>
      <c r="B10" s="57">
        <v>460.28</v>
      </c>
    </row>
    <row r="11" spans="1:2" x14ac:dyDescent="0.3">
      <c r="A11" s="56">
        <v>42349</v>
      </c>
      <c r="B11" s="57">
        <v>483.58</v>
      </c>
    </row>
    <row r="12" spans="1:2" x14ac:dyDescent="0.3">
      <c r="A12" s="56">
        <v>42012</v>
      </c>
      <c r="B12" s="57">
        <v>114.53</v>
      </c>
    </row>
    <row r="13" spans="1:2" x14ac:dyDescent="0.3">
      <c r="A13" s="56">
        <v>42013</v>
      </c>
      <c r="B13" s="57">
        <v>609.12</v>
      </c>
    </row>
    <row r="14" spans="1:2" x14ac:dyDescent="0.3">
      <c r="A14" s="56">
        <v>42014</v>
      </c>
      <c r="B14" s="57">
        <v>1197.9000000000001</v>
      </c>
    </row>
    <row r="15" spans="1:2" x14ac:dyDescent="0.3">
      <c r="A15" s="56">
        <v>42015</v>
      </c>
      <c r="B15" s="57">
        <v>228.89</v>
      </c>
    </row>
    <row r="16" spans="1:2" x14ac:dyDescent="0.3">
      <c r="A16" s="56">
        <v>42016</v>
      </c>
      <c r="B16" s="57">
        <v>1380.07</v>
      </c>
    </row>
    <row r="17" spans="1:2" x14ac:dyDescent="0.3">
      <c r="A17" s="56">
        <v>42017</v>
      </c>
      <c r="B17" s="57">
        <v>1026.96</v>
      </c>
    </row>
    <row r="18" spans="1:2" x14ac:dyDescent="0.3">
      <c r="A18" s="56">
        <v>42018</v>
      </c>
      <c r="B18" s="57">
        <v>760.24</v>
      </c>
    </row>
    <row r="19" spans="1:2" x14ac:dyDescent="0.3">
      <c r="A19" s="56">
        <v>42019</v>
      </c>
      <c r="B19" s="57">
        <v>414.11</v>
      </c>
    </row>
    <row r="20" spans="1:2" x14ac:dyDescent="0.3">
      <c r="A20" s="56">
        <v>42020</v>
      </c>
      <c r="B20" s="57">
        <v>1728.81</v>
      </c>
    </row>
    <row r="21" spans="1:2" x14ac:dyDescent="0.3">
      <c r="A21" s="56">
        <v>42021</v>
      </c>
      <c r="B21" s="57">
        <v>276.06</v>
      </c>
    </row>
    <row r="22" spans="1:2" x14ac:dyDescent="0.3">
      <c r="A22" s="56">
        <v>42022</v>
      </c>
      <c r="B22" s="57">
        <v>462.22</v>
      </c>
    </row>
    <row r="23" spans="1:2" x14ac:dyDescent="0.3">
      <c r="A23" s="56">
        <v>42023</v>
      </c>
      <c r="B23" s="57">
        <v>1281.0999999999999</v>
      </c>
    </row>
    <row r="24" spans="1:2" x14ac:dyDescent="0.3">
      <c r="A24" s="56">
        <v>42024</v>
      </c>
      <c r="B24" s="57">
        <v>1113.7</v>
      </c>
    </row>
    <row r="25" spans="1:2" x14ac:dyDescent="0.3">
      <c r="A25" s="56">
        <v>42025</v>
      </c>
      <c r="B25" s="57">
        <v>594.09</v>
      </c>
    </row>
    <row r="26" spans="1:2" x14ac:dyDescent="0.3">
      <c r="A26" s="56">
        <v>42026</v>
      </c>
      <c r="B26" s="57">
        <v>432.67</v>
      </c>
    </row>
    <row r="27" spans="1:2" x14ac:dyDescent="0.3">
      <c r="A27" s="56">
        <v>42027</v>
      </c>
      <c r="B27" s="57">
        <v>874.45</v>
      </c>
    </row>
    <row r="28" spans="1:2" x14ac:dyDescent="0.3">
      <c r="A28" s="56">
        <v>42028</v>
      </c>
      <c r="B28" s="57">
        <v>880.38</v>
      </c>
    </row>
    <row r="29" spans="1:2" x14ac:dyDescent="0.3">
      <c r="A29" s="56">
        <v>42029</v>
      </c>
      <c r="B29" s="57">
        <v>798.53</v>
      </c>
    </row>
    <row r="30" spans="1:2" x14ac:dyDescent="0.3">
      <c r="A30" s="56">
        <v>42318</v>
      </c>
      <c r="B30" s="57">
        <v>572.41999999999996</v>
      </c>
    </row>
    <row r="31" spans="1:2" x14ac:dyDescent="0.3">
      <c r="A31" s="56">
        <v>42031</v>
      </c>
      <c r="B31" s="57">
        <v>330.61</v>
      </c>
    </row>
    <row r="32" spans="1:2" x14ac:dyDescent="0.3">
      <c r="A32" s="56">
        <v>42032</v>
      </c>
      <c r="B32" s="57">
        <v>567.17999999999995</v>
      </c>
    </row>
    <row r="33" spans="1:2" x14ac:dyDescent="0.3">
      <c r="A33" s="56">
        <v>42033</v>
      </c>
      <c r="B33" s="57">
        <v>1449.21</v>
      </c>
    </row>
    <row r="34" spans="1:2" x14ac:dyDescent="0.3">
      <c r="A34" s="56">
        <v>42034</v>
      </c>
      <c r="B34" s="57">
        <v>459.29</v>
      </c>
    </row>
    <row r="35" spans="1:2" x14ac:dyDescent="0.3">
      <c r="A35" s="56">
        <v>42035</v>
      </c>
      <c r="B35" s="57">
        <v>357.55</v>
      </c>
    </row>
    <row r="36" spans="1:2" x14ac:dyDescent="0.3">
      <c r="A36" s="56">
        <v>42036</v>
      </c>
      <c r="B36" s="57">
        <v>154.34</v>
      </c>
    </row>
    <row r="37" spans="1:2" x14ac:dyDescent="0.3">
      <c r="A37" s="56">
        <v>42037</v>
      </c>
      <c r="B37" s="57">
        <v>152.76</v>
      </c>
    </row>
    <row r="38" spans="1:2" x14ac:dyDescent="0.3">
      <c r="A38" s="56">
        <v>42038</v>
      </c>
      <c r="B38" s="57">
        <v>570.22</v>
      </c>
    </row>
    <row r="39" spans="1:2" x14ac:dyDescent="0.3">
      <c r="A39" s="56">
        <v>42039</v>
      </c>
      <c r="B39" s="57">
        <v>987.62</v>
      </c>
    </row>
    <row r="40" spans="1:2" x14ac:dyDescent="0.3">
      <c r="A40" s="56">
        <v>42040</v>
      </c>
      <c r="B40" s="57">
        <v>1755.71</v>
      </c>
    </row>
    <row r="41" spans="1:2" x14ac:dyDescent="0.3">
      <c r="A41" s="56">
        <v>42041</v>
      </c>
      <c r="B41" s="57">
        <v>378.27</v>
      </c>
    </row>
    <row r="42" spans="1:2" x14ac:dyDescent="0.3">
      <c r="A42" s="56">
        <v>42042</v>
      </c>
      <c r="B42" s="57">
        <v>1323.81</v>
      </c>
    </row>
    <row r="43" spans="1:2" x14ac:dyDescent="0.3">
      <c r="A43" s="56">
        <v>42043</v>
      </c>
      <c r="B43" s="57">
        <v>399.02</v>
      </c>
    </row>
    <row r="44" spans="1:2" x14ac:dyDescent="0.3">
      <c r="A44" s="56">
        <v>42044</v>
      </c>
      <c r="B44" s="57">
        <v>154.94999999999999</v>
      </c>
    </row>
    <row r="45" spans="1:2" x14ac:dyDescent="0.3">
      <c r="A45" s="56">
        <v>42045</v>
      </c>
      <c r="B45" s="57">
        <v>1254.57</v>
      </c>
    </row>
    <row r="46" spans="1:2" x14ac:dyDescent="0.3">
      <c r="A46" s="56">
        <v>42046</v>
      </c>
      <c r="B46" s="57">
        <v>627.32000000000005</v>
      </c>
    </row>
    <row r="47" spans="1:2" x14ac:dyDescent="0.3">
      <c r="A47" s="56">
        <v>42230</v>
      </c>
      <c r="B47" s="57">
        <v>880.6</v>
      </c>
    </row>
    <row r="48" spans="1:2" x14ac:dyDescent="0.3">
      <c r="A48" s="56">
        <v>42048</v>
      </c>
      <c r="B48" s="57">
        <v>1196.03</v>
      </c>
    </row>
    <row r="49" spans="1:2" x14ac:dyDescent="0.3">
      <c r="A49" s="56">
        <v>42049</v>
      </c>
      <c r="B49" s="57">
        <v>782.32</v>
      </c>
    </row>
    <row r="50" spans="1:2" x14ac:dyDescent="0.3">
      <c r="A50" s="56">
        <v>42050</v>
      </c>
      <c r="B50" s="57">
        <v>1323.35</v>
      </c>
    </row>
    <row r="51" spans="1:2" x14ac:dyDescent="0.3">
      <c r="A51" s="56">
        <v>42051</v>
      </c>
      <c r="B51" s="57">
        <v>209.92</v>
      </c>
    </row>
    <row r="52" spans="1:2" x14ac:dyDescent="0.3">
      <c r="A52" s="56">
        <v>42052</v>
      </c>
      <c r="B52" s="57">
        <v>1232.05</v>
      </c>
    </row>
    <row r="53" spans="1:2" x14ac:dyDescent="0.3">
      <c r="A53" s="56">
        <v>42053</v>
      </c>
      <c r="B53" s="57">
        <v>713.28</v>
      </c>
    </row>
    <row r="54" spans="1:2" x14ac:dyDescent="0.3">
      <c r="A54" s="56">
        <v>42054</v>
      </c>
      <c r="B54" s="57">
        <v>1674.82</v>
      </c>
    </row>
    <row r="55" spans="1:2" x14ac:dyDescent="0.3">
      <c r="A55" s="56">
        <v>42055</v>
      </c>
      <c r="B55" s="57">
        <v>1161.25</v>
      </c>
    </row>
    <row r="56" spans="1:2" x14ac:dyDescent="0.3">
      <c r="A56" s="56">
        <v>42056</v>
      </c>
      <c r="B56" s="57">
        <v>897.63</v>
      </c>
    </row>
    <row r="57" spans="1:2" x14ac:dyDescent="0.3">
      <c r="A57" s="56">
        <v>42057</v>
      </c>
      <c r="B57" s="57">
        <v>1647.26</v>
      </c>
    </row>
    <row r="58" spans="1:2" x14ac:dyDescent="0.3">
      <c r="A58" s="56">
        <v>42058</v>
      </c>
      <c r="B58" s="57">
        <v>1121.96</v>
      </c>
    </row>
    <row r="59" spans="1:2" x14ac:dyDescent="0.3">
      <c r="A59" s="56">
        <v>42059</v>
      </c>
      <c r="B59" s="57">
        <v>352.2</v>
      </c>
    </row>
    <row r="60" spans="1:2" x14ac:dyDescent="0.3">
      <c r="A60" s="56">
        <v>42060</v>
      </c>
      <c r="B60" s="57">
        <v>270.77999999999997</v>
      </c>
    </row>
    <row r="61" spans="1:2" x14ac:dyDescent="0.3">
      <c r="A61" s="56">
        <v>42061</v>
      </c>
      <c r="B61" s="57">
        <v>456.41</v>
      </c>
    </row>
    <row r="62" spans="1:2" x14ac:dyDescent="0.3">
      <c r="A62" s="56">
        <v>42062</v>
      </c>
      <c r="B62" s="57">
        <v>441</v>
      </c>
    </row>
    <row r="63" spans="1:2" x14ac:dyDescent="0.3">
      <c r="A63" s="56">
        <v>42063</v>
      </c>
      <c r="B63" s="57">
        <v>252.44</v>
      </c>
    </row>
    <row r="64" spans="1:2" x14ac:dyDescent="0.3">
      <c r="A64" s="56">
        <v>42064</v>
      </c>
      <c r="B64" s="57">
        <v>1298.92</v>
      </c>
    </row>
    <row r="65" spans="1:2" x14ac:dyDescent="0.3">
      <c r="A65" s="56">
        <v>42065</v>
      </c>
      <c r="B65" s="57">
        <v>1178.07</v>
      </c>
    </row>
    <row r="66" spans="1:2" x14ac:dyDescent="0.3">
      <c r="A66" s="56">
        <v>42066</v>
      </c>
      <c r="B66" s="57">
        <v>459.95</v>
      </c>
    </row>
    <row r="67" spans="1:2" x14ac:dyDescent="0.3">
      <c r="A67" s="56">
        <v>42067</v>
      </c>
      <c r="B67" s="57">
        <v>1219.7</v>
      </c>
    </row>
    <row r="68" spans="1:2" x14ac:dyDescent="0.3">
      <c r="A68" s="56">
        <v>42068</v>
      </c>
      <c r="B68" s="57">
        <v>152.24</v>
      </c>
    </row>
    <row r="69" spans="1:2" x14ac:dyDescent="0.3">
      <c r="A69" s="56">
        <v>42069</v>
      </c>
      <c r="B69" s="57">
        <v>770.8</v>
      </c>
    </row>
    <row r="70" spans="1:2" x14ac:dyDescent="0.3">
      <c r="A70" s="56">
        <v>42070</v>
      </c>
      <c r="B70" s="57">
        <v>1357.25</v>
      </c>
    </row>
    <row r="71" spans="1:2" x14ac:dyDescent="0.3">
      <c r="A71" s="56">
        <v>42187</v>
      </c>
      <c r="B71" s="57">
        <v>220.18</v>
      </c>
    </row>
    <row r="72" spans="1:2" x14ac:dyDescent="0.3">
      <c r="A72" s="56">
        <v>42072</v>
      </c>
      <c r="B72" s="57">
        <v>1102.81</v>
      </c>
    </row>
    <row r="73" spans="1:2" x14ac:dyDescent="0.3">
      <c r="A73" s="56">
        <v>42073</v>
      </c>
      <c r="B73" s="57">
        <v>1566.83</v>
      </c>
    </row>
    <row r="74" spans="1:2" x14ac:dyDescent="0.3">
      <c r="A74" s="56">
        <v>42074</v>
      </c>
      <c r="B74" s="57">
        <v>437.92</v>
      </c>
    </row>
    <row r="75" spans="1:2" x14ac:dyDescent="0.3">
      <c r="A75" s="56">
        <v>42075</v>
      </c>
      <c r="B75" s="57">
        <v>1216.1199999999999</v>
      </c>
    </row>
    <row r="76" spans="1:2" x14ac:dyDescent="0.3">
      <c r="A76" s="56">
        <v>42076</v>
      </c>
      <c r="B76" s="57">
        <v>273.10000000000002</v>
      </c>
    </row>
    <row r="77" spans="1:2" x14ac:dyDescent="0.3">
      <c r="A77" s="56">
        <v>42077</v>
      </c>
      <c r="B77" s="57">
        <v>242.26</v>
      </c>
    </row>
    <row r="78" spans="1:2" x14ac:dyDescent="0.3">
      <c r="A78" s="56">
        <v>42078</v>
      </c>
      <c r="B78" s="57">
        <v>1512.6</v>
      </c>
    </row>
    <row r="79" spans="1:2" x14ac:dyDescent="0.3">
      <c r="A79" s="56">
        <v>42079</v>
      </c>
      <c r="B79" s="57">
        <v>783.75</v>
      </c>
    </row>
    <row r="80" spans="1:2" x14ac:dyDescent="0.3">
      <c r="A80" s="56">
        <v>42189</v>
      </c>
      <c r="B80" s="57">
        <v>667.99</v>
      </c>
    </row>
    <row r="81" spans="1:2" x14ac:dyDescent="0.3">
      <c r="A81" s="56">
        <v>42081</v>
      </c>
      <c r="B81" s="57">
        <v>1166.31</v>
      </c>
    </row>
    <row r="82" spans="1:2" x14ac:dyDescent="0.3">
      <c r="A82" s="56">
        <v>42082</v>
      </c>
      <c r="B82" s="57">
        <v>770.18</v>
      </c>
    </row>
    <row r="83" spans="1:2" x14ac:dyDescent="0.3">
      <c r="A83" s="56">
        <v>42083</v>
      </c>
      <c r="B83" s="57">
        <v>132.34</v>
      </c>
    </row>
    <row r="84" spans="1:2" x14ac:dyDescent="0.3">
      <c r="A84" s="56">
        <v>42084</v>
      </c>
      <c r="B84" s="57">
        <v>1188.81</v>
      </c>
    </row>
    <row r="85" spans="1:2" x14ac:dyDescent="0.3">
      <c r="A85" s="56">
        <v>42085</v>
      </c>
      <c r="B85" s="57">
        <v>198.06</v>
      </c>
    </row>
    <row r="86" spans="1:2" x14ac:dyDescent="0.3">
      <c r="A86" s="56">
        <v>42086</v>
      </c>
      <c r="B86" s="57">
        <v>594.16999999999996</v>
      </c>
    </row>
    <row r="87" spans="1:2" x14ac:dyDescent="0.3">
      <c r="A87" s="56">
        <v>42087</v>
      </c>
      <c r="B87" s="57">
        <v>931.09</v>
      </c>
    </row>
    <row r="88" spans="1:2" x14ac:dyDescent="0.3">
      <c r="A88" s="56">
        <v>42088</v>
      </c>
      <c r="B88" s="57">
        <v>299.64</v>
      </c>
    </row>
    <row r="89" spans="1:2" x14ac:dyDescent="0.3">
      <c r="A89" s="56">
        <v>42223</v>
      </c>
      <c r="B89" s="57">
        <v>1701.68</v>
      </c>
    </row>
    <row r="90" spans="1:2" x14ac:dyDescent="0.3">
      <c r="A90" s="56">
        <v>42090</v>
      </c>
      <c r="B90" s="57">
        <v>399.15</v>
      </c>
    </row>
    <row r="91" spans="1:2" x14ac:dyDescent="0.3">
      <c r="A91" s="56">
        <v>42091</v>
      </c>
      <c r="B91" s="57">
        <v>374.81</v>
      </c>
    </row>
    <row r="92" spans="1:2" x14ac:dyDescent="0.3">
      <c r="A92" s="56">
        <v>42092</v>
      </c>
      <c r="B92" s="57">
        <v>462.17</v>
      </c>
    </row>
    <row r="93" spans="1:2" x14ac:dyDescent="0.3">
      <c r="A93" s="56">
        <v>42093</v>
      </c>
      <c r="B93" s="57">
        <v>924.29</v>
      </c>
    </row>
    <row r="94" spans="1:2" x14ac:dyDescent="0.3">
      <c r="A94" s="56">
        <v>42094</v>
      </c>
      <c r="B94" s="57">
        <v>5000.6000000000004</v>
      </c>
    </row>
    <row r="95" spans="1:2" x14ac:dyDescent="0.3">
      <c r="B95" s="106">
        <f>SUM(B5:B94)</f>
        <v>72741.76999999996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F64-F18D-4271-9159-3F73ACCA6187}">
  <dimension ref="A1:F182"/>
  <sheetViews>
    <sheetView topLeftCell="A132" workbookViewId="0">
      <selection activeCell="F21" sqref="F21"/>
    </sheetView>
  </sheetViews>
  <sheetFormatPr defaultRowHeight="14.4" x14ac:dyDescent="0.3"/>
  <sheetData>
    <row r="1" spans="1:6" x14ac:dyDescent="0.3">
      <c r="A1" s="2">
        <v>1</v>
      </c>
      <c r="B1" s="1" t="s">
        <v>231</v>
      </c>
    </row>
    <row r="3" spans="1:6" x14ac:dyDescent="0.3">
      <c r="B3" s="2" t="s">
        <v>232</v>
      </c>
      <c r="C3" s="58" t="s">
        <v>233</v>
      </c>
      <c r="E3" s="51"/>
    </row>
    <row r="4" spans="1:6" x14ac:dyDescent="0.3">
      <c r="B4" s="1" t="s">
        <v>234</v>
      </c>
      <c r="C4" s="1"/>
      <c r="D4" s="107">
        <f>SUM('sum3'!D25:D182)</f>
        <v>99498</v>
      </c>
    </row>
    <row r="6" spans="1:6" x14ac:dyDescent="0.3">
      <c r="B6" s="2" t="s">
        <v>232</v>
      </c>
      <c r="C6" s="58" t="s">
        <v>235</v>
      </c>
    </row>
    <row r="7" spans="1:6" x14ac:dyDescent="0.3">
      <c r="B7" s="1" t="s">
        <v>234</v>
      </c>
      <c r="C7" s="1"/>
      <c r="D7" s="107">
        <f>SUM(E25:E182)</f>
        <v>211409</v>
      </c>
    </row>
    <row r="9" spans="1:6" x14ac:dyDescent="0.3">
      <c r="B9" s="2" t="s">
        <v>232</v>
      </c>
      <c r="C9" s="58" t="s">
        <v>236</v>
      </c>
    </row>
    <row r="10" spans="1:6" x14ac:dyDescent="0.3">
      <c r="B10" s="1" t="s">
        <v>234</v>
      </c>
      <c r="C10" s="1"/>
      <c r="D10" s="107">
        <f>SUM(F25:F182)</f>
        <v>127820</v>
      </c>
    </row>
    <row r="12" spans="1:6" x14ac:dyDescent="0.3">
      <c r="A12" s="2">
        <v>2</v>
      </c>
      <c r="B12" s="59" t="s">
        <v>237</v>
      </c>
      <c r="C12" s="60"/>
      <c r="D12" s="60"/>
      <c r="E12" s="60"/>
    </row>
    <row r="13" spans="1:6" x14ac:dyDescent="0.3">
      <c r="C13" s="67">
        <f>SUM(D27:F27)</f>
        <v>5124</v>
      </c>
      <c r="D13" s="1"/>
      <c r="E13" s="1"/>
      <c r="F13" s="1"/>
    </row>
    <row r="15" spans="1:6" x14ac:dyDescent="0.3">
      <c r="A15" s="2">
        <v>3</v>
      </c>
      <c r="B15" s="59" t="s">
        <v>238</v>
      </c>
      <c r="C15" s="60"/>
      <c r="D15" s="60"/>
      <c r="E15" s="60"/>
      <c r="F15" s="60"/>
    </row>
    <row r="16" spans="1:6" x14ac:dyDescent="0.3">
      <c r="C16" s="67">
        <f>SUM(D25:F182)</f>
        <v>438727</v>
      </c>
      <c r="D16" s="1"/>
      <c r="E16" s="65"/>
      <c r="F16" s="1"/>
    </row>
    <row r="17" spans="1:6" x14ac:dyDescent="0.3">
      <c r="E17" s="65"/>
      <c r="F17" s="1"/>
    </row>
    <row r="18" spans="1:6" x14ac:dyDescent="0.3">
      <c r="A18" s="2">
        <v>4</v>
      </c>
      <c r="B18" s="59" t="s">
        <v>239</v>
      </c>
      <c r="C18" s="60"/>
      <c r="D18" s="60"/>
      <c r="E18" s="60"/>
      <c r="F18" s="60"/>
    </row>
    <row r="19" spans="1:6" x14ac:dyDescent="0.3">
      <c r="B19" s="1" t="s">
        <v>240</v>
      </c>
      <c r="C19" s="68" cm="1">
        <f t="array" ref="C19">SUM(D25:D182+F25:F182)</f>
        <v>227318</v>
      </c>
      <c r="D19" s="1"/>
      <c r="F19" s="2"/>
    </row>
    <row r="20" spans="1:6" x14ac:dyDescent="0.3">
      <c r="B20" s="1" t="s">
        <v>241</v>
      </c>
      <c r="C20" s="69">
        <f>SUM(D25:F182)-SUM(E25:E182)</f>
        <v>227318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26" t="s">
        <v>232</v>
      </c>
      <c r="E23" s="127"/>
      <c r="F23" s="128"/>
    </row>
    <row r="24" spans="1:6" x14ac:dyDescent="0.3">
      <c r="B24" s="61" t="s">
        <v>242</v>
      </c>
      <c r="C24" s="62" t="s">
        <v>196</v>
      </c>
      <c r="D24" s="58" t="s">
        <v>233</v>
      </c>
      <c r="E24" s="58" t="s">
        <v>235</v>
      </c>
      <c r="F24" s="58" t="s">
        <v>236</v>
      </c>
    </row>
    <row r="25" spans="1:6" x14ac:dyDescent="0.3">
      <c r="B25" s="66" t="s">
        <v>201</v>
      </c>
      <c r="C25" s="66" t="s">
        <v>243</v>
      </c>
      <c r="D25" s="63">
        <v>3419</v>
      </c>
      <c r="E25" s="63">
        <v>4378</v>
      </c>
      <c r="F25" s="64">
        <v>2755</v>
      </c>
    </row>
    <row r="26" spans="1:6" x14ac:dyDescent="0.3">
      <c r="B26" s="66" t="s">
        <v>201</v>
      </c>
      <c r="C26" s="66" t="s">
        <v>244</v>
      </c>
      <c r="D26" s="63">
        <v>1492</v>
      </c>
      <c r="E26" s="63">
        <v>2126</v>
      </c>
      <c r="F26" s="64">
        <v>2103</v>
      </c>
    </row>
    <row r="27" spans="1:6" x14ac:dyDescent="0.3">
      <c r="B27" s="66" t="s">
        <v>201</v>
      </c>
      <c r="C27" s="66" t="s">
        <v>245</v>
      </c>
      <c r="D27" s="63">
        <v>1371</v>
      </c>
      <c r="E27" s="63">
        <v>1930</v>
      </c>
      <c r="F27" s="64">
        <v>1823</v>
      </c>
    </row>
    <row r="28" spans="1:6" x14ac:dyDescent="0.3">
      <c r="B28" s="66" t="s">
        <v>201</v>
      </c>
      <c r="C28" s="66" t="s">
        <v>246</v>
      </c>
      <c r="D28" s="63">
        <v>1607</v>
      </c>
      <c r="E28" s="63">
        <v>2133</v>
      </c>
      <c r="F28" s="64">
        <v>2102</v>
      </c>
    </row>
    <row r="29" spans="1:6" x14ac:dyDescent="0.3">
      <c r="B29" s="66" t="s">
        <v>201</v>
      </c>
      <c r="C29" s="66" t="s">
        <v>247</v>
      </c>
      <c r="D29" s="63">
        <v>951</v>
      </c>
      <c r="E29" s="63">
        <v>1445</v>
      </c>
      <c r="F29" s="64">
        <v>1416</v>
      </c>
    </row>
    <row r="30" spans="1:6" x14ac:dyDescent="0.3">
      <c r="B30" s="66" t="s">
        <v>201</v>
      </c>
      <c r="C30" s="66" t="s">
        <v>248</v>
      </c>
      <c r="D30" s="63">
        <v>889</v>
      </c>
      <c r="E30" s="63">
        <v>1293</v>
      </c>
      <c r="F30" s="64">
        <v>1526</v>
      </c>
    </row>
    <row r="31" spans="1:6" x14ac:dyDescent="0.3">
      <c r="B31" s="66" t="s">
        <v>201</v>
      </c>
      <c r="C31" s="66" t="s">
        <v>249</v>
      </c>
      <c r="D31" s="63">
        <v>1254</v>
      </c>
      <c r="E31" s="63">
        <v>1989</v>
      </c>
      <c r="F31" s="64">
        <v>1685</v>
      </c>
    </row>
    <row r="32" spans="1:6" x14ac:dyDescent="0.3">
      <c r="B32" s="66" t="s">
        <v>201</v>
      </c>
      <c r="C32" s="66" t="s">
        <v>250</v>
      </c>
      <c r="D32" s="63">
        <v>1025</v>
      </c>
      <c r="E32" s="63">
        <v>1362</v>
      </c>
      <c r="F32" s="64">
        <v>2077</v>
      </c>
    </row>
    <row r="33" spans="2:6" x14ac:dyDescent="0.3">
      <c r="B33" s="66" t="s">
        <v>201</v>
      </c>
      <c r="C33" s="66" t="s">
        <v>251</v>
      </c>
      <c r="D33" s="63">
        <v>1194</v>
      </c>
      <c r="E33" s="63">
        <v>2016</v>
      </c>
      <c r="F33" s="64">
        <v>1452</v>
      </c>
    </row>
    <row r="34" spans="2:6" x14ac:dyDescent="0.3">
      <c r="B34" s="66" t="s">
        <v>201</v>
      </c>
      <c r="C34" s="66" t="s">
        <v>252</v>
      </c>
      <c r="D34" s="63">
        <v>607</v>
      </c>
      <c r="E34" s="63">
        <v>853</v>
      </c>
      <c r="F34" s="64">
        <v>1022</v>
      </c>
    </row>
    <row r="35" spans="2:6" x14ac:dyDescent="0.3">
      <c r="B35" s="66" t="s">
        <v>201</v>
      </c>
      <c r="C35" s="66" t="s">
        <v>253</v>
      </c>
      <c r="D35" s="63">
        <v>626</v>
      </c>
      <c r="E35" s="63">
        <v>1569</v>
      </c>
      <c r="F35" s="64">
        <v>1033</v>
      </c>
    </row>
    <row r="36" spans="2:6" x14ac:dyDescent="0.3">
      <c r="B36" s="66" t="s">
        <v>201</v>
      </c>
      <c r="C36" s="66" t="s">
        <v>254</v>
      </c>
      <c r="D36" s="63">
        <v>1037</v>
      </c>
      <c r="E36" s="63">
        <v>2300</v>
      </c>
      <c r="F36" s="64">
        <v>1598</v>
      </c>
    </row>
    <row r="37" spans="2:6" x14ac:dyDescent="0.3">
      <c r="B37" s="66" t="s">
        <v>201</v>
      </c>
      <c r="C37" s="66" t="s">
        <v>255</v>
      </c>
      <c r="D37" s="63">
        <v>972</v>
      </c>
      <c r="E37" s="63">
        <v>2128</v>
      </c>
      <c r="F37" s="64">
        <v>912</v>
      </c>
    </row>
    <row r="38" spans="2:6" x14ac:dyDescent="0.3">
      <c r="B38" s="66" t="s">
        <v>201</v>
      </c>
      <c r="C38" s="66" t="s">
        <v>256</v>
      </c>
      <c r="D38" s="63">
        <v>88</v>
      </c>
      <c r="E38" s="63">
        <v>1159</v>
      </c>
      <c r="F38" s="64">
        <v>0</v>
      </c>
    </row>
    <row r="39" spans="2:6" x14ac:dyDescent="0.3">
      <c r="B39" s="66" t="s">
        <v>201</v>
      </c>
      <c r="C39" s="66" t="s">
        <v>257</v>
      </c>
      <c r="D39" s="63">
        <v>2052</v>
      </c>
      <c r="E39" s="63">
        <v>2159</v>
      </c>
      <c r="F39" s="64">
        <v>1582</v>
      </c>
    </row>
    <row r="40" spans="2:6" x14ac:dyDescent="0.3">
      <c r="B40" s="66" t="s">
        <v>201</v>
      </c>
      <c r="C40" s="66" t="s">
        <v>258</v>
      </c>
      <c r="D40" s="63">
        <v>1582</v>
      </c>
      <c r="E40" s="63">
        <v>2308</v>
      </c>
      <c r="F40" s="64">
        <v>1699</v>
      </c>
    </row>
    <row r="41" spans="2:6" x14ac:dyDescent="0.3">
      <c r="B41" s="66" t="s">
        <v>201</v>
      </c>
      <c r="C41" s="66" t="s">
        <v>259</v>
      </c>
      <c r="D41" s="63">
        <v>1088</v>
      </c>
      <c r="E41" s="63">
        <v>1218</v>
      </c>
      <c r="F41" s="64">
        <v>981</v>
      </c>
    </row>
    <row r="42" spans="2:6" x14ac:dyDescent="0.3">
      <c r="B42" s="66" t="s">
        <v>201</v>
      </c>
      <c r="C42" s="66" t="s">
        <v>260</v>
      </c>
      <c r="D42" s="63">
        <v>706</v>
      </c>
      <c r="E42" s="63">
        <v>1151</v>
      </c>
      <c r="F42" s="64">
        <v>1145</v>
      </c>
    </row>
    <row r="43" spans="2:6" x14ac:dyDescent="0.3">
      <c r="B43" s="66" t="s">
        <v>201</v>
      </c>
      <c r="C43" s="66" t="s">
        <v>261</v>
      </c>
      <c r="D43" s="63">
        <v>1335</v>
      </c>
      <c r="E43" s="63">
        <v>2098</v>
      </c>
      <c r="F43" s="64">
        <v>1322</v>
      </c>
    </row>
    <row r="44" spans="2:6" x14ac:dyDescent="0.3">
      <c r="B44" s="66" t="s">
        <v>201</v>
      </c>
      <c r="C44" s="66" t="s">
        <v>262</v>
      </c>
      <c r="D44" s="63">
        <v>702</v>
      </c>
      <c r="E44" s="63">
        <v>1162</v>
      </c>
      <c r="F44" s="64">
        <v>877</v>
      </c>
    </row>
    <row r="45" spans="2:6" x14ac:dyDescent="0.3">
      <c r="B45" s="66" t="s">
        <v>201</v>
      </c>
      <c r="C45" s="66" t="s">
        <v>263</v>
      </c>
      <c r="D45" s="63">
        <v>968</v>
      </c>
      <c r="E45" s="63">
        <v>1101</v>
      </c>
      <c r="F45" s="64">
        <v>797</v>
      </c>
    </row>
    <row r="46" spans="2:6" x14ac:dyDescent="0.3">
      <c r="B46" s="66" t="s">
        <v>201</v>
      </c>
      <c r="C46" s="66" t="s">
        <v>264</v>
      </c>
      <c r="D46" s="63">
        <v>1664</v>
      </c>
      <c r="E46" s="63">
        <v>2069</v>
      </c>
      <c r="F46" s="64">
        <v>1710</v>
      </c>
    </row>
    <row r="47" spans="2:6" x14ac:dyDescent="0.3">
      <c r="B47" s="66" t="s">
        <v>201</v>
      </c>
      <c r="C47" s="66" t="s">
        <v>265</v>
      </c>
      <c r="D47" s="63">
        <v>624</v>
      </c>
      <c r="E47" s="63">
        <v>770</v>
      </c>
      <c r="F47" s="64">
        <v>746</v>
      </c>
    </row>
    <row r="48" spans="2:6" x14ac:dyDescent="0.3">
      <c r="B48" s="66" t="s">
        <v>201</v>
      </c>
      <c r="C48" s="66" t="s">
        <v>266</v>
      </c>
      <c r="D48" s="63">
        <v>685</v>
      </c>
      <c r="E48" s="63">
        <v>1501</v>
      </c>
      <c r="F48" s="64">
        <v>1126</v>
      </c>
    </row>
    <row r="49" spans="2:6" x14ac:dyDescent="0.3">
      <c r="B49" s="66" t="s">
        <v>201</v>
      </c>
      <c r="C49" s="66" t="s">
        <v>267</v>
      </c>
      <c r="D49" s="63">
        <v>1248</v>
      </c>
      <c r="E49" s="63">
        <v>1763</v>
      </c>
      <c r="F49" s="64">
        <v>1146</v>
      </c>
    </row>
    <row r="50" spans="2:6" x14ac:dyDescent="0.3">
      <c r="B50" s="66" t="s">
        <v>201</v>
      </c>
      <c r="C50" s="66" t="s">
        <v>268</v>
      </c>
      <c r="D50" s="63">
        <v>1342</v>
      </c>
      <c r="E50" s="63">
        <v>1559</v>
      </c>
      <c r="F50" s="64">
        <v>1307</v>
      </c>
    </row>
    <row r="51" spans="2:6" x14ac:dyDescent="0.3">
      <c r="B51" s="66" t="s">
        <v>201</v>
      </c>
      <c r="C51" s="66" t="s">
        <v>269</v>
      </c>
      <c r="D51" s="63">
        <v>760</v>
      </c>
      <c r="E51" s="63">
        <v>965</v>
      </c>
      <c r="F51" s="64">
        <v>921</v>
      </c>
    </row>
    <row r="52" spans="2:6" x14ac:dyDescent="0.3">
      <c r="B52" s="66" t="s">
        <v>201</v>
      </c>
      <c r="C52" s="66" t="s">
        <v>270</v>
      </c>
      <c r="D52" s="63">
        <v>1187</v>
      </c>
      <c r="E52" s="63">
        <v>1568</v>
      </c>
      <c r="F52" s="64">
        <v>1190</v>
      </c>
    </row>
    <row r="53" spans="2:6" x14ac:dyDescent="0.3">
      <c r="B53" s="66" t="s">
        <v>201</v>
      </c>
      <c r="C53" s="66" t="s">
        <v>271</v>
      </c>
      <c r="D53" s="63">
        <v>0</v>
      </c>
      <c r="E53" s="63">
        <v>0</v>
      </c>
      <c r="F53" s="64">
        <v>277</v>
      </c>
    </row>
    <row r="54" spans="2:6" x14ac:dyDescent="0.3">
      <c r="B54" s="66" t="s">
        <v>201</v>
      </c>
      <c r="C54" s="66" t="s">
        <v>272</v>
      </c>
      <c r="D54" s="63">
        <v>368</v>
      </c>
      <c r="E54" s="63">
        <v>1386</v>
      </c>
      <c r="F54" s="64">
        <v>637</v>
      </c>
    </row>
    <row r="55" spans="2:6" x14ac:dyDescent="0.3">
      <c r="B55" s="66" t="s">
        <v>201</v>
      </c>
      <c r="C55" s="66" t="s">
        <v>273</v>
      </c>
      <c r="D55" s="63">
        <v>317</v>
      </c>
      <c r="E55" s="63">
        <v>1215</v>
      </c>
      <c r="F55" s="64">
        <v>478</v>
      </c>
    </row>
    <row r="56" spans="2:6" x14ac:dyDescent="0.3">
      <c r="B56" s="66" t="s">
        <v>201</v>
      </c>
      <c r="C56" s="66" t="s">
        <v>274</v>
      </c>
      <c r="D56" s="63">
        <v>689</v>
      </c>
      <c r="E56" s="63">
        <v>2544</v>
      </c>
      <c r="F56" s="64">
        <v>1009</v>
      </c>
    </row>
    <row r="57" spans="2:6" x14ac:dyDescent="0.3">
      <c r="B57" s="66" t="s">
        <v>201</v>
      </c>
      <c r="C57" s="66" t="s">
        <v>275</v>
      </c>
      <c r="D57" s="63">
        <v>510</v>
      </c>
      <c r="E57" s="63">
        <v>2583</v>
      </c>
      <c r="F57" s="64">
        <v>861</v>
      </c>
    </row>
    <row r="58" spans="2:6" x14ac:dyDescent="0.3">
      <c r="B58" s="66" t="s">
        <v>201</v>
      </c>
      <c r="C58" s="66" t="s">
        <v>276</v>
      </c>
      <c r="D58" s="63">
        <v>257</v>
      </c>
      <c r="E58" s="63">
        <v>1023</v>
      </c>
      <c r="F58" s="64">
        <v>446</v>
      </c>
    </row>
    <row r="59" spans="2:6" x14ac:dyDescent="0.3">
      <c r="B59" s="66" t="s">
        <v>201</v>
      </c>
      <c r="C59" s="66" t="s">
        <v>277</v>
      </c>
      <c r="D59" s="63">
        <v>335</v>
      </c>
      <c r="E59" s="63">
        <v>1225</v>
      </c>
      <c r="F59" s="64">
        <v>520</v>
      </c>
    </row>
    <row r="60" spans="2:6" x14ac:dyDescent="0.3">
      <c r="B60" s="66" t="s">
        <v>201</v>
      </c>
      <c r="C60" s="66" t="s">
        <v>278</v>
      </c>
      <c r="D60" s="63">
        <v>264</v>
      </c>
      <c r="E60" s="63">
        <v>957</v>
      </c>
      <c r="F60" s="64">
        <v>405</v>
      </c>
    </row>
    <row r="61" spans="2:6" x14ac:dyDescent="0.3">
      <c r="B61" s="66" t="s">
        <v>201</v>
      </c>
      <c r="C61" s="66" t="s">
        <v>279</v>
      </c>
      <c r="D61" s="63">
        <v>285</v>
      </c>
      <c r="E61" s="63">
        <v>869</v>
      </c>
      <c r="F61" s="64">
        <v>434</v>
      </c>
    </row>
    <row r="62" spans="2:6" x14ac:dyDescent="0.3">
      <c r="B62" s="66" t="s">
        <v>201</v>
      </c>
      <c r="C62" s="66" t="s">
        <v>280</v>
      </c>
      <c r="D62" s="63">
        <v>550</v>
      </c>
      <c r="E62" s="63">
        <v>2502</v>
      </c>
      <c r="F62" s="64">
        <v>822</v>
      </c>
    </row>
    <row r="63" spans="2:6" x14ac:dyDescent="0.3">
      <c r="B63" s="66" t="s">
        <v>201</v>
      </c>
      <c r="C63" s="66" t="s">
        <v>281</v>
      </c>
      <c r="D63" s="63">
        <v>266</v>
      </c>
      <c r="E63" s="63">
        <v>1382</v>
      </c>
      <c r="F63" s="64">
        <v>501</v>
      </c>
    </row>
    <row r="64" spans="2:6" x14ac:dyDescent="0.3">
      <c r="B64" s="66" t="s">
        <v>201</v>
      </c>
      <c r="C64" s="66" t="s">
        <v>282</v>
      </c>
      <c r="D64" s="63">
        <v>598</v>
      </c>
      <c r="E64" s="63">
        <v>2107</v>
      </c>
      <c r="F64" s="64">
        <v>1002</v>
      </c>
    </row>
    <row r="65" spans="2:6" x14ac:dyDescent="0.3">
      <c r="B65" s="66" t="s">
        <v>201</v>
      </c>
      <c r="C65" s="66" t="s">
        <v>283</v>
      </c>
      <c r="D65" s="63">
        <v>344</v>
      </c>
      <c r="E65" s="63">
        <v>1641</v>
      </c>
      <c r="F65" s="64">
        <v>765</v>
      </c>
    </row>
    <row r="66" spans="2:6" x14ac:dyDescent="0.3">
      <c r="B66" s="66" t="s">
        <v>201</v>
      </c>
      <c r="C66" s="66" t="s">
        <v>284</v>
      </c>
      <c r="D66" s="63">
        <v>183</v>
      </c>
      <c r="E66" s="63">
        <v>867</v>
      </c>
      <c r="F66" s="64">
        <v>384</v>
      </c>
    </row>
    <row r="67" spans="2:6" x14ac:dyDescent="0.3">
      <c r="B67" s="66" t="s">
        <v>201</v>
      </c>
      <c r="C67" s="66" t="s">
        <v>285</v>
      </c>
      <c r="D67" s="63">
        <v>302</v>
      </c>
      <c r="E67" s="63">
        <v>1326</v>
      </c>
      <c r="F67" s="64">
        <v>586</v>
      </c>
    </row>
    <row r="68" spans="2:6" x14ac:dyDescent="0.3">
      <c r="B68" s="66" t="s">
        <v>201</v>
      </c>
      <c r="C68" s="66" t="s">
        <v>286</v>
      </c>
      <c r="D68" s="63">
        <v>177</v>
      </c>
      <c r="E68" s="63">
        <v>823</v>
      </c>
      <c r="F68" s="64">
        <v>548</v>
      </c>
    </row>
    <row r="69" spans="2:6" x14ac:dyDescent="0.3">
      <c r="B69" s="66" t="s">
        <v>201</v>
      </c>
      <c r="C69" s="66" t="s">
        <v>287</v>
      </c>
      <c r="D69" s="63">
        <v>285</v>
      </c>
      <c r="E69" s="63">
        <v>1249</v>
      </c>
      <c r="F69" s="64">
        <v>533</v>
      </c>
    </row>
    <row r="70" spans="2:6" x14ac:dyDescent="0.3">
      <c r="B70" s="66" t="s">
        <v>201</v>
      </c>
      <c r="C70" s="66" t="s">
        <v>288</v>
      </c>
      <c r="D70" s="63">
        <v>236</v>
      </c>
      <c r="E70" s="63">
        <v>1162</v>
      </c>
      <c r="F70" s="64">
        <v>402</v>
      </c>
    </row>
    <row r="71" spans="2:6" x14ac:dyDescent="0.3">
      <c r="B71" s="66" t="s">
        <v>201</v>
      </c>
      <c r="C71" s="66" t="s">
        <v>289</v>
      </c>
      <c r="D71" s="63">
        <v>293</v>
      </c>
      <c r="E71" s="63">
        <v>1016</v>
      </c>
      <c r="F71" s="64">
        <v>585</v>
      </c>
    </row>
    <row r="72" spans="2:6" x14ac:dyDescent="0.3">
      <c r="B72" s="66" t="s">
        <v>201</v>
      </c>
      <c r="C72" s="66" t="s">
        <v>290</v>
      </c>
      <c r="D72" s="63">
        <v>242</v>
      </c>
      <c r="E72" s="63">
        <v>1363</v>
      </c>
      <c r="F72" s="64">
        <v>428</v>
      </c>
    </row>
    <row r="73" spans="2:6" x14ac:dyDescent="0.3">
      <c r="B73" s="66" t="s">
        <v>201</v>
      </c>
      <c r="C73" s="66" t="s">
        <v>291</v>
      </c>
      <c r="D73" s="63">
        <v>248</v>
      </c>
      <c r="E73" s="63">
        <v>1398</v>
      </c>
      <c r="F73" s="64">
        <v>476</v>
      </c>
    </row>
    <row r="74" spans="2:6" x14ac:dyDescent="0.3">
      <c r="B74" s="66" t="s">
        <v>201</v>
      </c>
      <c r="C74" s="66" t="s">
        <v>292</v>
      </c>
      <c r="D74" s="63">
        <v>292</v>
      </c>
      <c r="E74" s="63">
        <v>1380</v>
      </c>
      <c r="F74" s="64">
        <v>456</v>
      </c>
    </row>
    <row r="75" spans="2:6" x14ac:dyDescent="0.3">
      <c r="B75" s="66" t="s">
        <v>201</v>
      </c>
      <c r="C75" s="66" t="s">
        <v>293</v>
      </c>
      <c r="D75" s="63">
        <v>196</v>
      </c>
      <c r="E75" s="63">
        <v>1238</v>
      </c>
      <c r="F75" s="64">
        <v>493</v>
      </c>
    </row>
    <row r="76" spans="2:6" x14ac:dyDescent="0.3">
      <c r="B76" s="66" t="s">
        <v>201</v>
      </c>
      <c r="C76" s="66" t="s">
        <v>294</v>
      </c>
      <c r="D76" s="63">
        <v>432</v>
      </c>
      <c r="E76" s="63">
        <v>1216</v>
      </c>
      <c r="F76" s="64">
        <v>552</v>
      </c>
    </row>
    <row r="77" spans="2:6" x14ac:dyDescent="0.3">
      <c r="B77" s="66" t="s">
        <v>201</v>
      </c>
      <c r="C77" s="66" t="s">
        <v>295</v>
      </c>
      <c r="D77" s="63">
        <v>420</v>
      </c>
      <c r="E77" s="63">
        <v>1581</v>
      </c>
      <c r="F77" s="64">
        <v>525</v>
      </c>
    </row>
    <row r="78" spans="2:6" x14ac:dyDescent="0.3">
      <c r="B78" s="66" t="s">
        <v>201</v>
      </c>
      <c r="C78" s="66" t="s">
        <v>296</v>
      </c>
      <c r="D78" s="63">
        <v>398</v>
      </c>
      <c r="E78" s="63">
        <v>1759</v>
      </c>
      <c r="F78" s="64">
        <v>682</v>
      </c>
    </row>
    <row r="79" spans="2:6" x14ac:dyDescent="0.3">
      <c r="B79" s="66" t="s">
        <v>201</v>
      </c>
      <c r="C79" s="66" t="s">
        <v>297</v>
      </c>
      <c r="D79" s="63">
        <v>128</v>
      </c>
      <c r="E79" s="63">
        <v>791</v>
      </c>
      <c r="F79" s="64">
        <v>242</v>
      </c>
    </row>
    <row r="80" spans="2:6" x14ac:dyDescent="0.3">
      <c r="B80" s="66" t="s">
        <v>201</v>
      </c>
      <c r="C80" s="66" t="s">
        <v>298</v>
      </c>
      <c r="D80" s="63">
        <v>225</v>
      </c>
      <c r="E80" s="63">
        <v>935</v>
      </c>
      <c r="F80" s="64">
        <v>432</v>
      </c>
    </row>
    <row r="81" spans="2:6" x14ac:dyDescent="0.3">
      <c r="B81" s="66" t="s">
        <v>201</v>
      </c>
      <c r="C81" s="66" t="s">
        <v>299</v>
      </c>
      <c r="D81" s="63">
        <v>1358</v>
      </c>
      <c r="E81" s="63">
        <v>2231</v>
      </c>
      <c r="F81" s="64">
        <v>1391</v>
      </c>
    </row>
    <row r="82" spans="2:6" x14ac:dyDescent="0.3">
      <c r="B82" s="66" t="s">
        <v>201</v>
      </c>
      <c r="C82" s="66" t="s">
        <v>300</v>
      </c>
      <c r="D82" s="63">
        <v>1345</v>
      </c>
      <c r="E82" s="63">
        <v>1791</v>
      </c>
      <c r="F82" s="64">
        <v>1460</v>
      </c>
    </row>
    <row r="83" spans="2:6" x14ac:dyDescent="0.3">
      <c r="B83" s="66" t="s">
        <v>201</v>
      </c>
      <c r="C83" s="66" t="s">
        <v>301</v>
      </c>
      <c r="D83" s="63">
        <v>769</v>
      </c>
      <c r="E83" s="63">
        <v>1948</v>
      </c>
      <c r="F83" s="64">
        <v>1011</v>
      </c>
    </row>
    <row r="84" spans="2:6" x14ac:dyDescent="0.3">
      <c r="B84" s="66" t="s">
        <v>201</v>
      </c>
      <c r="C84" s="66" t="s">
        <v>302</v>
      </c>
      <c r="D84" s="63">
        <v>560</v>
      </c>
      <c r="E84" s="63">
        <v>1835</v>
      </c>
      <c r="F84" s="64">
        <v>642</v>
      </c>
    </row>
    <row r="85" spans="2:6" x14ac:dyDescent="0.3">
      <c r="B85" s="66" t="s">
        <v>201</v>
      </c>
      <c r="C85" s="66" t="s">
        <v>303</v>
      </c>
      <c r="D85" s="63">
        <v>836</v>
      </c>
      <c r="E85" s="63">
        <v>2245</v>
      </c>
      <c r="F85" s="64">
        <v>861</v>
      </c>
    </row>
    <row r="86" spans="2:6" x14ac:dyDescent="0.3">
      <c r="B86" s="66" t="s">
        <v>201</v>
      </c>
      <c r="C86" s="66" t="s">
        <v>304</v>
      </c>
      <c r="D86" s="63">
        <v>587</v>
      </c>
      <c r="E86" s="63">
        <v>1471</v>
      </c>
      <c r="F86" s="64">
        <v>623</v>
      </c>
    </row>
    <row r="87" spans="2:6" x14ac:dyDescent="0.3">
      <c r="B87" s="66" t="s">
        <v>201</v>
      </c>
      <c r="C87" s="66" t="s">
        <v>305</v>
      </c>
      <c r="D87" s="63">
        <v>774</v>
      </c>
      <c r="E87" s="63">
        <v>1403</v>
      </c>
      <c r="F87" s="64">
        <v>1085</v>
      </c>
    </row>
    <row r="88" spans="2:6" x14ac:dyDescent="0.3">
      <c r="B88" s="66" t="s">
        <v>201</v>
      </c>
      <c r="C88" s="66" t="s">
        <v>306</v>
      </c>
      <c r="D88" s="63">
        <v>757</v>
      </c>
      <c r="E88" s="63">
        <v>1203</v>
      </c>
      <c r="F88" s="64">
        <v>1175</v>
      </c>
    </row>
    <row r="89" spans="2:6" x14ac:dyDescent="0.3">
      <c r="B89" s="66" t="s">
        <v>201</v>
      </c>
      <c r="C89" s="66" t="s">
        <v>307</v>
      </c>
      <c r="D89" s="63">
        <v>591</v>
      </c>
      <c r="E89" s="63">
        <v>1439</v>
      </c>
      <c r="F89" s="64">
        <v>858</v>
      </c>
    </row>
    <row r="90" spans="2:6" x14ac:dyDescent="0.3">
      <c r="B90" s="66" t="s">
        <v>201</v>
      </c>
      <c r="C90" s="66" t="s">
        <v>308</v>
      </c>
      <c r="D90" s="63">
        <v>457</v>
      </c>
      <c r="E90" s="63">
        <v>1161</v>
      </c>
      <c r="F90" s="64">
        <v>594</v>
      </c>
    </row>
    <row r="91" spans="2:6" x14ac:dyDescent="0.3">
      <c r="B91" s="66" t="s">
        <v>201</v>
      </c>
      <c r="C91" s="66" t="s">
        <v>309</v>
      </c>
      <c r="D91" s="63">
        <v>494</v>
      </c>
      <c r="E91" s="63">
        <v>1585</v>
      </c>
      <c r="F91" s="64">
        <v>705</v>
      </c>
    </row>
    <row r="92" spans="2:6" x14ac:dyDescent="0.3">
      <c r="B92" s="66" t="s">
        <v>201</v>
      </c>
      <c r="C92" s="66" t="s">
        <v>310</v>
      </c>
      <c r="D92" s="63">
        <v>914</v>
      </c>
      <c r="E92" s="63">
        <v>1727</v>
      </c>
      <c r="F92" s="64">
        <v>1308</v>
      </c>
    </row>
    <row r="93" spans="2:6" x14ac:dyDescent="0.3">
      <c r="B93" s="66" t="s">
        <v>201</v>
      </c>
      <c r="C93" s="66" t="s">
        <v>311</v>
      </c>
      <c r="D93" s="63">
        <v>581</v>
      </c>
      <c r="E93" s="63">
        <v>1448</v>
      </c>
      <c r="F93" s="64">
        <v>885</v>
      </c>
    </row>
    <row r="94" spans="2:6" x14ac:dyDescent="0.3">
      <c r="B94" s="66" t="s">
        <v>201</v>
      </c>
      <c r="C94" s="66" t="s">
        <v>312</v>
      </c>
      <c r="D94" s="63">
        <v>31</v>
      </c>
      <c r="E94" s="63">
        <v>0</v>
      </c>
      <c r="F94" s="64">
        <v>78</v>
      </c>
    </row>
    <row r="95" spans="2:6" x14ac:dyDescent="0.3">
      <c r="B95" s="66" t="s">
        <v>201</v>
      </c>
      <c r="C95" s="66" t="s">
        <v>313</v>
      </c>
      <c r="D95" s="63">
        <v>92</v>
      </c>
      <c r="E95" s="63">
        <v>233</v>
      </c>
      <c r="F95" s="64">
        <v>494</v>
      </c>
    </row>
    <row r="96" spans="2:6" x14ac:dyDescent="0.3">
      <c r="B96" s="66" t="s">
        <v>201</v>
      </c>
      <c r="C96" s="66" t="s">
        <v>314</v>
      </c>
      <c r="D96" s="63">
        <v>486</v>
      </c>
      <c r="E96" s="63">
        <v>1176</v>
      </c>
      <c r="F96" s="64">
        <v>400</v>
      </c>
    </row>
    <row r="97" spans="2:6" x14ac:dyDescent="0.3">
      <c r="B97" s="66" t="s">
        <v>201</v>
      </c>
      <c r="C97" s="66" t="s">
        <v>315</v>
      </c>
      <c r="D97" s="63">
        <v>440</v>
      </c>
      <c r="E97" s="63">
        <v>874</v>
      </c>
      <c r="F97" s="64">
        <v>803</v>
      </c>
    </row>
    <row r="98" spans="2:6" x14ac:dyDescent="0.3">
      <c r="B98" s="66" t="s">
        <v>201</v>
      </c>
      <c r="C98" s="66" t="s">
        <v>316</v>
      </c>
      <c r="D98" s="63">
        <v>127</v>
      </c>
      <c r="E98" s="63">
        <v>695</v>
      </c>
      <c r="F98" s="64">
        <v>440</v>
      </c>
    </row>
    <row r="99" spans="2:6" x14ac:dyDescent="0.3">
      <c r="B99" s="66" t="s">
        <v>201</v>
      </c>
      <c r="C99" s="66" t="s">
        <v>317</v>
      </c>
      <c r="D99" s="63">
        <v>257</v>
      </c>
      <c r="E99" s="63">
        <v>1367</v>
      </c>
      <c r="F99" s="64">
        <v>544</v>
      </c>
    </row>
    <row r="100" spans="2:6" x14ac:dyDescent="0.3">
      <c r="B100" s="66" t="s">
        <v>201</v>
      </c>
      <c r="C100" s="66" t="s">
        <v>318</v>
      </c>
      <c r="D100" s="63">
        <v>399</v>
      </c>
      <c r="E100" s="63">
        <v>1238</v>
      </c>
      <c r="F100" s="64">
        <v>622</v>
      </c>
    </row>
    <row r="101" spans="2:6" x14ac:dyDescent="0.3">
      <c r="B101" s="66" t="s">
        <v>201</v>
      </c>
      <c r="C101" s="66" t="s">
        <v>319</v>
      </c>
      <c r="D101" s="63">
        <v>470</v>
      </c>
      <c r="E101" s="63">
        <v>1609</v>
      </c>
      <c r="F101" s="64">
        <v>662</v>
      </c>
    </row>
    <row r="102" spans="2:6" x14ac:dyDescent="0.3">
      <c r="B102" s="66" t="s">
        <v>201</v>
      </c>
      <c r="C102" s="66" t="s">
        <v>320</v>
      </c>
      <c r="D102" s="63">
        <v>651</v>
      </c>
      <c r="E102" s="63">
        <v>2120</v>
      </c>
      <c r="F102" s="64">
        <v>824</v>
      </c>
    </row>
    <row r="103" spans="2:6" x14ac:dyDescent="0.3">
      <c r="B103" s="66" t="s">
        <v>201</v>
      </c>
      <c r="C103" s="66" t="s">
        <v>321</v>
      </c>
      <c r="D103" s="63">
        <v>757</v>
      </c>
      <c r="E103" s="63">
        <v>2498</v>
      </c>
      <c r="F103" s="64">
        <v>846</v>
      </c>
    </row>
    <row r="104" spans="2:6" x14ac:dyDescent="0.3">
      <c r="B104" s="66" t="s">
        <v>201</v>
      </c>
      <c r="C104" s="66" t="s">
        <v>322</v>
      </c>
      <c r="D104" s="63">
        <v>526</v>
      </c>
      <c r="E104" s="63">
        <v>1902</v>
      </c>
      <c r="F104" s="64">
        <v>743</v>
      </c>
    </row>
    <row r="105" spans="2:6" x14ac:dyDescent="0.3">
      <c r="B105" s="66" t="s">
        <v>201</v>
      </c>
      <c r="C105" s="66" t="s">
        <v>323</v>
      </c>
      <c r="D105" s="63">
        <v>196</v>
      </c>
      <c r="E105" s="63">
        <v>994</v>
      </c>
      <c r="F105" s="64">
        <v>477</v>
      </c>
    </row>
    <row r="106" spans="2:6" x14ac:dyDescent="0.3">
      <c r="B106" s="66" t="s">
        <v>201</v>
      </c>
      <c r="C106" s="66" t="s">
        <v>324</v>
      </c>
      <c r="D106" s="63">
        <v>260</v>
      </c>
      <c r="E106" s="63">
        <v>1010</v>
      </c>
      <c r="F106" s="64">
        <v>575</v>
      </c>
    </row>
    <row r="107" spans="2:6" x14ac:dyDescent="0.3">
      <c r="B107" s="66" t="s">
        <v>201</v>
      </c>
      <c r="C107" s="66" t="s">
        <v>325</v>
      </c>
      <c r="D107" s="63">
        <v>192</v>
      </c>
      <c r="E107" s="63">
        <v>899</v>
      </c>
      <c r="F107" s="64">
        <v>369</v>
      </c>
    </row>
    <row r="108" spans="2:6" x14ac:dyDescent="0.3">
      <c r="B108" s="66" t="s">
        <v>201</v>
      </c>
      <c r="C108" s="66" t="s">
        <v>326</v>
      </c>
      <c r="D108" s="63">
        <v>177</v>
      </c>
      <c r="E108" s="63">
        <v>284</v>
      </c>
      <c r="F108" s="64">
        <v>174</v>
      </c>
    </row>
    <row r="109" spans="2:6" x14ac:dyDescent="0.3">
      <c r="B109" s="66" t="s">
        <v>201</v>
      </c>
      <c r="C109" s="66" t="s">
        <v>327</v>
      </c>
      <c r="D109" s="63">
        <v>741</v>
      </c>
      <c r="E109" s="63">
        <v>1781</v>
      </c>
      <c r="F109" s="64">
        <v>1028</v>
      </c>
    </row>
    <row r="110" spans="2:6" x14ac:dyDescent="0.3">
      <c r="B110" s="66" t="s">
        <v>201</v>
      </c>
      <c r="C110" s="66" t="s">
        <v>328</v>
      </c>
      <c r="D110" s="63">
        <v>174</v>
      </c>
      <c r="E110" s="63">
        <v>773</v>
      </c>
      <c r="F110" s="64">
        <v>237</v>
      </c>
    </row>
    <row r="111" spans="2:6" x14ac:dyDescent="0.3">
      <c r="B111" s="66" t="s">
        <v>201</v>
      </c>
      <c r="C111" s="66" t="s">
        <v>329</v>
      </c>
      <c r="D111" s="63">
        <v>94</v>
      </c>
      <c r="E111" s="63">
        <v>769</v>
      </c>
      <c r="F111" s="64">
        <v>228</v>
      </c>
    </row>
    <row r="112" spans="2:6" x14ac:dyDescent="0.3">
      <c r="B112" s="66" t="s">
        <v>201</v>
      </c>
      <c r="C112" s="66" t="s">
        <v>330</v>
      </c>
      <c r="D112" s="63">
        <v>197</v>
      </c>
      <c r="E112" s="63">
        <v>837</v>
      </c>
      <c r="F112" s="64">
        <v>434</v>
      </c>
    </row>
    <row r="113" spans="2:6" x14ac:dyDescent="0.3">
      <c r="B113" s="66" t="s">
        <v>201</v>
      </c>
      <c r="C113" s="66" t="s">
        <v>331</v>
      </c>
      <c r="D113" s="63">
        <v>318</v>
      </c>
      <c r="E113" s="63">
        <v>1120</v>
      </c>
      <c r="F113" s="64">
        <v>444</v>
      </c>
    </row>
    <row r="114" spans="2:6" x14ac:dyDescent="0.3">
      <c r="B114" s="66" t="s">
        <v>201</v>
      </c>
      <c r="C114" s="66" t="s">
        <v>332</v>
      </c>
      <c r="D114" s="63">
        <v>82</v>
      </c>
      <c r="E114" s="63">
        <v>723</v>
      </c>
      <c r="F114" s="64">
        <v>204</v>
      </c>
    </row>
    <row r="115" spans="2:6" x14ac:dyDescent="0.3">
      <c r="B115" s="66" t="s">
        <v>201</v>
      </c>
      <c r="C115" s="66" t="s">
        <v>333</v>
      </c>
      <c r="D115" s="63">
        <v>206</v>
      </c>
      <c r="E115" s="63">
        <v>550</v>
      </c>
      <c r="F115" s="64">
        <v>229</v>
      </c>
    </row>
    <row r="116" spans="2:6" x14ac:dyDescent="0.3">
      <c r="B116" s="66" t="s">
        <v>201</v>
      </c>
      <c r="C116" s="66" t="s">
        <v>334</v>
      </c>
      <c r="D116" s="63">
        <v>390</v>
      </c>
      <c r="E116" s="63">
        <v>1297</v>
      </c>
      <c r="F116" s="64">
        <v>456</v>
      </c>
    </row>
    <row r="117" spans="2:6" x14ac:dyDescent="0.3">
      <c r="B117" s="66" t="s">
        <v>201</v>
      </c>
      <c r="C117" s="66" t="s">
        <v>335</v>
      </c>
      <c r="D117" s="63">
        <v>111</v>
      </c>
      <c r="E117" s="63">
        <v>1160</v>
      </c>
      <c r="F117" s="64">
        <v>282</v>
      </c>
    </row>
    <row r="118" spans="2:6" x14ac:dyDescent="0.3">
      <c r="B118" s="66" t="s">
        <v>201</v>
      </c>
      <c r="C118" s="66" t="s">
        <v>336</v>
      </c>
      <c r="D118" s="63">
        <v>522</v>
      </c>
      <c r="E118" s="63">
        <v>1667</v>
      </c>
      <c r="F118" s="64">
        <v>556</v>
      </c>
    </row>
    <row r="119" spans="2:6" x14ac:dyDescent="0.3">
      <c r="B119" s="66" t="s">
        <v>201</v>
      </c>
      <c r="C119" s="66" t="s">
        <v>337</v>
      </c>
      <c r="D119" s="63">
        <v>278</v>
      </c>
      <c r="E119" s="63">
        <v>1091</v>
      </c>
      <c r="F119" s="64">
        <v>505</v>
      </c>
    </row>
    <row r="120" spans="2:6" x14ac:dyDescent="0.3">
      <c r="B120" s="66" t="s">
        <v>201</v>
      </c>
      <c r="C120" s="66" t="s">
        <v>338</v>
      </c>
      <c r="D120" s="63">
        <v>0</v>
      </c>
      <c r="E120" s="63">
        <v>0</v>
      </c>
      <c r="F120" s="64">
        <v>0</v>
      </c>
    </row>
    <row r="121" spans="2:6" x14ac:dyDescent="0.3">
      <c r="B121" s="66" t="s">
        <v>201</v>
      </c>
      <c r="C121" s="66" t="s">
        <v>339</v>
      </c>
      <c r="D121" s="63">
        <v>120</v>
      </c>
      <c r="E121" s="63">
        <v>1335</v>
      </c>
      <c r="F121" s="64">
        <v>289</v>
      </c>
    </row>
    <row r="122" spans="2:6" x14ac:dyDescent="0.3">
      <c r="B122" s="66" t="s">
        <v>201</v>
      </c>
      <c r="C122" s="66" t="s">
        <v>340</v>
      </c>
      <c r="D122" s="63">
        <v>316</v>
      </c>
      <c r="E122" s="63">
        <v>1028</v>
      </c>
      <c r="F122" s="64">
        <v>505</v>
      </c>
    </row>
    <row r="123" spans="2:6" x14ac:dyDescent="0.3">
      <c r="B123" s="66" t="s">
        <v>201</v>
      </c>
      <c r="C123" s="66" t="s">
        <v>341</v>
      </c>
      <c r="D123" s="63">
        <v>446</v>
      </c>
      <c r="E123" s="63">
        <v>1763</v>
      </c>
      <c r="F123" s="64">
        <v>527</v>
      </c>
    </row>
    <row r="124" spans="2:6" x14ac:dyDescent="0.3">
      <c r="B124" s="66" t="s">
        <v>201</v>
      </c>
      <c r="C124" s="66" t="s">
        <v>342</v>
      </c>
      <c r="D124" s="63">
        <v>0</v>
      </c>
      <c r="E124" s="63">
        <v>0</v>
      </c>
      <c r="F124" s="64">
        <v>0</v>
      </c>
    </row>
    <row r="125" spans="2:6" x14ac:dyDescent="0.3">
      <c r="B125" s="66" t="s">
        <v>201</v>
      </c>
      <c r="C125" s="66" t="s">
        <v>343</v>
      </c>
      <c r="D125" s="63">
        <v>254</v>
      </c>
      <c r="E125" s="63">
        <v>642</v>
      </c>
      <c r="F125" s="64">
        <v>308</v>
      </c>
    </row>
    <row r="126" spans="2:6" x14ac:dyDescent="0.3">
      <c r="B126" s="66" t="s">
        <v>201</v>
      </c>
      <c r="C126" s="66" t="s">
        <v>344</v>
      </c>
      <c r="D126" s="63">
        <v>157</v>
      </c>
      <c r="E126" s="63">
        <v>440</v>
      </c>
      <c r="F126" s="64">
        <v>436</v>
      </c>
    </row>
    <row r="127" spans="2:6" x14ac:dyDescent="0.3">
      <c r="B127" s="66" t="s">
        <v>201</v>
      </c>
      <c r="C127" s="66" t="s">
        <v>345</v>
      </c>
      <c r="D127" s="63">
        <v>788</v>
      </c>
      <c r="E127" s="63">
        <v>988</v>
      </c>
      <c r="F127" s="64">
        <v>673</v>
      </c>
    </row>
    <row r="128" spans="2:6" x14ac:dyDescent="0.3">
      <c r="B128" s="66" t="s">
        <v>201</v>
      </c>
      <c r="C128" s="66" t="s">
        <v>346</v>
      </c>
      <c r="D128" s="63">
        <v>398</v>
      </c>
      <c r="E128" s="63">
        <v>454</v>
      </c>
      <c r="F128" s="64">
        <v>333</v>
      </c>
    </row>
    <row r="129" spans="2:6" x14ac:dyDescent="0.3">
      <c r="B129" s="66" t="s">
        <v>201</v>
      </c>
      <c r="C129" s="66" t="s">
        <v>347</v>
      </c>
      <c r="D129" s="63">
        <v>796</v>
      </c>
      <c r="E129" s="63">
        <v>912</v>
      </c>
      <c r="F129" s="64">
        <v>687</v>
      </c>
    </row>
    <row r="130" spans="2:6" x14ac:dyDescent="0.3">
      <c r="B130" s="66" t="s">
        <v>201</v>
      </c>
      <c r="C130" s="66" t="s">
        <v>348</v>
      </c>
      <c r="D130" s="63">
        <v>633</v>
      </c>
      <c r="E130" s="63">
        <v>1349</v>
      </c>
      <c r="F130" s="64">
        <v>564</v>
      </c>
    </row>
    <row r="131" spans="2:6" x14ac:dyDescent="0.3">
      <c r="B131" s="66" t="s">
        <v>201</v>
      </c>
      <c r="C131" s="66" t="s">
        <v>349</v>
      </c>
      <c r="D131" s="63">
        <v>1018</v>
      </c>
      <c r="E131" s="63">
        <v>1622</v>
      </c>
      <c r="F131" s="64">
        <v>826</v>
      </c>
    </row>
    <row r="132" spans="2:6" x14ac:dyDescent="0.3">
      <c r="B132" s="66" t="s">
        <v>201</v>
      </c>
      <c r="C132" s="66" t="s">
        <v>350</v>
      </c>
      <c r="D132" s="63">
        <v>356</v>
      </c>
      <c r="E132" s="63">
        <v>429</v>
      </c>
      <c r="F132" s="64">
        <v>621</v>
      </c>
    </row>
    <row r="133" spans="2:6" x14ac:dyDescent="0.3">
      <c r="B133" s="66" t="s">
        <v>201</v>
      </c>
      <c r="C133" s="66" t="s">
        <v>351</v>
      </c>
      <c r="D133" s="63">
        <v>1173</v>
      </c>
      <c r="E133" s="63">
        <v>1342</v>
      </c>
      <c r="F133" s="64">
        <v>605</v>
      </c>
    </row>
    <row r="134" spans="2:6" x14ac:dyDescent="0.3">
      <c r="B134" s="66" t="s">
        <v>201</v>
      </c>
      <c r="C134" s="66" t="s">
        <v>352</v>
      </c>
      <c r="D134" s="63">
        <v>729</v>
      </c>
      <c r="E134" s="63">
        <v>1085</v>
      </c>
      <c r="F134" s="64">
        <v>838</v>
      </c>
    </row>
    <row r="135" spans="2:6" x14ac:dyDescent="0.3">
      <c r="B135" s="66" t="s">
        <v>201</v>
      </c>
      <c r="C135" s="66" t="s">
        <v>353</v>
      </c>
      <c r="D135" s="63">
        <v>935</v>
      </c>
      <c r="E135" s="63">
        <v>1436</v>
      </c>
      <c r="F135" s="64">
        <v>1237</v>
      </c>
    </row>
    <row r="136" spans="2:6" x14ac:dyDescent="0.3">
      <c r="B136" s="66" t="s">
        <v>201</v>
      </c>
      <c r="C136" s="66" t="s">
        <v>354</v>
      </c>
      <c r="D136" s="63">
        <v>930</v>
      </c>
      <c r="E136" s="63">
        <v>1328</v>
      </c>
      <c r="F136" s="64">
        <v>1024</v>
      </c>
    </row>
    <row r="137" spans="2:6" x14ac:dyDescent="0.3">
      <c r="B137" s="66" t="s">
        <v>201</v>
      </c>
      <c r="C137" s="66" t="s">
        <v>355</v>
      </c>
      <c r="D137" s="63">
        <v>1207</v>
      </c>
      <c r="E137" s="63">
        <v>1863</v>
      </c>
      <c r="F137" s="64">
        <v>1375</v>
      </c>
    </row>
    <row r="138" spans="2:6" x14ac:dyDescent="0.3">
      <c r="B138" s="66" t="s">
        <v>201</v>
      </c>
      <c r="C138" s="66" t="s">
        <v>356</v>
      </c>
      <c r="D138" s="63">
        <v>1089</v>
      </c>
      <c r="E138" s="63">
        <v>1554</v>
      </c>
      <c r="F138" s="64">
        <v>945</v>
      </c>
    </row>
    <row r="139" spans="2:6" x14ac:dyDescent="0.3">
      <c r="B139" s="66" t="s">
        <v>201</v>
      </c>
      <c r="C139" s="66" t="s">
        <v>357</v>
      </c>
      <c r="D139" s="63">
        <v>1179</v>
      </c>
      <c r="E139" s="63">
        <v>1541</v>
      </c>
      <c r="F139" s="64">
        <v>1136</v>
      </c>
    </row>
    <row r="140" spans="2:6" x14ac:dyDescent="0.3">
      <c r="B140" s="66" t="s">
        <v>201</v>
      </c>
      <c r="C140" s="66" t="s">
        <v>358</v>
      </c>
      <c r="D140" s="63">
        <v>646</v>
      </c>
      <c r="E140" s="63">
        <v>1144</v>
      </c>
      <c r="F140" s="64">
        <v>1027</v>
      </c>
    </row>
    <row r="141" spans="2:6" x14ac:dyDescent="0.3">
      <c r="B141" s="66" t="s">
        <v>201</v>
      </c>
      <c r="C141" s="66" t="s">
        <v>359</v>
      </c>
      <c r="D141" s="63">
        <v>689</v>
      </c>
      <c r="E141" s="63">
        <v>1352</v>
      </c>
      <c r="F141" s="64">
        <v>777</v>
      </c>
    </row>
    <row r="142" spans="2:6" x14ac:dyDescent="0.3">
      <c r="B142" s="66" t="s">
        <v>201</v>
      </c>
      <c r="C142" s="66" t="s">
        <v>360</v>
      </c>
      <c r="D142" s="63">
        <v>92</v>
      </c>
      <c r="E142" s="63">
        <v>1393</v>
      </c>
      <c r="F142" s="64">
        <v>295</v>
      </c>
    </row>
    <row r="143" spans="2:6" x14ac:dyDescent="0.3">
      <c r="B143" s="66" t="s">
        <v>201</v>
      </c>
      <c r="C143" s="66" t="s">
        <v>361</v>
      </c>
      <c r="D143" s="63">
        <v>361</v>
      </c>
      <c r="E143" s="63">
        <v>4109</v>
      </c>
      <c r="F143" s="64">
        <v>761</v>
      </c>
    </row>
    <row r="144" spans="2:6" x14ac:dyDescent="0.3">
      <c r="B144" s="66" t="s">
        <v>201</v>
      </c>
      <c r="C144" s="66" t="s">
        <v>362</v>
      </c>
      <c r="D144" s="63">
        <v>148</v>
      </c>
      <c r="E144" s="63">
        <v>1510</v>
      </c>
      <c r="F144" s="64">
        <v>300</v>
      </c>
    </row>
    <row r="145" spans="2:6" x14ac:dyDescent="0.3">
      <c r="B145" s="66" t="s">
        <v>201</v>
      </c>
      <c r="C145" s="66" t="s">
        <v>363</v>
      </c>
      <c r="D145" s="63">
        <v>367</v>
      </c>
      <c r="E145" s="63">
        <v>1942</v>
      </c>
      <c r="F145" s="64">
        <v>817</v>
      </c>
    </row>
    <row r="146" spans="2:6" x14ac:dyDescent="0.3">
      <c r="B146" s="66" t="s">
        <v>201</v>
      </c>
      <c r="C146" s="66" t="s">
        <v>364</v>
      </c>
      <c r="D146" s="63">
        <v>96</v>
      </c>
      <c r="E146" s="63">
        <v>249</v>
      </c>
      <c r="F146" s="64">
        <v>191</v>
      </c>
    </row>
    <row r="147" spans="2:6" x14ac:dyDescent="0.3">
      <c r="B147" s="66" t="s">
        <v>201</v>
      </c>
      <c r="C147" s="66" t="s">
        <v>365</v>
      </c>
      <c r="D147" s="63">
        <v>104</v>
      </c>
      <c r="E147" s="63">
        <v>281</v>
      </c>
      <c r="F147" s="64">
        <v>241</v>
      </c>
    </row>
    <row r="148" spans="2:6" x14ac:dyDescent="0.3">
      <c r="B148" s="66" t="s">
        <v>201</v>
      </c>
      <c r="C148" s="66" t="s">
        <v>366</v>
      </c>
      <c r="D148" s="63">
        <v>152</v>
      </c>
      <c r="E148" s="63">
        <v>225</v>
      </c>
      <c r="F148" s="64">
        <v>215</v>
      </c>
    </row>
    <row r="149" spans="2:6" x14ac:dyDescent="0.3">
      <c r="B149" s="66" t="s">
        <v>201</v>
      </c>
      <c r="C149" s="66" t="s">
        <v>367</v>
      </c>
      <c r="D149" s="63">
        <v>661</v>
      </c>
      <c r="E149" s="63">
        <v>1509</v>
      </c>
      <c r="F149" s="64">
        <v>818</v>
      </c>
    </row>
    <row r="150" spans="2:6" x14ac:dyDescent="0.3">
      <c r="B150" s="66" t="s">
        <v>201</v>
      </c>
      <c r="C150" s="66" t="s">
        <v>368</v>
      </c>
      <c r="D150" s="63">
        <v>417</v>
      </c>
      <c r="E150" s="63">
        <v>591</v>
      </c>
      <c r="F150" s="64">
        <v>414</v>
      </c>
    </row>
    <row r="151" spans="2:6" x14ac:dyDescent="0.3">
      <c r="B151" s="66" t="s">
        <v>201</v>
      </c>
      <c r="C151" s="66" t="s">
        <v>369</v>
      </c>
      <c r="D151" s="63">
        <v>588</v>
      </c>
      <c r="E151" s="63">
        <v>1036</v>
      </c>
      <c r="F151" s="64">
        <v>725</v>
      </c>
    </row>
    <row r="152" spans="2:6" x14ac:dyDescent="0.3">
      <c r="B152" s="66" t="s">
        <v>201</v>
      </c>
      <c r="C152" s="66" t="s">
        <v>370</v>
      </c>
      <c r="D152" s="63">
        <v>99</v>
      </c>
      <c r="E152" s="63">
        <v>566</v>
      </c>
      <c r="F152" s="64">
        <v>200</v>
      </c>
    </row>
    <row r="153" spans="2:6" x14ac:dyDescent="0.3">
      <c r="B153" s="66" t="s">
        <v>201</v>
      </c>
      <c r="C153" s="66" t="s">
        <v>371</v>
      </c>
      <c r="D153" s="63">
        <v>1113</v>
      </c>
      <c r="E153" s="63">
        <v>1539</v>
      </c>
      <c r="F153" s="64">
        <v>1209</v>
      </c>
    </row>
    <row r="154" spans="2:6" x14ac:dyDescent="0.3">
      <c r="B154" s="66" t="s">
        <v>201</v>
      </c>
      <c r="C154" s="66" t="s">
        <v>372</v>
      </c>
      <c r="D154" s="63">
        <v>1462</v>
      </c>
      <c r="E154" s="63">
        <v>1993</v>
      </c>
      <c r="F154" s="64">
        <v>1444</v>
      </c>
    </row>
    <row r="155" spans="2:6" x14ac:dyDescent="0.3">
      <c r="B155" s="66" t="s">
        <v>201</v>
      </c>
      <c r="C155" s="66" t="s">
        <v>373</v>
      </c>
      <c r="D155" s="63">
        <v>1094</v>
      </c>
      <c r="E155" s="63">
        <v>1924</v>
      </c>
      <c r="F155" s="64">
        <v>1466</v>
      </c>
    </row>
    <row r="156" spans="2:6" x14ac:dyDescent="0.3">
      <c r="B156" s="66" t="s">
        <v>201</v>
      </c>
      <c r="C156" s="66" t="s">
        <v>374</v>
      </c>
      <c r="D156" s="63">
        <v>924</v>
      </c>
      <c r="E156" s="63">
        <v>1799</v>
      </c>
      <c r="F156" s="64">
        <v>1269</v>
      </c>
    </row>
    <row r="157" spans="2:6" x14ac:dyDescent="0.3">
      <c r="B157" s="66" t="s">
        <v>201</v>
      </c>
      <c r="C157" s="66" t="s">
        <v>375</v>
      </c>
      <c r="D157" s="63">
        <v>0</v>
      </c>
      <c r="E157" s="63">
        <v>0</v>
      </c>
      <c r="F157" s="64">
        <v>0</v>
      </c>
    </row>
    <row r="158" spans="2:6" x14ac:dyDescent="0.3">
      <c r="B158" s="66" t="s">
        <v>201</v>
      </c>
      <c r="C158" s="66" t="s">
        <v>376</v>
      </c>
      <c r="D158" s="63">
        <v>296</v>
      </c>
      <c r="E158" s="63">
        <v>443</v>
      </c>
      <c r="F158" s="64">
        <v>157</v>
      </c>
    </row>
    <row r="159" spans="2:6" x14ac:dyDescent="0.3">
      <c r="B159" s="66" t="s">
        <v>201</v>
      </c>
      <c r="C159" s="66" t="s">
        <v>377</v>
      </c>
      <c r="D159" s="63">
        <v>858</v>
      </c>
      <c r="E159" s="63">
        <v>1562</v>
      </c>
      <c r="F159" s="64">
        <v>832</v>
      </c>
    </row>
    <row r="160" spans="2:6" x14ac:dyDescent="0.3">
      <c r="B160" s="66" t="s">
        <v>201</v>
      </c>
      <c r="C160" s="66" t="s">
        <v>378</v>
      </c>
      <c r="D160" s="63">
        <v>487</v>
      </c>
      <c r="E160" s="63">
        <v>821</v>
      </c>
      <c r="F160" s="64">
        <v>556</v>
      </c>
    </row>
    <row r="161" spans="2:6" x14ac:dyDescent="0.3">
      <c r="B161" s="66" t="s">
        <v>201</v>
      </c>
      <c r="C161" s="66" t="s">
        <v>379</v>
      </c>
      <c r="D161" s="63">
        <v>985</v>
      </c>
      <c r="E161" s="63">
        <v>2100</v>
      </c>
      <c r="F161" s="64">
        <v>1402</v>
      </c>
    </row>
    <row r="162" spans="2:6" x14ac:dyDescent="0.3">
      <c r="B162" s="66" t="s">
        <v>201</v>
      </c>
      <c r="C162" s="66" t="s">
        <v>380</v>
      </c>
      <c r="D162" s="63">
        <v>430</v>
      </c>
      <c r="E162" s="63">
        <v>976</v>
      </c>
      <c r="F162" s="64">
        <v>616</v>
      </c>
    </row>
    <row r="163" spans="2:6" x14ac:dyDescent="0.3">
      <c r="B163" s="66" t="s">
        <v>201</v>
      </c>
      <c r="C163" s="66" t="s">
        <v>381</v>
      </c>
      <c r="D163" s="63">
        <v>11</v>
      </c>
      <c r="E163" s="63">
        <v>4</v>
      </c>
      <c r="F163" s="64">
        <v>351</v>
      </c>
    </row>
    <row r="164" spans="2:6" x14ac:dyDescent="0.3">
      <c r="B164" s="66" t="s">
        <v>201</v>
      </c>
      <c r="C164" s="66" t="s">
        <v>382</v>
      </c>
      <c r="D164" s="63">
        <v>370</v>
      </c>
      <c r="E164" s="63">
        <v>480</v>
      </c>
      <c r="F164" s="64">
        <v>398</v>
      </c>
    </row>
    <row r="165" spans="2:6" x14ac:dyDescent="0.3">
      <c r="B165" s="66" t="s">
        <v>201</v>
      </c>
      <c r="C165" s="66" t="s">
        <v>383</v>
      </c>
      <c r="D165" s="63">
        <v>778</v>
      </c>
      <c r="E165" s="63">
        <v>1343</v>
      </c>
      <c r="F165" s="64">
        <v>1071</v>
      </c>
    </row>
    <row r="166" spans="2:6" x14ac:dyDescent="0.3">
      <c r="B166" s="66" t="s">
        <v>201</v>
      </c>
      <c r="C166" s="66" t="s">
        <v>384</v>
      </c>
      <c r="D166" s="63">
        <v>783</v>
      </c>
      <c r="E166" s="63">
        <v>1429</v>
      </c>
      <c r="F166" s="64">
        <v>1018</v>
      </c>
    </row>
    <row r="167" spans="2:6" x14ac:dyDescent="0.3">
      <c r="B167" s="66" t="s">
        <v>201</v>
      </c>
      <c r="C167" s="66" t="s">
        <v>385</v>
      </c>
      <c r="D167" s="63">
        <v>1376</v>
      </c>
      <c r="E167" s="63">
        <v>2314</v>
      </c>
      <c r="F167" s="64">
        <v>1440</v>
      </c>
    </row>
    <row r="168" spans="2:6" x14ac:dyDescent="0.3">
      <c r="B168" s="66" t="s">
        <v>201</v>
      </c>
      <c r="C168" s="66" t="s">
        <v>386</v>
      </c>
      <c r="D168" s="63">
        <v>717</v>
      </c>
      <c r="E168" s="63">
        <v>1732</v>
      </c>
      <c r="F168" s="64">
        <v>1623</v>
      </c>
    </row>
    <row r="169" spans="2:6" x14ac:dyDescent="0.3">
      <c r="B169" s="66" t="s">
        <v>201</v>
      </c>
      <c r="C169" s="66" t="s">
        <v>387</v>
      </c>
      <c r="D169" s="63">
        <v>301</v>
      </c>
      <c r="E169" s="63">
        <v>720</v>
      </c>
      <c r="F169" s="64">
        <v>629</v>
      </c>
    </row>
    <row r="170" spans="2:6" x14ac:dyDescent="0.3">
      <c r="B170" s="66" t="s">
        <v>201</v>
      </c>
      <c r="C170" s="66" t="s">
        <v>388</v>
      </c>
      <c r="D170" s="63">
        <v>179</v>
      </c>
      <c r="E170" s="63">
        <v>303</v>
      </c>
      <c r="F170" s="64">
        <v>258</v>
      </c>
    </row>
    <row r="171" spans="2:6" x14ac:dyDescent="0.3">
      <c r="B171" s="66" t="s">
        <v>201</v>
      </c>
      <c r="C171" s="66" t="s">
        <v>389</v>
      </c>
      <c r="D171" s="63">
        <v>919</v>
      </c>
      <c r="E171" s="63">
        <v>1445</v>
      </c>
      <c r="F171" s="64">
        <v>1250</v>
      </c>
    </row>
    <row r="172" spans="2:6" x14ac:dyDescent="0.3">
      <c r="B172" s="66" t="s">
        <v>201</v>
      </c>
      <c r="C172" s="66" t="s">
        <v>390</v>
      </c>
      <c r="D172" s="63">
        <v>396</v>
      </c>
      <c r="E172" s="63">
        <v>704</v>
      </c>
      <c r="F172" s="64">
        <v>712</v>
      </c>
    </row>
    <row r="173" spans="2:6" x14ac:dyDescent="0.3">
      <c r="B173" s="66" t="s">
        <v>201</v>
      </c>
      <c r="C173" s="66" t="s">
        <v>391</v>
      </c>
      <c r="D173" s="63">
        <v>387</v>
      </c>
      <c r="E173" s="63">
        <v>735</v>
      </c>
      <c r="F173" s="64">
        <v>677</v>
      </c>
    </row>
    <row r="174" spans="2:6" x14ac:dyDescent="0.3">
      <c r="B174" s="66" t="s">
        <v>201</v>
      </c>
      <c r="C174" s="66" t="s">
        <v>392</v>
      </c>
      <c r="D174" s="63">
        <v>869</v>
      </c>
      <c r="E174" s="63">
        <v>1267</v>
      </c>
      <c r="F174" s="64">
        <v>801</v>
      </c>
    </row>
    <row r="175" spans="2:6" x14ac:dyDescent="0.3">
      <c r="B175" s="66" t="s">
        <v>201</v>
      </c>
      <c r="C175" s="66" t="s">
        <v>393</v>
      </c>
      <c r="D175" s="63">
        <v>1500</v>
      </c>
      <c r="E175" s="63">
        <v>2104</v>
      </c>
      <c r="F175" s="64">
        <v>1570</v>
      </c>
    </row>
    <row r="176" spans="2:6" x14ac:dyDescent="0.3">
      <c r="B176" s="66" t="s">
        <v>201</v>
      </c>
      <c r="C176" s="66" t="s">
        <v>394</v>
      </c>
      <c r="D176" s="63">
        <v>1064</v>
      </c>
      <c r="E176" s="63">
        <v>1509</v>
      </c>
      <c r="F176" s="64">
        <v>1126</v>
      </c>
    </row>
    <row r="177" spans="2:6" x14ac:dyDescent="0.3">
      <c r="B177" s="66" t="s">
        <v>201</v>
      </c>
      <c r="C177" s="66" t="s">
        <v>395</v>
      </c>
      <c r="D177" s="63">
        <v>1272</v>
      </c>
      <c r="E177" s="63">
        <v>2058</v>
      </c>
      <c r="F177" s="64">
        <v>1702</v>
      </c>
    </row>
    <row r="178" spans="2:6" x14ac:dyDescent="0.3">
      <c r="B178" s="66" t="s">
        <v>201</v>
      </c>
      <c r="C178" s="66" t="s">
        <v>396</v>
      </c>
      <c r="D178" s="63">
        <v>916</v>
      </c>
      <c r="E178" s="63">
        <v>1326</v>
      </c>
      <c r="F178" s="64">
        <v>840</v>
      </c>
    </row>
    <row r="179" spans="2:6" x14ac:dyDescent="0.3">
      <c r="B179" s="66" t="s">
        <v>201</v>
      </c>
      <c r="C179" s="66" t="s">
        <v>397</v>
      </c>
      <c r="D179" s="63">
        <v>877</v>
      </c>
      <c r="E179" s="63">
        <v>1498</v>
      </c>
      <c r="F179" s="64">
        <v>1274</v>
      </c>
    </row>
    <row r="180" spans="2:6" x14ac:dyDescent="0.3">
      <c r="B180" s="66" t="s">
        <v>201</v>
      </c>
      <c r="C180" s="66" t="s">
        <v>398</v>
      </c>
      <c r="D180" s="63">
        <v>716</v>
      </c>
      <c r="E180" s="63">
        <v>1119</v>
      </c>
      <c r="F180" s="64">
        <v>837</v>
      </c>
    </row>
    <row r="181" spans="2:6" x14ac:dyDescent="0.3">
      <c r="B181" s="66" t="s">
        <v>201</v>
      </c>
      <c r="C181" s="66" t="s">
        <v>399</v>
      </c>
      <c r="D181" s="63">
        <v>772</v>
      </c>
      <c r="E181" s="63">
        <v>1410</v>
      </c>
      <c r="F181" s="64">
        <v>1199</v>
      </c>
    </row>
    <row r="182" spans="2:6" x14ac:dyDescent="0.3">
      <c r="B182" s="66" t="s">
        <v>201</v>
      </c>
      <c r="C182" s="66" t="s">
        <v>400</v>
      </c>
      <c r="D182" s="63">
        <v>1190</v>
      </c>
      <c r="E182" s="63">
        <v>1969</v>
      </c>
      <c r="F182" s="64">
        <v>1597</v>
      </c>
    </row>
  </sheetData>
  <mergeCells count="1">
    <mergeCell ref="D23:F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49A0-C56C-46F2-B777-4193562E975F}">
  <dimension ref="A1:I21"/>
  <sheetViews>
    <sheetView workbookViewId="0">
      <selection activeCell="L18" sqref="L18"/>
    </sheetView>
  </sheetViews>
  <sheetFormatPr defaultRowHeight="14.4" x14ac:dyDescent="0.3"/>
  <sheetData>
    <row r="1" spans="1:7" x14ac:dyDescent="0.3">
      <c r="A1" s="71" t="s">
        <v>401</v>
      </c>
      <c r="B1" s="71" t="s">
        <v>402</v>
      </c>
      <c r="C1" s="71" t="s">
        <v>403</v>
      </c>
      <c r="D1" s="71" t="s">
        <v>404</v>
      </c>
      <c r="E1" s="70"/>
      <c r="F1" s="70"/>
      <c r="G1" s="70"/>
    </row>
    <row r="2" spans="1:7" x14ac:dyDescent="0.3">
      <c r="A2" s="72">
        <v>1</v>
      </c>
      <c r="B2" s="73">
        <v>8000</v>
      </c>
      <c r="C2" s="72" t="s">
        <v>405</v>
      </c>
      <c r="D2" s="72">
        <v>10</v>
      </c>
      <c r="E2" s="70"/>
      <c r="F2" s="70"/>
      <c r="G2" s="70"/>
    </row>
    <row r="3" spans="1:7" x14ac:dyDescent="0.3">
      <c r="A3" s="72">
        <v>2</v>
      </c>
      <c r="B3" s="73">
        <v>11000</v>
      </c>
      <c r="C3" s="72" t="s">
        <v>405</v>
      </c>
      <c r="D3" s="72">
        <v>9</v>
      </c>
      <c r="E3" s="70"/>
      <c r="F3" s="70"/>
      <c r="G3" s="70"/>
    </row>
    <row r="4" spans="1:7" x14ac:dyDescent="0.3">
      <c r="A4" s="72">
        <v>3</v>
      </c>
      <c r="B4" s="73">
        <v>6000</v>
      </c>
      <c r="C4" s="72" t="s">
        <v>406</v>
      </c>
      <c r="D4" s="72">
        <v>5</v>
      </c>
      <c r="E4" s="70"/>
      <c r="F4" s="70"/>
      <c r="G4" s="70"/>
    </row>
    <row r="5" spans="1:7" x14ac:dyDescent="0.3">
      <c r="A5" s="72">
        <v>4</v>
      </c>
      <c r="B5" s="73">
        <v>15000</v>
      </c>
      <c r="C5" s="72" t="s">
        <v>405</v>
      </c>
      <c r="D5" s="72">
        <v>10</v>
      </c>
      <c r="E5" s="70"/>
      <c r="F5" s="70"/>
      <c r="G5" s="70"/>
    </row>
    <row r="6" spans="1:7" x14ac:dyDescent="0.3">
      <c r="A6" s="72">
        <v>5</v>
      </c>
      <c r="B6" s="73">
        <v>10000</v>
      </c>
      <c r="C6" s="72" t="s">
        <v>406</v>
      </c>
      <c r="D6" s="72">
        <v>2</v>
      </c>
      <c r="E6" s="70"/>
      <c r="F6" s="70"/>
      <c r="G6" s="70"/>
    </row>
    <row r="7" spans="1:7" x14ac:dyDescent="0.3">
      <c r="A7" s="72">
        <v>6</v>
      </c>
      <c r="B7" s="73">
        <v>15000</v>
      </c>
      <c r="C7" s="72" t="s">
        <v>405</v>
      </c>
      <c r="D7" s="72">
        <v>5</v>
      </c>
      <c r="E7" s="70"/>
      <c r="F7" s="70"/>
      <c r="G7" s="70"/>
    </row>
    <row r="8" spans="1:7" x14ac:dyDescent="0.3">
      <c r="A8" s="72">
        <v>7</v>
      </c>
      <c r="B8" s="73">
        <v>13000</v>
      </c>
      <c r="C8" s="72" t="s">
        <v>405</v>
      </c>
      <c r="D8" s="72">
        <v>999</v>
      </c>
      <c r="E8" s="70"/>
      <c r="F8" s="70"/>
      <c r="G8" s="70"/>
    </row>
    <row r="9" spans="1:7" x14ac:dyDescent="0.3">
      <c r="A9" s="72">
        <v>8</v>
      </c>
      <c r="B9" s="73">
        <v>8000</v>
      </c>
      <c r="C9" s="72" t="s">
        <v>405</v>
      </c>
      <c r="D9" s="72">
        <v>2</v>
      </c>
      <c r="E9" s="70"/>
      <c r="F9" s="70"/>
      <c r="G9" s="70"/>
    </row>
    <row r="10" spans="1:7" x14ac:dyDescent="0.3">
      <c r="A10" s="72">
        <v>9</v>
      </c>
      <c r="B10" s="73">
        <v>11000</v>
      </c>
      <c r="C10" s="72" t="s">
        <v>406</v>
      </c>
      <c r="D10" s="72">
        <v>5</v>
      </c>
      <c r="E10" s="70"/>
      <c r="F10" s="70"/>
      <c r="G10" s="70"/>
    </row>
    <row r="11" spans="1:7" x14ac:dyDescent="0.3">
      <c r="A11" s="72">
        <v>10</v>
      </c>
      <c r="B11" s="73">
        <v>9000</v>
      </c>
      <c r="C11" s="72" t="s">
        <v>405</v>
      </c>
      <c r="D11" s="72">
        <v>6</v>
      </c>
      <c r="E11" s="70"/>
      <c r="F11" s="70"/>
      <c r="G11" s="70"/>
    </row>
    <row r="14" spans="1:7" ht="15" thickBot="1" x14ac:dyDescent="0.35">
      <c r="A14" s="74" t="s">
        <v>407</v>
      </c>
      <c r="B14" s="70"/>
      <c r="C14" s="70"/>
      <c r="D14" s="70"/>
      <c r="E14" s="70"/>
      <c r="F14" s="70"/>
      <c r="G14" s="70"/>
    </row>
    <row r="15" spans="1:7" ht="15" thickBot="1" x14ac:dyDescent="0.35">
      <c r="A15" s="70" t="s">
        <v>408</v>
      </c>
      <c r="B15" s="70"/>
      <c r="C15" s="70"/>
      <c r="D15" s="70"/>
      <c r="E15" s="70"/>
      <c r="F15" s="70"/>
      <c r="G15" s="75">
        <f>SUMIF(C1:C11,"YES",B1:B11)</f>
        <v>79000</v>
      </c>
    </row>
    <row r="16" spans="1:7" ht="15" thickBot="1" x14ac:dyDescent="0.35">
      <c r="A16" s="70" t="s">
        <v>409</v>
      </c>
      <c r="B16" s="70"/>
      <c r="C16" s="70"/>
      <c r="D16" s="70"/>
      <c r="E16" s="70"/>
      <c r="F16" s="70"/>
      <c r="G16" s="75">
        <f>SUMIF(C1:C11,"no",B1:B11)</f>
        <v>27000</v>
      </c>
    </row>
    <row r="17" spans="1:9" ht="15" thickBot="1" x14ac:dyDescent="0.35">
      <c r="A17" s="70"/>
      <c r="B17" s="70"/>
      <c r="C17" s="70"/>
      <c r="D17" s="70"/>
      <c r="E17" s="70"/>
      <c r="F17" s="70"/>
      <c r="G17" s="70"/>
    </row>
    <row r="18" spans="1:9" ht="15" thickBot="1" x14ac:dyDescent="0.35">
      <c r="A18" s="70" t="s">
        <v>410</v>
      </c>
      <c r="B18" s="70"/>
      <c r="C18" s="70"/>
      <c r="D18" s="70"/>
      <c r="E18" s="70"/>
      <c r="F18" s="70"/>
      <c r="G18" s="105"/>
      <c r="I18" s="14">
        <f>SUMIF(B1:B11,"&gt;10000",D1:D11)</f>
        <v>1028</v>
      </c>
    </row>
    <row r="19" spans="1:9" ht="15" thickBot="1" x14ac:dyDescent="0.35">
      <c r="A19" s="70"/>
      <c r="B19" s="70"/>
      <c r="C19" s="70"/>
      <c r="D19" s="70"/>
      <c r="E19" s="70"/>
      <c r="F19" s="70"/>
      <c r="G19" s="70"/>
    </row>
    <row r="20" spans="1:9" ht="15" thickBot="1" x14ac:dyDescent="0.35">
      <c r="A20" s="70" t="s">
        <v>411</v>
      </c>
      <c r="B20" s="70"/>
      <c r="C20" s="70"/>
      <c r="D20" s="70"/>
      <c r="E20" s="70"/>
      <c r="F20" s="70"/>
      <c r="G20" s="75">
        <f>SUMIF(B1:B11,"&gt;10000")</f>
        <v>65000</v>
      </c>
    </row>
    <row r="21" spans="1:9" ht="15" thickBot="1" x14ac:dyDescent="0.35">
      <c r="A21" s="70" t="s">
        <v>412</v>
      </c>
      <c r="B21" s="70"/>
      <c r="C21" s="70"/>
      <c r="D21" s="70"/>
      <c r="E21" s="70"/>
      <c r="F21" s="70"/>
      <c r="G21" s="75">
        <f>SUMIF(B1:B11,"&lt;9500")</f>
        <v>31000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1EE5-B1E2-40B3-8E5F-A5968546D28E}">
  <dimension ref="A1:J48"/>
  <sheetViews>
    <sheetView tabSelected="1" workbookViewId="0">
      <selection activeCell="B18" sqref="B18"/>
    </sheetView>
  </sheetViews>
  <sheetFormatPr defaultRowHeight="14.4" x14ac:dyDescent="0.3"/>
  <cols>
    <col min="1" max="1" width="19.6640625" customWidth="1"/>
    <col min="2" max="2" width="11.88671875" bestFit="1" customWidth="1"/>
  </cols>
  <sheetData>
    <row r="1" spans="1:4" x14ac:dyDescent="0.3">
      <c r="A1" s="76" t="s">
        <v>413</v>
      </c>
      <c r="B1" s="70"/>
      <c r="C1" s="70"/>
      <c r="D1" s="70"/>
    </row>
    <row r="2" spans="1:4" x14ac:dyDescent="0.3">
      <c r="A2" s="77" t="s">
        <v>1</v>
      </c>
      <c r="B2" s="77" t="s">
        <v>414</v>
      </c>
      <c r="C2" s="77" t="s">
        <v>195</v>
      </c>
      <c r="D2" s="77" t="s">
        <v>415</v>
      </c>
    </row>
    <row r="3" spans="1:4" x14ac:dyDescent="0.3">
      <c r="A3" s="78" t="s">
        <v>416</v>
      </c>
      <c r="B3" s="78" t="s">
        <v>417</v>
      </c>
      <c r="C3" s="78" t="s">
        <v>203</v>
      </c>
      <c r="D3" s="78">
        <v>28</v>
      </c>
    </row>
    <row r="4" spans="1:4" x14ac:dyDescent="0.3">
      <c r="A4" s="78" t="s">
        <v>418</v>
      </c>
      <c r="B4" s="78" t="s">
        <v>419</v>
      </c>
      <c r="C4" s="78" t="s">
        <v>420</v>
      </c>
      <c r="D4" s="78">
        <v>8</v>
      </c>
    </row>
    <row r="5" spans="1:4" x14ac:dyDescent="0.3">
      <c r="A5" s="78" t="s">
        <v>421</v>
      </c>
      <c r="B5" s="78" t="s">
        <v>422</v>
      </c>
      <c r="C5" s="78" t="s">
        <v>203</v>
      </c>
      <c r="D5" s="78">
        <v>19</v>
      </c>
    </row>
    <row r="6" spans="1:4" x14ac:dyDescent="0.3">
      <c r="A6" s="78" t="s">
        <v>423</v>
      </c>
      <c r="B6" s="78" t="s">
        <v>424</v>
      </c>
      <c r="C6" s="78" t="s">
        <v>205</v>
      </c>
      <c r="D6" s="78">
        <v>2</v>
      </c>
    </row>
    <row r="7" spans="1:4" x14ac:dyDescent="0.3">
      <c r="A7" s="78" t="s">
        <v>425</v>
      </c>
      <c r="B7" s="78" t="s">
        <v>422</v>
      </c>
      <c r="C7" s="78" t="s">
        <v>209</v>
      </c>
      <c r="D7" s="78">
        <v>5</v>
      </c>
    </row>
    <row r="8" spans="1:4" x14ac:dyDescent="0.3">
      <c r="A8" s="78" t="s">
        <v>426</v>
      </c>
      <c r="B8" s="78" t="s">
        <v>419</v>
      </c>
      <c r="C8" s="78" t="s">
        <v>203</v>
      </c>
      <c r="D8" s="78">
        <v>9</v>
      </c>
    </row>
    <row r="9" spans="1:4" x14ac:dyDescent="0.3">
      <c r="A9" s="78" t="s">
        <v>427</v>
      </c>
      <c r="B9" s="78" t="s">
        <v>422</v>
      </c>
      <c r="C9" s="78" t="s">
        <v>428</v>
      </c>
      <c r="D9" s="78">
        <v>18</v>
      </c>
    </row>
    <row r="10" spans="1:4" x14ac:dyDescent="0.3">
      <c r="A10" s="78" t="s">
        <v>429</v>
      </c>
      <c r="B10" s="78" t="s">
        <v>417</v>
      </c>
      <c r="C10" s="78" t="s">
        <v>203</v>
      </c>
      <c r="D10" s="78">
        <v>11</v>
      </c>
    </row>
    <row r="11" spans="1:4" x14ac:dyDescent="0.3">
      <c r="A11" s="78" t="s">
        <v>430</v>
      </c>
      <c r="B11" s="78" t="s">
        <v>424</v>
      </c>
      <c r="C11" s="78" t="s">
        <v>431</v>
      </c>
      <c r="D11" s="78">
        <v>3</v>
      </c>
    </row>
    <row r="12" spans="1:4" x14ac:dyDescent="0.3">
      <c r="A12" s="78" t="s">
        <v>432</v>
      </c>
      <c r="B12" s="78" t="s">
        <v>419</v>
      </c>
      <c r="C12" s="78" t="s">
        <v>198</v>
      </c>
      <c r="D12" s="78">
        <v>15</v>
      </c>
    </row>
    <row r="14" spans="1:4" x14ac:dyDescent="0.3">
      <c r="A14" s="79" t="s">
        <v>433</v>
      </c>
      <c r="B14" s="70"/>
      <c r="C14" s="70"/>
      <c r="D14" s="84" t="s">
        <v>434</v>
      </c>
    </row>
    <row r="16" spans="1:4" x14ac:dyDescent="0.3">
      <c r="A16" s="80" t="s">
        <v>435</v>
      </c>
      <c r="B16" s="70"/>
      <c r="C16" s="70"/>
      <c r="D16" s="70"/>
    </row>
    <row r="17" spans="1:10" x14ac:dyDescent="0.3">
      <c r="A17" s="70"/>
      <c r="B17" s="81" t="s">
        <v>436</v>
      </c>
      <c r="C17" s="81"/>
      <c r="D17" s="70"/>
      <c r="E17" s="70"/>
      <c r="F17" s="70"/>
      <c r="G17" s="70"/>
      <c r="H17" s="70"/>
      <c r="I17" s="70"/>
      <c r="J17" s="70"/>
    </row>
    <row r="18" spans="1:10" x14ac:dyDescent="0.3">
      <c r="A18" s="82" t="s">
        <v>87</v>
      </c>
      <c r="B18" s="104">
        <f>SUMIFS(D3:D12,C3:C12,"USA",B3:B12,"Athletics")</f>
        <v>9</v>
      </c>
      <c r="C18" s="70"/>
      <c r="D18" s="70"/>
      <c r="E18" s="70"/>
      <c r="F18" s="70"/>
      <c r="G18" s="70"/>
      <c r="H18" s="70"/>
      <c r="I18" s="70"/>
    </row>
    <row r="21" spans="1:10" x14ac:dyDescent="0.3">
      <c r="A21" s="70"/>
      <c r="B21" s="70"/>
      <c r="C21" s="70"/>
      <c r="D21" s="70"/>
    </row>
    <row r="22" spans="1:10" x14ac:dyDescent="0.3">
      <c r="A22" s="80" t="s">
        <v>437</v>
      </c>
      <c r="B22" s="70"/>
      <c r="C22" s="70"/>
      <c r="D22" s="70"/>
    </row>
    <row r="23" spans="1:10" x14ac:dyDescent="0.3">
      <c r="A23" s="70"/>
      <c r="B23" s="81" t="s">
        <v>436</v>
      </c>
      <c r="C23" s="81"/>
      <c r="D23" s="70"/>
    </row>
    <row r="24" spans="1:10" x14ac:dyDescent="0.3">
      <c r="A24" s="82" t="s">
        <v>87</v>
      </c>
      <c r="B24" s="104">
        <f>SUMIF(B2:B12,"Figure Skating",D2:D12)</f>
        <v>5</v>
      </c>
      <c r="C24" s="70"/>
      <c r="D24" s="70"/>
    </row>
    <row r="26" spans="1:10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</row>
    <row r="28" spans="1:10" x14ac:dyDescent="0.3">
      <c r="A28" s="70"/>
      <c r="B28" s="70"/>
      <c r="C28" s="70"/>
      <c r="D28" s="70"/>
      <c r="E28" s="70"/>
    </row>
    <row r="29" spans="1:10" x14ac:dyDescent="0.3">
      <c r="A29" s="80" t="s">
        <v>438</v>
      </c>
      <c r="B29" s="70"/>
      <c r="C29" s="70"/>
      <c r="D29" s="70"/>
      <c r="E29" s="70"/>
    </row>
    <row r="30" spans="1:10" x14ac:dyDescent="0.3">
      <c r="A30" s="70"/>
      <c r="B30" s="81" t="s">
        <v>436</v>
      </c>
      <c r="C30" s="81"/>
      <c r="D30" s="70"/>
      <c r="E30" s="70"/>
    </row>
    <row r="31" spans="1:10" x14ac:dyDescent="0.3">
      <c r="A31" s="82" t="s">
        <v>87</v>
      </c>
      <c r="B31" s="83">
        <f>SUMIF(C2:C12,"USA",D2:D12)+SUMIF(C2:C12,"Jamaica",D2:D12)</f>
        <v>75</v>
      </c>
      <c r="C31" s="70"/>
      <c r="D31" s="70"/>
      <c r="E31" s="70"/>
    </row>
    <row r="37" spans="1:10" x14ac:dyDescent="0.3">
      <c r="A37" s="70"/>
      <c r="B37" s="70"/>
      <c r="C37" s="70"/>
      <c r="D37" s="70"/>
      <c r="E37" s="70"/>
      <c r="F37" s="70"/>
      <c r="G37" s="70"/>
      <c r="H37" s="70"/>
      <c r="I37" s="70"/>
      <c r="J37" s="70"/>
    </row>
    <row r="48" spans="1:10" x14ac:dyDescent="0.3">
      <c r="A48" s="70"/>
      <c r="B48" s="70"/>
      <c r="C48" s="70"/>
      <c r="D48" s="70"/>
      <c r="E48" s="70"/>
      <c r="F48" s="70"/>
      <c r="G48" s="70"/>
      <c r="H48" s="70"/>
      <c r="I48" s="70"/>
      <c r="J48" s="70"/>
    </row>
  </sheetData>
  <hyperlinks>
    <hyperlink ref="D14" location="'SUMIF2  Answers'!A1" display="'SUMIF2  Answers'!A1" xr:uid="{DA230318-6F6E-4078-8B08-884F2CFE2295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57DA-7B53-4FA1-8CE5-EDDAD27C668E}">
  <dimension ref="A1:H27"/>
  <sheetViews>
    <sheetView topLeftCell="A2" workbookViewId="0">
      <selection activeCell="B11" sqref="B11"/>
    </sheetView>
  </sheetViews>
  <sheetFormatPr defaultRowHeight="14.4" x14ac:dyDescent="0.3"/>
  <cols>
    <col min="1" max="1" width="14.88671875" customWidth="1"/>
    <col min="7" max="7" width="15.5546875" customWidth="1"/>
  </cols>
  <sheetData>
    <row r="1" spans="1:8" x14ac:dyDescent="0.3">
      <c r="A1" s="70" t="s">
        <v>439</v>
      </c>
      <c r="B1" s="70"/>
      <c r="C1" s="70"/>
      <c r="D1" s="70"/>
      <c r="E1" s="70"/>
      <c r="F1" s="70"/>
      <c r="G1" s="70"/>
      <c r="H1" s="70"/>
    </row>
    <row r="2" spans="1:8" x14ac:dyDescent="0.3">
      <c r="A2" s="70" t="s">
        <v>440</v>
      </c>
      <c r="B2" s="70"/>
      <c r="C2" s="70"/>
      <c r="D2" s="70"/>
      <c r="E2" s="70"/>
      <c r="F2" s="70"/>
      <c r="G2" s="70"/>
      <c r="H2" s="70"/>
    </row>
    <row r="4" spans="1:8" x14ac:dyDescent="0.3">
      <c r="A4" s="70"/>
      <c r="B4" s="70"/>
      <c r="C4" s="70"/>
      <c r="D4" s="70"/>
      <c r="E4" s="70"/>
      <c r="F4" s="70"/>
      <c r="G4" s="74" t="s">
        <v>441</v>
      </c>
      <c r="H4" s="70"/>
    </row>
    <row r="6" spans="1:8" ht="28.8" x14ac:dyDescent="0.3">
      <c r="A6" s="70"/>
      <c r="B6" s="70"/>
      <c r="C6" s="70"/>
      <c r="D6" s="70"/>
      <c r="E6" s="70"/>
      <c r="F6" s="70"/>
      <c r="G6" s="88" t="s">
        <v>197</v>
      </c>
      <c r="H6" s="88" t="s">
        <v>442</v>
      </c>
    </row>
    <row r="7" spans="1:8" x14ac:dyDescent="0.3">
      <c r="A7" s="74" t="s">
        <v>197</v>
      </c>
      <c r="B7" s="74" t="s">
        <v>442</v>
      </c>
      <c r="C7" s="70"/>
      <c r="D7" s="70"/>
      <c r="E7" s="70"/>
      <c r="F7" s="70"/>
      <c r="G7" s="85">
        <v>44197</v>
      </c>
      <c r="H7" s="87">
        <v>1.3671</v>
      </c>
    </row>
    <row r="8" spans="1:8" x14ac:dyDescent="0.3">
      <c r="A8" s="86">
        <v>44201</v>
      </c>
      <c r="B8" s="89">
        <f>VLOOKUP(A8,G6:H27,2,FALSE)</f>
        <v>1.3624000000000001</v>
      </c>
      <c r="C8" s="70"/>
      <c r="D8" s="70"/>
      <c r="E8" s="70"/>
      <c r="F8" s="70"/>
      <c r="G8" s="85">
        <v>44200</v>
      </c>
      <c r="H8" s="87">
        <v>1.3569</v>
      </c>
    </row>
    <row r="9" spans="1:8" x14ac:dyDescent="0.3">
      <c r="A9" s="86">
        <v>44211</v>
      </c>
      <c r="B9" s="89">
        <f>VLOOKUP(A9,G6:H27,2,FALSE)</f>
        <v>1.3586</v>
      </c>
      <c r="C9" s="70"/>
      <c r="D9" s="70"/>
      <c r="E9" s="70"/>
      <c r="F9" s="70"/>
      <c r="G9" s="85">
        <v>44201</v>
      </c>
      <c r="H9" s="87">
        <v>1.3624000000000001</v>
      </c>
    </row>
    <row r="10" spans="1:8" x14ac:dyDescent="0.3">
      <c r="A10" s="86">
        <v>44220</v>
      </c>
      <c r="B10" s="89">
        <f>VLOOKUP(A10,G6:H27,2,TRUE)</f>
        <v>1.3684000000000001</v>
      </c>
      <c r="C10" s="70"/>
      <c r="D10" s="70"/>
      <c r="E10" s="70"/>
      <c r="F10" s="70"/>
      <c r="G10" s="85">
        <v>44202</v>
      </c>
      <c r="H10" s="87">
        <v>1.3607</v>
      </c>
    </row>
    <row r="11" spans="1:8" x14ac:dyDescent="0.3">
      <c r="A11" s="70"/>
      <c r="B11" s="70"/>
      <c r="C11" s="70"/>
      <c r="D11" s="70"/>
      <c r="E11" s="70"/>
      <c r="F11" s="70"/>
      <c r="G11" s="85">
        <v>44203</v>
      </c>
      <c r="H11" s="87">
        <v>1.3563000000000001</v>
      </c>
    </row>
    <row r="12" spans="1:8" x14ac:dyDescent="0.3">
      <c r="A12" s="70"/>
      <c r="B12" s="70"/>
      <c r="C12" s="70"/>
      <c r="D12" s="70"/>
      <c r="E12" s="70"/>
      <c r="F12" s="70"/>
      <c r="G12" s="85">
        <v>44204</v>
      </c>
      <c r="H12" s="87">
        <v>1.3563000000000001</v>
      </c>
    </row>
    <row r="13" spans="1:8" x14ac:dyDescent="0.3">
      <c r="A13" s="70"/>
      <c r="B13" s="70"/>
      <c r="C13" s="70"/>
      <c r="D13" s="70"/>
      <c r="E13" s="70"/>
      <c r="F13" s="70"/>
      <c r="G13" s="85">
        <v>44207</v>
      </c>
      <c r="H13" s="87">
        <v>1.3513999999999999</v>
      </c>
    </row>
    <row r="14" spans="1:8" x14ac:dyDescent="0.3">
      <c r="A14" s="70"/>
      <c r="B14" s="70"/>
      <c r="C14" s="70"/>
      <c r="D14" s="70"/>
      <c r="E14" s="70"/>
      <c r="F14" s="70"/>
      <c r="G14" s="85">
        <v>44208</v>
      </c>
      <c r="H14" s="87">
        <v>1.3663000000000001</v>
      </c>
    </row>
    <row r="15" spans="1:8" x14ac:dyDescent="0.3">
      <c r="A15" s="70"/>
      <c r="B15" s="70"/>
      <c r="C15" s="70"/>
      <c r="D15" s="70"/>
      <c r="E15" s="70"/>
      <c r="F15" s="70"/>
      <c r="G15" s="85">
        <v>44209</v>
      </c>
      <c r="H15" s="87">
        <v>1.3636999999999999</v>
      </c>
    </row>
    <row r="16" spans="1:8" x14ac:dyDescent="0.3">
      <c r="A16" s="70"/>
      <c r="B16" s="70"/>
      <c r="C16" s="70"/>
      <c r="D16" s="70"/>
      <c r="E16" s="70"/>
      <c r="F16" s="70"/>
      <c r="G16" s="85">
        <v>44210</v>
      </c>
      <c r="H16" s="87">
        <v>1.3687</v>
      </c>
    </row>
    <row r="17" spans="7:8" x14ac:dyDescent="0.3">
      <c r="G17" s="85">
        <v>44211</v>
      </c>
      <c r="H17" s="87">
        <v>1.3586</v>
      </c>
    </row>
    <row r="18" spans="7:8" x14ac:dyDescent="0.3">
      <c r="G18" s="85">
        <v>44214</v>
      </c>
      <c r="H18" s="87">
        <v>1.3584000000000001</v>
      </c>
    </row>
    <row r="19" spans="7:8" x14ac:dyDescent="0.3">
      <c r="G19" s="85">
        <v>44215</v>
      </c>
      <c r="H19" s="87">
        <v>1.3628</v>
      </c>
    </row>
    <row r="20" spans="7:8" x14ac:dyDescent="0.3">
      <c r="G20" s="85">
        <v>44216</v>
      </c>
      <c r="H20" s="87">
        <v>1.3653</v>
      </c>
    </row>
    <row r="21" spans="7:8" x14ac:dyDescent="0.3">
      <c r="G21" s="85">
        <v>44217</v>
      </c>
      <c r="H21" s="87">
        <v>1.3732</v>
      </c>
    </row>
    <row r="22" spans="7:8" x14ac:dyDescent="0.3">
      <c r="G22" s="85">
        <v>44218</v>
      </c>
      <c r="H22" s="87">
        <v>1.3684000000000001</v>
      </c>
    </row>
    <row r="23" spans="7:8" x14ac:dyDescent="0.3">
      <c r="G23" s="85">
        <v>44221</v>
      </c>
      <c r="H23" s="87">
        <v>1.3673999999999999</v>
      </c>
    </row>
    <row r="24" spans="7:8" x14ac:dyDescent="0.3">
      <c r="G24" s="85">
        <v>44222</v>
      </c>
      <c r="H24" s="87">
        <v>1.3733</v>
      </c>
    </row>
    <row r="25" spans="7:8" x14ac:dyDescent="0.3">
      <c r="G25" s="85">
        <v>44223</v>
      </c>
      <c r="H25" s="87">
        <v>1.3686</v>
      </c>
    </row>
    <row r="26" spans="7:8" x14ac:dyDescent="0.3">
      <c r="G26" s="85">
        <v>44224</v>
      </c>
      <c r="H26" s="87">
        <v>1.3717999999999999</v>
      </c>
    </row>
    <row r="27" spans="7:8" x14ac:dyDescent="0.3">
      <c r="G27" s="85">
        <v>44225</v>
      </c>
      <c r="H27" s="87">
        <v>1.3702000000000001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33EC-6A2F-4DE5-8733-45A6777149DB}">
  <dimension ref="A1:G34"/>
  <sheetViews>
    <sheetView topLeftCell="A5" workbookViewId="0">
      <selection activeCell="B34" sqref="B34"/>
    </sheetView>
  </sheetViews>
  <sheetFormatPr defaultRowHeight="14.4" x14ac:dyDescent="0.3"/>
  <cols>
    <col min="1" max="1" width="13.6640625" customWidth="1"/>
    <col min="2" max="2" width="15.88671875" bestFit="1" customWidth="1"/>
    <col min="3" max="3" width="17" customWidth="1"/>
    <col min="4" max="4" width="6.109375" bestFit="1" customWidth="1"/>
  </cols>
  <sheetData>
    <row r="1" spans="1:5" x14ac:dyDescent="0.3">
      <c r="A1" s="129" t="s">
        <v>443</v>
      </c>
      <c r="B1" s="130"/>
      <c r="C1" s="130"/>
      <c r="D1" s="130"/>
      <c r="E1" s="90"/>
    </row>
    <row r="2" spans="1:5" x14ac:dyDescent="0.3">
      <c r="A2" s="90"/>
      <c r="B2" s="90"/>
      <c r="C2" s="90"/>
      <c r="D2" s="90"/>
      <c r="E2" s="90"/>
    </row>
    <row r="3" spans="1:5" x14ac:dyDescent="0.3">
      <c r="A3" s="91" t="s">
        <v>66</v>
      </c>
      <c r="B3" s="92" t="s">
        <v>1</v>
      </c>
      <c r="C3" s="92" t="s">
        <v>444</v>
      </c>
      <c r="D3" s="92" t="s">
        <v>83</v>
      </c>
      <c r="E3" s="92" t="s">
        <v>445</v>
      </c>
    </row>
    <row r="4" spans="1:5" x14ac:dyDescent="0.3">
      <c r="A4" s="93">
        <v>56815</v>
      </c>
      <c r="B4" s="94" t="s">
        <v>446</v>
      </c>
      <c r="C4" s="94" t="s">
        <v>447</v>
      </c>
      <c r="D4" s="95">
        <v>13836</v>
      </c>
      <c r="E4" s="95">
        <v>25</v>
      </c>
    </row>
    <row r="5" spans="1:5" x14ac:dyDescent="0.3">
      <c r="A5" s="93">
        <v>51186</v>
      </c>
      <c r="B5" s="94" t="s">
        <v>448</v>
      </c>
      <c r="C5" s="94" t="s">
        <v>204</v>
      </c>
      <c r="D5" s="95">
        <v>11771</v>
      </c>
      <c r="E5" s="95">
        <v>32</v>
      </c>
    </row>
    <row r="6" spans="1:5" x14ac:dyDescent="0.3">
      <c r="A6" s="93">
        <v>51511</v>
      </c>
      <c r="B6" s="94" t="s">
        <v>449</v>
      </c>
      <c r="C6" s="94" t="s">
        <v>199</v>
      </c>
      <c r="D6" s="95">
        <v>13046</v>
      </c>
      <c r="E6" s="95">
        <v>35</v>
      </c>
    </row>
    <row r="7" spans="1:5" x14ac:dyDescent="0.3">
      <c r="A7" s="93">
        <v>50890</v>
      </c>
      <c r="B7" s="94" t="s">
        <v>450</v>
      </c>
      <c r="C7" s="94" t="s">
        <v>208</v>
      </c>
      <c r="D7" s="95">
        <v>18276</v>
      </c>
      <c r="E7" s="95">
        <v>32</v>
      </c>
    </row>
    <row r="8" spans="1:5" x14ac:dyDescent="0.3">
      <c r="A8" s="93">
        <v>53700</v>
      </c>
      <c r="B8" s="94" t="s">
        <v>451</v>
      </c>
      <c r="C8" s="94" t="s">
        <v>207</v>
      </c>
      <c r="D8" s="95">
        <v>19327</v>
      </c>
      <c r="E8" s="95">
        <v>26</v>
      </c>
    </row>
    <row r="9" spans="1:5" x14ac:dyDescent="0.3">
      <c r="A9" s="93">
        <v>55879</v>
      </c>
      <c r="B9" s="94" t="s">
        <v>452</v>
      </c>
      <c r="C9" s="94" t="s">
        <v>202</v>
      </c>
      <c r="D9" s="95">
        <v>18996</v>
      </c>
      <c r="E9" s="95">
        <v>35</v>
      </c>
    </row>
    <row r="10" spans="1:5" x14ac:dyDescent="0.3">
      <c r="A10" s="93">
        <v>59848</v>
      </c>
      <c r="B10" s="94" t="s">
        <v>453</v>
      </c>
      <c r="C10" s="94" t="s">
        <v>199</v>
      </c>
      <c r="D10" s="95">
        <v>10387</v>
      </c>
      <c r="E10" s="95">
        <v>25</v>
      </c>
    </row>
    <row r="11" spans="1:5" x14ac:dyDescent="0.3">
      <c r="A11" s="93">
        <v>58369</v>
      </c>
      <c r="B11" s="94" t="s">
        <v>210</v>
      </c>
      <c r="C11" s="94" t="s">
        <v>202</v>
      </c>
      <c r="D11" s="95">
        <v>12566</v>
      </c>
      <c r="E11" s="95">
        <v>37</v>
      </c>
    </row>
    <row r="12" spans="1:5" x14ac:dyDescent="0.3">
      <c r="A12" s="93">
        <v>50217</v>
      </c>
      <c r="B12" s="94" t="s">
        <v>454</v>
      </c>
      <c r="C12" s="94" t="s">
        <v>206</v>
      </c>
      <c r="D12" s="95">
        <v>16406</v>
      </c>
      <c r="E12" s="95">
        <v>42</v>
      </c>
    </row>
    <row r="13" spans="1:5" x14ac:dyDescent="0.3">
      <c r="A13" s="93">
        <v>50695</v>
      </c>
      <c r="B13" s="94" t="s">
        <v>455</v>
      </c>
      <c r="C13" s="94" t="s">
        <v>208</v>
      </c>
      <c r="D13" s="95">
        <v>15784</v>
      </c>
      <c r="E13" s="95">
        <v>43</v>
      </c>
    </row>
    <row r="14" spans="1:5" x14ac:dyDescent="0.3">
      <c r="A14" s="93">
        <v>59673</v>
      </c>
      <c r="B14" s="94" t="s">
        <v>456</v>
      </c>
      <c r="C14" s="94" t="s">
        <v>447</v>
      </c>
      <c r="D14" s="95">
        <v>10959</v>
      </c>
      <c r="E14" s="95">
        <v>30</v>
      </c>
    </row>
    <row r="15" spans="1:5" x14ac:dyDescent="0.3">
      <c r="A15" s="93">
        <v>52130</v>
      </c>
      <c r="B15" s="94" t="s">
        <v>457</v>
      </c>
      <c r="C15" s="94" t="s">
        <v>200</v>
      </c>
      <c r="D15" s="95">
        <v>14562</v>
      </c>
      <c r="E15" s="95">
        <v>32</v>
      </c>
    </row>
    <row r="16" spans="1:5" x14ac:dyDescent="0.3">
      <c r="A16" s="90"/>
      <c r="B16" s="90"/>
      <c r="C16" s="90"/>
      <c r="D16" s="90"/>
      <c r="E16" s="90"/>
    </row>
    <row r="17" spans="1:7" x14ac:dyDescent="0.3">
      <c r="A17" s="90" t="s">
        <v>458</v>
      </c>
      <c r="D17" s="90"/>
      <c r="F17" s="132" t="str">
        <f>VLOOKUP(A11,A3:E15,2,FALSE)</f>
        <v>Thomas Davies</v>
      </c>
      <c r="G17" s="132"/>
    </row>
    <row r="18" spans="1:7" x14ac:dyDescent="0.3">
      <c r="A18" s="90"/>
      <c r="B18" s="90"/>
      <c r="C18" s="90"/>
      <c r="D18" s="90"/>
      <c r="E18" s="90"/>
    </row>
    <row r="19" spans="1:7" x14ac:dyDescent="0.3">
      <c r="A19" s="90" t="s">
        <v>459</v>
      </c>
      <c r="C19" s="90"/>
      <c r="D19" s="90"/>
      <c r="F19" s="132">
        <f>VLOOKUP(B14,B3:E15,4,FALSE)</f>
        <v>30</v>
      </c>
      <c r="G19" s="132"/>
    </row>
    <row r="20" spans="1:7" x14ac:dyDescent="0.3">
      <c r="A20" s="90"/>
      <c r="B20" s="90"/>
      <c r="C20" s="90"/>
      <c r="D20" s="90"/>
      <c r="E20" s="90"/>
    </row>
    <row r="21" spans="1:7" x14ac:dyDescent="0.3">
      <c r="A21" s="131" t="s">
        <v>460</v>
      </c>
      <c r="B21" s="130"/>
      <c r="C21" s="130"/>
      <c r="D21" s="90"/>
      <c r="E21" s="90"/>
    </row>
    <row r="22" spans="1:7" x14ac:dyDescent="0.3">
      <c r="A22" s="90"/>
      <c r="B22" s="90"/>
      <c r="C22" s="90"/>
      <c r="D22" s="90"/>
      <c r="E22" s="90"/>
    </row>
    <row r="23" spans="1:7" x14ac:dyDescent="0.3">
      <c r="A23" s="96" t="s">
        <v>66</v>
      </c>
      <c r="B23" s="97" t="s">
        <v>444</v>
      </c>
      <c r="C23" s="90"/>
      <c r="D23" s="90"/>
      <c r="E23" s="90"/>
    </row>
    <row r="24" spans="1:7" x14ac:dyDescent="0.3">
      <c r="A24" s="93">
        <v>55879</v>
      </c>
      <c r="B24" s="99" t="str">
        <f>VLOOKUP(A24,A3:E15,3,FALSE)</f>
        <v>Capetown</v>
      </c>
      <c r="C24" s="90"/>
      <c r="D24" s="90"/>
      <c r="E24" s="90"/>
    </row>
    <row r="25" spans="1:7" x14ac:dyDescent="0.3">
      <c r="A25" s="93">
        <v>50217</v>
      </c>
      <c r="B25" s="99" t="str">
        <f>VLOOKUP(A25,A3:E15,3,FALSE)</f>
        <v>Warsaw</v>
      </c>
      <c r="C25" s="90"/>
      <c r="D25" s="90"/>
      <c r="E25" s="90"/>
    </row>
    <row r="26" spans="1:7" x14ac:dyDescent="0.3">
      <c r="A26" s="93">
        <v>50695</v>
      </c>
      <c r="B26" s="99" t="str">
        <f>VLOOKUP(A26,A3:E15,3,FALSE)</f>
        <v>Cairo</v>
      </c>
      <c r="C26" s="90"/>
      <c r="D26" s="90"/>
      <c r="E26" s="90"/>
    </row>
    <row r="27" spans="1:7" x14ac:dyDescent="0.3">
      <c r="A27" s="90"/>
      <c r="B27" s="90"/>
      <c r="C27" s="90"/>
      <c r="D27" s="90"/>
      <c r="E27" s="90"/>
    </row>
    <row r="28" spans="1:7" x14ac:dyDescent="0.3">
      <c r="A28" s="131" t="s">
        <v>461</v>
      </c>
      <c r="B28" s="130"/>
      <c r="C28" s="130"/>
      <c r="D28" s="90"/>
      <c r="E28" s="90"/>
    </row>
    <row r="29" spans="1:7" x14ac:dyDescent="0.3">
      <c r="A29" s="90"/>
      <c r="B29" s="90"/>
      <c r="C29" s="90"/>
      <c r="D29" s="90"/>
      <c r="E29" s="90"/>
    </row>
    <row r="30" spans="1:7" x14ac:dyDescent="0.3">
      <c r="A30" s="96" t="s">
        <v>1</v>
      </c>
      <c r="B30" s="97" t="s">
        <v>83</v>
      </c>
      <c r="C30" s="90"/>
      <c r="D30" s="90"/>
      <c r="E30" s="90"/>
    </row>
    <row r="31" spans="1:7" x14ac:dyDescent="0.3">
      <c r="A31" s="98" t="s">
        <v>450</v>
      </c>
      <c r="B31" s="99">
        <f>VLOOKUP(A31,B3:E15,3,FALSE)</f>
        <v>18276</v>
      </c>
      <c r="C31" s="90"/>
      <c r="D31" s="90"/>
      <c r="E31" s="90"/>
    </row>
    <row r="32" spans="1:7" x14ac:dyDescent="0.3">
      <c r="A32" s="98" t="s">
        <v>462</v>
      </c>
      <c r="B32" s="99" t="e">
        <f>VLOOKUP(A32,B3:E15,3,FALSE)</f>
        <v>#N/A</v>
      </c>
      <c r="C32" s="90"/>
      <c r="D32" s="90"/>
      <c r="E32" s="90"/>
    </row>
    <row r="33" spans="1:5" x14ac:dyDescent="0.3">
      <c r="A33" s="98" t="s">
        <v>456</v>
      </c>
      <c r="B33" s="99">
        <f>VLOOKUP(A33,B3:E15,3,FALSE)</f>
        <v>10959</v>
      </c>
      <c r="C33" s="90"/>
      <c r="D33" s="90"/>
      <c r="E33" s="90"/>
    </row>
    <row r="34" spans="1:5" x14ac:dyDescent="0.3">
      <c r="A34" s="90"/>
      <c r="B34" s="90"/>
      <c r="C34" s="90"/>
      <c r="D34" s="90"/>
      <c r="E34" s="90"/>
    </row>
  </sheetData>
  <mergeCells count="5">
    <mergeCell ref="A1:D1"/>
    <mergeCell ref="A21:C21"/>
    <mergeCell ref="A28:C28"/>
    <mergeCell ref="F17:G17"/>
    <mergeCell ref="F19:G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B9F2-45FE-49BA-BD8E-EA1A1829B0AF}">
  <dimension ref="A1:J38"/>
  <sheetViews>
    <sheetView workbookViewId="0">
      <selection activeCell="K11" sqref="K11"/>
    </sheetView>
  </sheetViews>
  <sheetFormatPr defaultRowHeight="14.4" x14ac:dyDescent="0.3"/>
  <cols>
    <col min="1" max="1" width="14" customWidth="1"/>
    <col min="4" max="4" width="11.5546875" bestFit="1" customWidth="1"/>
  </cols>
  <sheetData>
    <row r="1" spans="1:6" x14ac:dyDescent="0.3">
      <c r="A1" s="82" t="s">
        <v>463</v>
      </c>
      <c r="B1" s="70"/>
      <c r="C1" s="70"/>
      <c r="D1" s="70"/>
      <c r="E1" s="70"/>
      <c r="F1" s="70"/>
    </row>
    <row r="2" spans="1:6" x14ac:dyDescent="0.3">
      <c r="A2" s="101" t="s">
        <v>1</v>
      </c>
      <c r="B2" s="101" t="s">
        <v>445</v>
      </c>
      <c r="C2" s="101" t="s">
        <v>464</v>
      </c>
      <c r="D2" s="101" t="s">
        <v>465</v>
      </c>
      <c r="E2" s="70"/>
      <c r="F2" s="70"/>
    </row>
    <row r="3" spans="1:6" x14ac:dyDescent="0.3">
      <c r="A3" s="102" t="s">
        <v>466</v>
      </c>
      <c r="B3" s="102">
        <v>35</v>
      </c>
      <c r="C3" s="102" t="s">
        <v>467</v>
      </c>
      <c r="D3" s="102" t="s">
        <v>468</v>
      </c>
      <c r="E3" s="70"/>
      <c r="F3" s="70"/>
    </row>
    <row r="4" spans="1:6" x14ac:dyDescent="0.3">
      <c r="A4" s="102" t="s">
        <v>469</v>
      </c>
      <c r="B4" s="102">
        <v>42</v>
      </c>
      <c r="C4" s="102" t="s">
        <v>470</v>
      </c>
      <c r="D4" s="102" t="s">
        <v>471</v>
      </c>
      <c r="E4" s="70"/>
      <c r="F4" s="70"/>
    </row>
    <row r="5" spans="1:6" x14ac:dyDescent="0.3">
      <c r="A5" s="102" t="s">
        <v>70</v>
      </c>
      <c r="B5" s="102">
        <v>28</v>
      </c>
      <c r="C5" s="102" t="s">
        <v>467</v>
      </c>
      <c r="D5" s="102" t="s">
        <v>472</v>
      </c>
      <c r="E5" s="70"/>
      <c r="F5" s="70"/>
    </row>
    <row r="6" spans="1:6" x14ac:dyDescent="0.3">
      <c r="A6" s="102" t="s">
        <v>473</v>
      </c>
      <c r="B6" s="102">
        <v>25</v>
      </c>
      <c r="C6" s="102" t="s">
        <v>470</v>
      </c>
      <c r="D6" s="102" t="s">
        <v>79</v>
      </c>
      <c r="E6" s="70"/>
      <c r="F6" s="70"/>
    </row>
    <row r="7" spans="1:6" x14ac:dyDescent="0.3">
      <c r="A7" s="102" t="s">
        <v>474</v>
      </c>
      <c r="B7" s="102">
        <v>31</v>
      </c>
      <c r="C7" s="102" t="s">
        <v>467</v>
      </c>
      <c r="D7" s="102" t="s">
        <v>80</v>
      </c>
      <c r="E7" s="70"/>
      <c r="F7" s="70"/>
    </row>
    <row r="8" spans="1:6" x14ac:dyDescent="0.3">
      <c r="A8" s="102" t="s">
        <v>475</v>
      </c>
      <c r="B8" s="102">
        <v>27</v>
      </c>
      <c r="C8" s="102" t="s">
        <v>470</v>
      </c>
      <c r="D8" s="102" t="s">
        <v>476</v>
      </c>
      <c r="E8" s="70"/>
      <c r="F8" s="70"/>
    </row>
    <row r="9" spans="1:6" x14ac:dyDescent="0.3">
      <c r="A9" s="102" t="s">
        <v>477</v>
      </c>
      <c r="B9" s="102">
        <v>38</v>
      </c>
      <c r="C9" s="102" t="s">
        <v>467</v>
      </c>
      <c r="D9" s="102" t="s">
        <v>478</v>
      </c>
      <c r="E9" s="70"/>
      <c r="F9" s="70"/>
    </row>
    <row r="10" spans="1:6" x14ac:dyDescent="0.3">
      <c r="A10" s="102" t="s">
        <v>479</v>
      </c>
      <c r="B10" s="102">
        <v>29</v>
      </c>
      <c r="C10" s="102" t="s">
        <v>470</v>
      </c>
      <c r="D10" s="102" t="s">
        <v>480</v>
      </c>
      <c r="E10" s="70"/>
      <c r="F10" s="70"/>
    </row>
    <row r="11" spans="1:6" x14ac:dyDescent="0.3">
      <c r="A11" s="102" t="s">
        <v>481</v>
      </c>
      <c r="B11" s="102">
        <v>45</v>
      </c>
      <c r="C11" s="102" t="s">
        <v>467</v>
      </c>
      <c r="D11" s="102" t="s">
        <v>482</v>
      </c>
      <c r="E11" s="70"/>
      <c r="F11" s="70"/>
    </row>
    <row r="12" spans="1:6" x14ac:dyDescent="0.3">
      <c r="A12" s="102" t="s">
        <v>483</v>
      </c>
      <c r="B12" s="102">
        <v>33</v>
      </c>
      <c r="C12" s="102" t="s">
        <v>470</v>
      </c>
      <c r="D12" s="102" t="s">
        <v>484</v>
      </c>
      <c r="E12" s="70"/>
      <c r="F12" s="70"/>
    </row>
    <row r="15" spans="1:6" x14ac:dyDescent="0.3">
      <c r="A15" s="103" t="s">
        <v>433</v>
      </c>
      <c r="B15" s="70"/>
      <c r="C15" s="70"/>
      <c r="D15" s="70"/>
      <c r="E15" s="70"/>
      <c r="F15" s="70"/>
    </row>
    <row r="16" spans="1:6" x14ac:dyDescent="0.3">
      <c r="B16" s="70"/>
      <c r="C16" s="70"/>
      <c r="D16" s="70"/>
      <c r="E16" s="70"/>
      <c r="F16" s="100" t="s">
        <v>485</v>
      </c>
    </row>
    <row r="17" spans="1:10" x14ac:dyDescent="0.3">
      <c r="A17" s="100" t="s">
        <v>486</v>
      </c>
      <c r="B17" s="70"/>
      <c r="C17" s="70"/>
      <c r="D17" s="70"/>
      <c r="E17" s="70"/>
      <c r="F17" s="70"/>
      <c r="G17" s="70"/>
      <c r="H17" s="70"/>
      <c r="I17" s="70"/>
      <c r="J17" s="70"/>
    </row>
    <row r="18" spans="1:10" x14ac:dyDescent="0.3">
      <c r="A18" s="70"/>
      <c r="B18" s="81" t="s">
        <v>436</v>
      </c>
      <c r="C18" s="81"/>
      <c r="D18" s="70"/>
      <c r="E18" s="70"/>
      <c r="F18" s="70"/>
      <c r="G18" s="70"/>
      <c r="H18" s="70"/>
      <c r="I18" s="70"/>
      <c r="J18" s="70"/>
    </row>
    <row r="19" spans="1:10" x14ac:dyDescent="0.3">
      <c r="A19" s="82" t="s">
        <v>87</v>
      </c>
      <c r="B19" s="70"/>
      <c r="C19" s="70"/>
      <c r="D19" s="104" t="str">
        <f>VLOOKUP(A4,A3:D12,4,FALSE)</f>
        <v>Data Scientist</v>
      </c>
      <c r="E19" s="70"/>
      <c r="F19" s="70"/>
      <c r="G19" s="70"/>
      <c r="H19" s="70"/>
      <c r="I19" s="70"/>
    </row>
    <row r="22" spans="1:10" x14ac:dyDescent="0.3">
      <c r="A22" s="100" t="s">
        <v>487</v>
      </c>
      <c r="B22" s="70"/>
      <c r="C22" s="70"/>
      <c r="D22" s="70"/>
      <c r="E22" s="70"/>
      <c r="F22" s="70"/>
    </row>
    <row r="23" spans="1:10" x14ac:dyDescent="0.3">
      <c r="A23" s="70"/>
      <c r="B23" s="81" t="s">
        <v>436</v>
      </c>
      <c r="C23" s="81"/>
      <c r="D23" s="70"/>
      <c r="E23" s="70"/>
      <c r="F23" s="70"/>
    </row>
    <row r="24" spans="1:10" x14ac:dyDescent="0.3">
      <c r="A24" s="82" t="s">
        <v>87</v>
      </c>
      <c r="B24" s="70"/>
      <c r="C24" s="70"/>
      <c r="D24" s="104">
        <f>VLOOKUP(A11,A3:D12,2,FALSE)</f>
        <v>45</v>
      </c>
    </row>
    <row r="27" spans="1:10" x14ac:dyDescent="0.3">
      <c r="A27" s="100" t="s">
        <v>488</v>
      </c>
      <c r="B27" s="70"/>
      <c r="C27" s="70"/>
      <c r="D27" s="70"/>
      <c r="E27" s="70"/>
      <c r="F27" s="70"/>
      <c r="G27" s="70"/>
      <c r="H27" s="70"/>
      <c r="I27" s="70"/>
      <c r="J27" s="70"/>
    </row>
    <row r="28" spans="1:10" x14ac:dyDescent="0.3">
      <c r="A28" s="70"/>
      <c r="B28" s="81" t="s">
        <v>436</v>
      </c>
      <c r="C28" s="81"/>
      <c r="D28" s="70"/>
      <c r="E28" s="70"/>
      <c r="F28" s="70"/>
      <c r="G28" s="70"/>
      <c r="H28" s="70"/>
      <c r="I28" s="70"/>
      <c r="J28" s="70"/>
    </row>
    <row r="29" spans="1:10" x14ac:dyDescent="0.3">
      <c r="A29" s="82" t="s">
        <v>87</v>
      </c>
      <c r="B29" s="70"/>
      <c r="C29" s="70"/>
      <c r="D29" s="104" t="str">
        <f>VLOOKUP("B*",A3:D12,4,FALSE)</f>
        <v>Accountant</v>
      </c>
      <c r="E29" s="70"/>
      <c r="F29" s="70"/>
      <c r="G29" s="70"/>
      <c r="H29" s="70"/>
      <c r="I29" s="70"/>
    </row>
    <row r="38" spans="1:10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B531-43F5-46A3-AD6C-D057E8BF3036}">
  <dimension ref="A1:D14"/>
  <sheetViews>
    <sheetView workbookViewId="0">
      <selection activeCell="L11" sqref="L11"/>
    </sheetView>
  </sheetViews>
  <sheetFormatPr defaultRowHeight="14.4" x14ac:dyDescent="0.3"/>
  <cols>
    <col min="1" max="1" width="7.5546875" bestFit="1" customWidth="1"/>
    <col min="2" max="2" width="5.33203125" bestFit="1" customWidth="1"/>
    <col min="3" max="3" width="9" bestFit="1" customWidth="1"/>
    <col min="4" max="4" width="8" bestFit="1" customWidth="1"/>
  </cols>
  <sheetData>
    <row r="1" spans="1:4" x14ac:dyDescent="0.3">
      <c r="A1" t="s">
        <v>514</v>
      </c>
      <c r="B1" t="s">
        <v>515</v>
      </c>
      <c r="C1" t="s">
        <v>512</v>
      </c>
      <c r="D1" t="s">
        <v>513</v>
      </c>
    </row>
    <row r="2" spans="1:4" x14ac:dyDescent="0.3">
      <c r="A2" t="s">
        <v>516</v>
      </c>
      <c r="B2" t="s">
        <v>517</v>
      </c>
      <c r="C2">
        <v>1.9413</v>
      </c>
      <c r="D2">
        <v>1.9421999999999999</v>
      </c>
    </row>
    <row r="3" spans="1:4" x14ac:dyDescent="0.3">
      <c r="A3" t="s">
        <v>516</v>
      </c>
      <c r="B3" t="s">
        <v>518</v>
      </c>
      <c r="C3">
        <v>1.8913</v>
      </c>
      <c r="D3">
        <v>1.8917999999999999</v>
      </c>
    </row>
    <row r="4" spans="1:4" x14ac:dyDescent="0.3">
      <c r="A4" t="s">
        <v>516</v>
      </c>
      <c r="B4" t="s">
        <v>519</v>
      </c>
      <c r="C4">
        <v>1.4801</v>
      </c>
      <c r="D4">
        <v>1.4807999999999999</v>
      </c>
    </row>
    <row r="5" spans="1:4" x14ac:dyDescent="0.3">
      <c r="A5" t="s">
        <v>516</v>
      </c>
      <c r="B5" t="s">
        <v>520</v>
      </c>
      <c r="C5">
        <v>10.3032</v>
      </c>
      <c r="D5">
        <v>10.308999999999999</v>
      </c>
    </row>
    <row r="6" spans="1:4" x14ac:dyDescent="0.3">
      <c r="A6" t="s">
        <v>516</v>
      </c>
      <c r="B6" t="s">
        <v>521</v>
      </c>
      <c r="C6">
        <v>1.3815</v>
      </c>
      <c r="D6">
        <v>1.383</v>
      </c>
    </row>
    <row r="7" spans="1:4" x14ac:dyDescent="0.3">
      <c r="A7" t="s">
        <v>516</v>
      </c>
      <c r="B7" t="s">
        <v>516</v>
      </c>
      <c r="C7">
        <v>1</v>
      </c>
      <c r="D7">
        <v>1</v>
      </c>
    </row>
    <row r="8" spans="1:4" x14ac:dyDescent="0.3">
      <c r="A8" t="s">
        <v>516</v>
      </c>
      <c r="B8" t="s">
        <v>522</v>
      </c>
      <c r="C8">
        <v>11.767799999999999</v>
      </c>
      <c r="D8">
        <v>11.771800000000001</v>
      </c>
    </row>
    <row r="9" spans="1:4" x14ac:dyDescent="0.3">
      <c r="A9" t="s">
        <v>516</v>
      </c>
      <c r="B9" t="s">
        <v>523</v>
      </c>
      <c r="C9">
        <v>182.06870000000001</v>
      </c>
      <c r="D9">
        <v>182.13499999999999</v>
      </c>
    </row>
    <row r="10" spans="1:4" x14ac:dyDescent="0.3">
      <c r="A10" t="s">
        <v>516</v>
      </c>
      <c r="B10" t="s">
        <v>524</v>
      </c>
      <c r="C10">
        <v>11.8139</v>
      </c>
      <c r="D10">
        <v>11.8218</v>
      </c>
    </row>
    <row r="11" spans="1:4" x14ac:dyDescent="0.3">
      <c r="A11" t="s">
        <v>516</v>
      </c>
      <c r="B11" t="s">
        <v>525</v>
      </c>
      <c r="C11">
        <v>2.0293000000000001</v>
      </c>
      <c r="D11">
        <v>2.0308000000000002</v>
      </c>
    </row>
    <row r="12" spans="1:4" x14ac:dyDescent="0.3">
      <c r="A12" t="s">
        <v>516</v>
      </c>
      <c r="B12" t="s">
        <v>526</v>
      </c>
      <c r="C12">
        <v>12.6591</v>
      </c>
      <c r="D12">
        <v>12.6752</v>
      </c>
    </row>
    <row r="13" spans="1:4" x14ac:dyDescent="0.3">
      <c r="A13" t="s">
        <v>516</v>
      </c>
      <c r="B13" t="s">
        <v>527</v>
      </c>
      <c r="C13">
        <v>2.0771000000000002</v>
      </c>
      <c r="D13">
        <v>2.0781999999999998</v>
      </c>
    </row>
    <row r="14" spans="1:4" x14ac:dyDescent="0.3">
      <c r="A14" t="s">
        <v>516</v>
      </c>
      <c r="B14" t="s">
        <v>528</v>
      </c>
      <c r="C14">
        <v>17.8979</v>
      </c>
      <c r="D14">
        <v>17.905200000000001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AD9D-1863-4DD7-9819-8B04E109107B}">
  <dimension ref="A1:E248"/>
  <sheetViews>
    <sheetView workbookViewId="0">
      <selection activeCell="G20" sqref="G20"/>
    </sheetView>
  </sheetViews>
  <sheetFormatPr defaultRowHeight="14.4" x14ac:dyDescent="0.3"/>
  <cols>
    <col min="1" max="1" width="7.44140625" bestFit="1" customWidth="1"/>
    <col min="2" max="2" width="42.33203125" bestFit="1" customWidth="1"/>
    <col min="3" max="3" width="12.44140625" bestFit="1" customWidth="1"/>
    <col min="4" max="4" width="10.5546875" style="121" bestFit="1" customWidth="1"/>
    <col min="5" max="5" width="12.6640625" bestFit="1" customWidth="1"/>
  </cols>
  <sheetData>
    <row r="1" spans="1:5" x14ac:dyDescent="0.3">
      <c r="A1" t="s">
        <v>529</v>
      </c>
      <c r="B1" t="s">
        <v>195</v>
      </c>
      <c r="C1" t="s">
        <v>530</v>
      </c>
      <c r="D1" s="121" t="s">
        <v>197</v>
      </c>
      <c r="E1" t="s">
        <v>1092</v>
      </c>
    </row>
    <row r="2" spans="1:5" x14ac:dyDescent="0.3">
      <c r="A2" t="s">
        <v>532</v>
      </c>
      <c r="B2" t="s">
        <v>533</v>
      </c>
      <c r="C2">
        <v>1368570000</v>
      </c>
      <c r="D2" s="121" t="s">
        <v>1093</v>
      </c>
      <c r="E2">
        <v>0.189</v>
      </c>
    </row>
    <row r="3" spans="1:5" x14ac:dyDescent="0.3">
      <c r="A3" t="s">
        <v>535</v>
      </c>
      <c r="B3" t="s">
        <v>536</v>
      </c>
      <c r="C3">
        <v>1267830000</v>
      </c>
      <c r="D3" s="121" t="s">
        <v>1093</v>
      </c>
      <c r="E3">
        <v>0.17499999999999999</v>
      </c>
    </row>
    <row r="4" spans="1:5" x14ac:dyDescent="0.3">
      <c r="A4" t="s">
        <v>537</v>
      </c>
      <c r="B4" t="s">
        <v>538</v>
      </c>
      <c r="C4">
        <v>320529000</v>
      </c>
      <c r="D4" s="121" t="s">
        <v>1093</v>
      </c>
      <c r="E4">
        <v>4.4299999999999999E-2</v>
      </c>
    </row>
    <row r="5" spans="1:5" x14ac:dyDescent="0.3">
      <c r="A5" t="s">
        <v>539</v>
      </c>
      <c r="B5" t="s">
        <v>540</v>
      </c>
      <c r="C5">
        <v>255461700</v>
      </c>
      <c r="D5" s="121" t="s">
        <v>1094</v>
      </c>
      <c r="E5">
        <v>3.5299999999999998E-2</v>
      </c>
    </row>
    <row r="6" spans="1:5" x14ac:dyDescent="0.3">
      <c r="A6" t="s">
        <v>542</v>
      </c>
      <c r="B6" t="s">
        <v>543</v>
      </c>
      <c r="C6">
        <v>203975000</v>
      </c>
      <c r="D6" s="121" t="s">
        <v>1093</v>
      </c>
      <c r="E6">
        <v>2.8199999999999999E-2</v>
      </c>
    </row>
    <row r="7" spans="1:5" x14ac:dyDescent="0.3">
      <c r="A7" t="s">
        <v>544</v>
      </c>
      <c r="B7" t="s">
        <v>545</v>
      </c>
      <c r="C7">
        <v>189150000</v>
      </c>
      <c r="D7" s="121" t="s">
        <v>1093</v>
      </c>
      <c r="E7">
        <v>2.6200000000000001E-2</v>
      </c>
    </row>
    <row r="8" spans="1:5" x14ac:dyDescent="0.3">
      <c r="A8" t="s">
        <v>546</v>
      </c>
      <c r="B8" t="s">
        <v>547</v>
      </c>
      <c r="C8">
        <v>183523000</v>
      </c>
      <c r="D8" s="121" t="s">
        <v>1094</v>
      </c>
      <c r="E8">
        <v>2.5399999999999999E-2</v>
      </c>
    </row>
    <row r="9" spans="1:5" x14ac:dyDescent="0.3">
      <c r="A9" t="s">
        <v>548</v>
      </c>
      <c r="B9" t="s">
        <v>549</v>
      </c>
      <c r="C9">
        <v>157941000</v>
      </c>
      <c r="D9" s="121" t="s">
        <v>1093</v>
      </c>
      <c r="E9">
        <v>2.18E-2</v>
      </c>
    </row>
    <row r="10" spans="1:5" x14ac:dyDescent="0.3">
      <c r="A10" t="s">
        <v>550</v>
      </c>
      <c r="B10" t="s">
        <v>198</v>
      </c>
      <c r="C10">
        <v>146270033</v>
      </c>
      <c r="D10" s="121" t="s">
        <v>1095</v>
      </c>
      <c r="E10">
        <v>2.0199999999999999E-2</v>
      </c>
    </row>
    <row r="11" spans="1:5" x14ac:dyDescent="0.3">
      <c r="A11" t="s">
        <v>552</v>
      </c>
      <c r="B11" t="s">
        <v>553</v>
      </c>
      <c r="C11">
        <v>126970000</v>
      </c>
      <c r="D11" s="121" t="s">
        <v>1096</v>
      </c>
      <c r="E11">
        <v>1.7600000000000001E-2</v>
      </c>
    </row>
    <row r="12" spans="1:5" x14ac:dyDescent="0.3">
      <c r="A12" t="s">
        <v>555</v>
      </c>
      <c r="B12" t="s">
        <v>556</v>
      </c>
      <c r="C12">
        <v>121005815</v>
      </c>
      <c r="D12" s="121" t="s">
        <v>1094</v>
      </c>
      <c r="E12">
        <v>1.67E-2</v>
      </c>
    </row>
    <row r="13" spans="1:5" x14ac:dyDescent="0.3">
      <c r="A13" t="s">
        <v>557</v>
      </c>
      <c r="B13" t="s">
        <v>558</v>
      </c>
      <c r="C13">
        <v>101098400</v>
      </c>
      <c r="D13" s="121" t="s">
        <v>1093</v>
      </c>
      <c r="E13">
        <v>1.4E-2</v>
      </c>
    </row>
    <row r="14" spans="1:5" x14ac:dyDescent="0.3">
      <c r="A14" t="s">
        <v>559</v>
      </c>
      <c r="B14" t="s">
        <v>560</v>
      </c>
      <c r="C14">
        <v>90730000</v>
      </c>
      <c r="D14" s="121" t="s">
        <v>1097</v>
      </c>
      <c r="E14">
        <v>1.26E-2</v>
      </c>
    </row>
    <row r="15" spans="1:5" x14ac:dyDescent="0.3">
      <c r="A15" t="s">
        <v>562</v>
      </c>
      <c r="B15" t="s">
        <v>563</v>
      </c>
      <c r="C15">
        <v>90076012</v>
      </c>
      <c r="D15" s="121" t="s">
        <v>1094</v>
      </c>
      <c r="E15">
        <v>1.2500000000000001E-2</v>
      </c>
    </row>
    <row r="16" spans="1:5" x14ac:dyDescent="0.3">
      <c r="A16" t="s">
        <v>564</v>
      </c>
      <c r="B16" t="s">
        <v>565</v>
      </c>
      <c r="C16">
        <v>88123300</v>
      </c>
      <c r="D16" s="121" t="s">
        <v>1093</v>
      </c>
      <c r="E16">
        <v>1.2200000000000001E-2</v>
      </c>
    </row>
    <row r="17" spans="1:5" x14ac:dyDescent="0.3">
      <c r="A17" t="s">
        <v>566</v>
      </c>
      <c r="B17" t="s">
        <v>205</v>
      </c>
      <c r="C17">
        <v>80925000</v>
      </c>
      <c r="D17" s="121" t="s">
        <v>1098</v>
      </c>
      <c r="E17">
        <v>1.12E-2</v>
      </c>
    </row>
    <row r="18" spans="1:5" x14ac:dyDescent="0.3">
      <c r="A18" t="s">
        <v>568</v>
      </c>
      <c r="B18" t="s">
        <v>569</v>
      </c>
      <c r="C18">
        <v>78165200</v>
      </c>
      <c r="D18" s="121" t="s">
        <v>1093</v>
      </c>
      <c r="E18">
        <v>1.0800000000000001E-2</v>
      </c>
    </row>
    <row r="19" spans="1:5" x14ac:dyDescent="0.3">
      <c r="A19" t="s">
        <v>570</v>
      </c>
      <c r="B19" t="s">
        <v>571</v>
      </c>
      <c r="C19">
        <v>77695904</v>
      </c>
      <c r="D19" s="121" t="s">
        <v>1099</v>
      </c>
      <c r="E19">
        <v>1.0699999999999999E-2</v>
      </c>
    </row>
    <row r="20" spans="1:5" x14ac:dyDescent="0.3">
      <c r="A20" t="s">
        <v>573</v>
      </c>
      <c r="B20" t="s">
        <v>574</v>
      </c>
      <c r="C20">
        <v>71246000</v>
      </c>
      <c r="D20" s="121" t="s">
        <v>1094</v>
      </c>
      <c r="E20">
        <v>9.9000000000000008E-3</v>
      </c>
    </row>
    <row r="21" spans="1:5" x14ac:dyDescent="0.3">
      <c r="A21" t="s">
        <v>575</v>
      </c>
      <c r="B21" t="s">
        <v>576</v>
      </c>
      <c r="C21">
        <v>66104000</v>
      </c>
      <c r="D21" s="121" t="s">
        <v>1096</v>
      </c>
      <c r="E21">
        <v>9.1000000000000004E-3</v>
      </c>
    </row>
    <row r="22" spans="1:5" x14ac:dyDescent="0.3">
      <c r="A22" t="s">
        <v>577</v>
      </c>
      <c r="B22" t="s">
        <v>578</v>
      </c>
      <c r="C22">
        <v>64871000</v>
      </c>
      <c r="D22" s="121" t="s">
        <v>1097</v>
      </c>
      <c r="E22">
        <v>8.9999999999999993E-3</v>
      </c>
    </row>
    <row r="23" spans="1:5" x14ac:dyDescent="0.3">
      <c r="A23" t="s">
        <v>579</v>
      </c>
      <c r="B23" t="s">
        <v>580</v>
      </c>
      <c r="C23">
        <v>64105654</v>
      </c>
      <c r="D23" s="121" t="s">
        <v>1100</v>
      </c>
      <c r="E23">
        <v>8.8999999999999999E-3</v>
      </c>
    </row>
    <row r="24" spans="1:5" x14ac:dyDescent="0.3">
      <c r="A24" t="s">
        <v>582</v>
      </c>
      <c r="B24" t="s">
        <v>583</v>
      </c>
      <c r="C24">
        <v>60782309</v>
      </c>
      <c r="D24" s="121" t="s">
        <v>1101</v>
      </c>
      <c r="E24">
        <v>8.3999999999999995E-3</v>
      </c>
    </row>
    <row r="25" spans="1:5" x14ac:dyDescent="0.3">
      <c r="A25" t="s">
        <v>585</v>
      </c>
      <c r="B25" t="s">
        <v>586</v>
      </c>
      <c r="C25">
        <v>54002000</v>
      </c>
      <c r="D25" s="121" t="s">
        <v>1097</v>
      </c>
      <c r="E25">
        <v>7.4999999999999997E-3</v>
      </c>
    </row>
    <row r="26" spans="1:5" x14ac:dyDescent="0.3">
      <c r="A26" t="s">
        <v>587</v>
      </c>
      <c r="B26" t="s">
        <v>588</v>
      </c>
      <c r="C26">
        <v>51419420</v>
      </c>
      <c r="D26" s="121" t="s">
        <v>1102</v>
      </c>
      <c r="E26">
        <v>7.1000000000000004E-3</v>
      </c>
    </row>
    <row r="27" spans="1:5" x14ac:dyDescent="0.3">
      <c r="A27" t="s">
        <v>590</v>
      </c>
      <c r="B27" t="s">
        <v>591</v>
      </c>
      <c r="C27">
        <v>51342881</v>
      </c>
      <c r="D27" s="121" t="s">
        <v>1095</v>
      </c>
      <c r="E27">
        <v>7.1000000000000004E-3</v>
      </c>
    </row>
    <row r="28" spans="1:5" x14ac:dyDescent="0.3">
      <c r="A28" t="s">
        <v>592</v>
      </c>
      <c r="B28" t="s">
        <v>593</v>
      </c>
      <c r="C28">
        <v>48025400</v>
      </c>
      <c r="D28" s="121" t="s">
        <v>1093</v>
      </c>
      <c r="E28">
        <v>6.6400000000000001E-3</v>
      </c>
    </row>
    <row r="29" spans="1:5" x14ac:dyDescent="0.3">
      <c r="A29" t="s">
        <v>594</v>
      </c>
      <c r="B29" t="s">
        <v>595</v>
      </c>
      <c r="C29">
        <v>47421786</v>
      </c>
      <c r="D29" s="121" t="s">
        <v>1097</v>
      </c>
      <c r="E29">
        <v>6.6E-3</v>
      </c>
    </row>
    <row r="30" spans="1:5" x14ac:dyDescent="0.3">
      <c r="A30" t="s">
        <v>596</v>
      </c>
      <c r="B30" t="s">
        <v>597</v>
      </c>
      <c r="C30">
        <v>46749000</v>
      </c>
      <c r="D30" s="121" t="s">
        <v>1094</v>
      </c>
      <c r="E30">
        <v>6.4999999999999997E-3</v>
      </c>
    </row>
    <row r="31" spans="1:5" x14ac:dyDescent="0.3">
      <c r="A31" t="s">
        <v>598</v>
      </c>
      <c r="B31" t="s">
        <v>599</v>
      </c>
      <c r="C31">
        <v>46464053</v>
      </c>
      <c r="D31" s="121" t="s">
        <v>1097</v>
      </c>
      <c r="E31">
        <v>6.4000000000000003E-3</v>
      </c>
    </row>
    <row r="32" spans="1:5" x14ac:dyDescent="0.3">
      <c r="A32" t="s">
        <v>600</v>
      </c>
      <c r="B32" t="s">
        <v>601</v>
      </c>
      <c r="C32">
        <v>43131966</v>
      </c>
      <c r="D32" s="121" t="s">
        <v>1094</v>
      </c>
      <c r="E32">
        <v>6.0000000000000001E-3</v>
      </c>
    </row>
    <row r="33" spans="1:5" x14ac:dyDescent="0.3">
      <c r="A33" t="s">
        <v>602</v>
      </c>
      <c r="B33" t="s">
        <v>603</v>
      </c>
      <c r="C33">
        <v>42928900</v>
      </c>
      <c r="D33" s="121" t="s">
        <v>1095</v>
      </c>
      <c r="E33">
        <v>5.8999999999999999E-3</v>
      </c>
    </row>
    <row r="34" spans="1:5" x14ac:dyDescent="0.3">
      <c r="A34" t="s">
        <v>604</v>
      </c>
      <c r="B34" t="s">
        <v>605</v>
      </c>
      <c r="C34">
        <v>39500000</v>
      </c>
      <c r="D34" s="121" t="s">
        <v>1095</v>
      </c>
      <c r="E34">
        <v>5.4999999999999997E-3</v>
      </c>
    </row>
    <row r="35" spans="1:5" x14ac:dyDescent="0.3">
      <c r="A35" t="s">
        <v>606</v>
      </c>
      <c r="B35" t="s">
        <v>607</v>
      </c>
      <c r="C35">
        <v>38484000</v>
      </c>
      <c r="D35" s="121" t="s">
        <v>1099</v>
      </c>
      <c r="E35">
        <v>5.3E-3</v>
      </c>
    </row>
    <row r="36" spans="1:5" x14ac:dyDescent="0.3">
      <c r="A36" t="s">
        <v>608</v>
      </c>
      <c r="B36" t="s">
        <v>609</v>
      </c>
      <c r="C36">
        <v>38435252</v>
      </c>
      <c r="D36" s="121" t="s">
        <v>1094</v>
      </c>
      <c r="E36">
        <v>5.3E-3</v>
      </c>
    </row>
    <row r="37" spans="1:5" x14ac:dyDescent="0.3">
      <c r="A37" t="s">
        <v>610</v>
      </c>
      <c r="B37" t="s">
        <v>611</v>
      </c>
      <c r="C37">
        <v>36004552</v>
      </c>
      <c r="D37" s="121" t="s">
        <v>1097</v>
      </c>
      <c r="E37">
        <v>5.0000000000000001E-3</v>
      </c>
    </row>
    <row r="38" spans="1:5" x14ac:dyDescent="0.3">
      <c r="A38" t="s">
        <v>612</v>
      </c>
      <c r="B38" t="s">
        <v>613</v>
      </c>
      <c r="C38">
        <v>35675834</v>
      </c>
      <c r="D38" s="121" t="s">
        <v>1103</v>
      </c>
      <c r="E38">
        <v>4.8999999999999998E-3</v>
      </c>
    </row>
    <row r="39" spans="1:5" x14ac:dyDescent="0.3">
      <c r="A39" t="s">
        <v>615</v>
      </c>
      <c r="B39" t="s">
        <v>616</v>
      </c>
      <c r="C39">
        <v>34856813</v>
      </c>
      <c r="D39" s="121" t="s">
        <v>1104</v>
      </c>
      <c r="E39">
        <v>4.7999999999999996E-3</v>
      </c>
    </row>
    <row r="40" spans="1:5" x14ac:dyDescent="0.3">
      <c r="A40" t="s">
        <v>618</v>
      </c>
      <c r="B40" t="s">
        <v>619</v>
      </c>
      <c r="C40">
        <v>33543100</v>
      </c>
      <c r="D40" s="121" t="s">
        <v>1093</v>
      </c>
      <c r="E40">
        <v>4.64E-3</v>
      </c>
    </row>
    <row r="41" spans="1:5" x14ac:dyDescent="0.3">
      <c r="A41" t="s">
        <v>620</v>
      </c>
      <c r="B41" t="s">
        <v>621</v>
      </c>
      <c r="C41">
        <v>31521418</v>
      </c>
      <c r="D41" s="121" t="s">
        <v>1094</v>
      </c>
      <c r="E41">
        <v>4.4000000000000003E-3</v>
      </c>
    </row>
    <row r="42" spans="1:5" x14ac:dyDescent="0.3">
      <c r="A42" t="s">
        <v>622</v>
      </c>
      <c r="B42" t="s">
        <v>623</v>
      </c>
      <c r="C42">
        <v>31151643</v>
      </c>
      <c r="D42" s="121" t="s">
        <v>1094</v>
      </c>
      <c r="E42">
        <v>4.3E-3</v>
      </c>
    </row>
    <row r="43" spans="1:5" x14ac:dyDescent="0.3">
      <c r="A43" t="s">
        <v>624</v>
      </c>
      <c r="B43" t="s">
        <v>625</v>
      </c>
      <c r="C43">
        <v>30620404</v>
      </c>
      <c r="D43" s="121" t="s">
        <v>1094</v>
      </c>
      <c r="E43">
        <v>4.1999999999999997E-3</v>
      </c>
    </row>
    <row r="44" spans="1:5" x14ac:dyDescent="0.3">
      <c r="A44" t="s">
        <v>626</v>
      </c>
      <c r="B44" t="s">
        <v>627</v>
      </c>
      <c r="C44">
        <v>30511900</v>
      </c>
      <c r="D44" s="121" t="s">
        <v>1093</v>
      </c>
      <c r="E44">
        <v>4.2199999999999998E-3</v>
      </c>
    </row>
    <row r="45" spans="1:5" x14ac:dyDescent="0.3">
      <c r="A45" t="s">
        <v>628</v>
      </c>
      <c r="B45" t="s">
        <v>629</v>
      </c>
      <c r="C45">
        <v>30492800</v>
      </c>
      <c r="D45" s="121" t="s">
        <v>1105</v>
      </c>
      <c r="E45">
        <v>4.1999999999999997E-3</v>
      </c>
    </row>
    <row r="46" spans="1:5" x14ac:dyDescent="0.3">
      <c r="A46" t="s">
        <v>631</v>
      </c>
      <c r="B46" t="s">
        <v>632</v>
      </c>
      <c r="C46">
        <v>28037904</v>
      </c>
      <c r="D46" s="121" t="s">
        <v>1094</v>
      </c>
      <c r="E46">
        <v>3.8999999999999998E-3</v>
      </c>
    </row>
    <row r="47" spans="1:5" x14ac:dyDescent="0.3">
      <c r="A47" t="s">
        <v>633</v>
      </c>
      <c r="B47" t="s">
        <v>634</v>
      </c>
      <c r="C47">
        <v>27043093</v>
      </c>
      <c r="D47" s="121" t="s">
        <v>1097</v>
      </c>
      <c r="E47">
        <v>3.7000000000000002E-3</v>
      </c>
    </row>
    <row r="48" spans="1:5" x14ac:dyDescent="0.3">
      <c r="A48" t="s">
        <v>635</v>
      </c>
      <c r="B48" t="s">
        <v>636</v>
      </c>
      <c r="C48">
        <v>26556800</v>
      </c>
      <c r="D48" s="121" t="s">
        <v>1097</v>
      </c>
      <c r="E48">
        <v>3.7000000000000002E-3</v>
      </c>
    </row>
    <row r="49" spans="1:5" x14ac:dyDescent="0.3">
      <c r="A49" t="s">
        <v>637</v>
      </c>
      <c r="B49" t="s">
        <v>638</v>
      </c>
      <c r="C49">
        <v>25956000</v>
      </c>
      <c r="D49" s="121" t="s">
        <v>1097</v>
      </c>
      <c r="E49">
        <v>3.5999999999999999E-3</v>
      </c>
    </row>
    <row r="50" spans="1:5" x14ac:dyDescent="0.3">
      <c r="A50" t="s">
        <v>639</v>
      </c>
      <c r="B50" t="s">
        <v>640</v>
      </c>
      <c r="C50">
        <v>25727911</v>
      </c>
      <c r="D50" s="121" t="s">
        <v>1094</v>
      </c>
      <c r="E50">
        <v>3.5999999999999999E-3</v>
      </c>
    </row>
    <row r="51" spans="1:5" x14ac:dyDescent="0.3">
      <c r="A51" t="s">
        <v>641</v>
      </c>
      <c r="B51" t="s">
        <v>642</v>
      </c>
      <c r="C51">
        <v>25155000</v>
      </c>
      <c r="D51" s="121" t="s">
        <v>1094</v>
      </c>
      <c r="E51">
        <v>3.5000000000000001E-3</v>
      </c>
    </row>
    <row r="52" spans="1:5" x14ac:dyDescent="0.3">
      <c r="A52" t="s">
        <v>643</v>
      </c>
      <c r="B52" t="s">
        <v>644</v>
      </c>
      <c r="C52">
        <v>24383301</v>
      </c>
      <c r="D52" s="121" t="s">
        <v>1106</v>
      </c>
      <c r="E52">
        <v>3.3999999999999998E-3</v>
      </c>
    </row>
    <row r="53" spans="1:5" x14ac:dyDescent="0.3">
      <c r="A53" t="s">
        <v>646</v>
      </c>
      <c r="B53" t="s">
        <v>647</v>
      </c>
      <c r="C53">
        <v>23766500</v>
      </c>
      <c r="D53" s="121" t="s">
        <v>1093</v>
      </c>
      <c r="E53">
        <v>3.29E-3</v>
      </c>
    </row>
    <row r="54" spans="1:5" x14ac:dyDescent="0.3">
      <c r="A54" t="s">
        <v>648</v>
      </c>
      <c r="B54" t="s">
        <v>649</v>
      </c>
      <c r="C54">
        <v>23440278</v>
      </c>
      <c r="D54" s="121" t="s">
        <v>1107</v>
      </c>
      <c r="E54">
        <v>3.2000000000000002E-3</v>
      </c>
    </row>
    <row r="55" spans="1:5" x14ac:dyDescent="0.3">
      <c r="A55" t="s">
        <v>651</v>
      </c>
      <c r="B55" t="s">
        <v>652</v>
      </c>
      <c r="C55">
        <v>23087363</v>
      </c>
      <c r="D55" s="121" t="s">
        <v>1093</v>
      </c>
      <c r="E55">
        <v>3.2000000000000002E-3</v>
      </c>
    </row>
    <row r="56" spans="1:5" x14ac:dyDescent="0.3">
      <c r="A56" t="s">
        <v>653</v>
      </c>
      <c r="B56" t="s">
        <v>654</v>
      </c>
      <c r="C56">
        <v>22671331</v>
      </c>
      <c r="D56" s="121" t="s">
        <v>1108</v>
      </c>
      <c r="E56">
        <v>3.0999999999999999E-3</v>
      </c>
    </row>
    <row r="57" spans="1:5" x14ac:dyDescent="0.3">
      <c r="A57" t="s">
        <v>656</v>
      </c>
      <c r="B57" t="s">
        <v>657</v>
      </c>
      <c r="C57">
        <v>21842167</v>
      </c>
      <c r="D57" s="121" t="s">
        <v>1100</v>
      </c>
      <c r="E57">
        <v>3.0000000000000001E-3</v>
      </c>
    </row>
    <row r="58" spans="1:5" x14ac:dyDescent="0.3">
      <c r="A58" t="s">
        <v>658</v>
      </c>
      <c r="B58" t="s">
        <v>659</v>
      </c>
      <c r="C58">
        <v>21143237</v>
      </c>
      <c r="D58" s="121" t="s">
        <v>1100</v>
      </c>
      <c r="E58">
        <v>2.8E-3</v>
      </c>
    </row>
    <row r="59" spans="1:5" x14ac:dyDescent="0.3">
      <c r="A59" t="s">
        <v>660</v>
      </c>
      <c r="B59" t="s">
        <v>661</v>
      </c>
      <c r="C59">
        <v>20359439</v>
      </c>
      <c r="D59" s="121" t="s">
        <v>1109</v>
      </c>
      <c r="E59">
        <v>2.8E-3</v>
      </c>
    </row>
    <row r="60" spans="1:5" x14ac:dyDescent="0.3">
      <c r="A60" t="s">
        <v>663</v>
      </c>
      <c r="B60" t="s">
        <v>209</v>
      </c>
      <c r="C60">
        <v>19942642</v>
      </c>
      <c r="D60" s="121" t="s">
        <v>1105</v>
      </c>
      <c r="E60">
        <v>2.8E-3</v>
      </c>
    </row>
    <row r="61" spans="1:5" x14ac:dyDescent="0.3">
      <c r="A61" t="s">
        <v>664</v>
      </c>
      <c r="B61" t="s">
        <v>665</v>
      </c>
      <c r="C61">
        <v>19268000</v>
      </c>
      <c r="D61" s="121" t="s">
        <v>1094</v>
      </c>
      <c r="E61">
        <v>2.7000000000000001E-3</v>
      </c>
    </row>
    <row r="62" spans="1:5" x14ac:dyDescent="0.3">
      <c r="A62" t="s">
        <v>666</v>
      </c>
      <c r="B62" t="s">
        <v>667</v>
      </c>
      <c r="C62">
        <v>18450494</v>
      </c>
      <c r="D62" s="121" t="s">
        <v>1094</v>
      </c>
      <c r="E62">
        <v>2.5999999999999999E-3</v>
      </c>
    </row>
    <row r="63" spans="1:5" x14ac:dyDescent="0.3">
      <c r="A63" t="s">
        <v>668</v>
      </c>
      <c r="B63" t="s">
        <v>669</v>
      </c>
      <c r="C63">
        <v>18006407</v>
      </c>
      <c r="D63" s="121" t="s">
        <v>1094</v>
      </c>
      <c r="E63">
        <v>2.5000000000000001E-3</v>
      </c>
    </row>
    <row r="64" spans="1:5" x14ac:dyDescent="0.3">
      <c r="A64" t="s">
        <v>670</v>
      </c>
      <c r="B64" t="s">
        <v>671</v>
      </c>
      <c r="C64">
        <v>17417500</v>
      </c>
      <c r="D64" s="121" t="s">
        <v>1095</v>
      </c>
      <c r="E64">
        <v>2.3999999999999998E-3</v>
      </c>
    </row>
    <row r="65" spans="1:5" x14ac:dyDescent="0.3">
      <c r="A65" t="s">
        <v>672</v>
      </c>
      <c r="B65" t="s">
        <v>673</v>
      </c>
      <c r="C65">
        <v>16892500</v>
      </c>
      <c r="D65" s="121" t="s">
        <v>1093</v>
      </c>
      <c r="E65">
        <v>2.3400000000000001E-3</v>
      </c>
    </row>
    <row r="66" spans="1:5" x14ac:dyDescent="0.3">
      <c r="A66" t="s">
        <v>674</v>
      </c>
      <c r="B66" t="s">
        <v>675</v>
      </c>
      <c r="C66">
        <v>16310431</v>
      </c>
      <c r="D66" s="121" t="s">
        <v>1094</v>
      </c>
      <c r="E66">
        <v>2.3E-3</v>
      </c>
    </row>
    <row r="67" spans="1:5" x14ac:dyDescent="0.3">
      <c r="A67" t="s">
        <v>676</v>
      </c>
      <c r="B67" t="s">
        <v>677</v>
      </c>
      <c r="C67">
        <v>16259000</v>
      </c>
      <c r="D67" s="121" t="s">
        <v>1094</v>
      </c>
      <c r="E67">
        <v>2.2000000000000001E-3</v>
      </c>
    </row>
    <row r="68" spans="1:5" x14ac:dyDescent="0.3">
      <c r="A68" t="s">
        <v>678</v>
      </c>
      <c r="B68" t="s">
        <v>679</v>
      </c>
      <c r="C68">
        <v>15945200</v>
      </c>
      <c r="D68" s="121" t="s">
        <v>1093</v>
      </c>
      <c r="E68">
        <v>2.2000000000000001E-3</v>
      </c>
    </row>
    <row r="69" spans="1:5" x14ac:dyDescent="0.3">
      <c r="A69" t="s">
        <v>680</v>
      </c>
      <c r="B69" t="s">
        <v>681</v>
      </c>
      <c r="C69">
        <v>15806675</v>
      </c>
      <c r="D69" s="121" t="s">
        <v>1097</v>
      </c>
      <c r="E69">
        <v>2.2000000000000001E-3</v>
      </c>
    </row>
    <row r="70" spans="1:5" x14ac:dyDescent="0.3">
      <c r="A70" t="s">
        <v>682</v>
      </c>
      <c r="B70" t="s">
        <v>683</v>
      </c>
      <c r="C70">
        <v>15473905</v>
      </c>
      <c r="D70" s="121" t="s">
        <v>1094</v>
      </c>
      <c r="E70">
        <v>2.0999999999999999E-3</v>
      </c>
    </row>
    <row r="71" spans="1:5" x14ac:dyDescent="0.3">
      <c r="A71" t="s">
        <v>684</v>
      </c>
      <c r="B71" t="s">
        <v>685</v>
      </c>
      <c r="C71">
        <v>15405157</v>
      </c>
      <c r="D71" s="121" t="s">
        <v>1094</v>
      </c>
      <c r="E71">
        <v>2.0999999999999999E-3</v>
      </c>
    </row>
    <row r="72" spans="1:5" x14ac:dyDescent="0.3">
      <c r="A72" t="s">
        <v>686</v>
      </c>
      <c r="B72" t="s">
        <v>687</v>
      </c>
      <c r="C72">
        <v>13606000</v>
      </c>
      <c r="D72" s="121" t="s">
        <v>1094</v>
      </c>
      <c r="E72">
        <v>1.9E-3</v>
      </c>
    </row>
    <row r="73" spans="1:5" x14ac:dyDescent="0.3">
      <c r="A73" t="s">
        <v>688</v>
      </c>
      <c r="B73" t="s">
        <v>689</v>
      </c>
      <c r="C73">
        <v>13508715</v>
      </c>
      <c r="D73" s="121" t="s">
        <v>1110</v>
      </c>
      <c r="E73">
        <v>1.9E-3</v>
      </c>
    </row>
    <row r="74" spans="1:5" x14ac:dyDescent="0.3">
      <c r="A74" t="s">
        <v>691</v>
      </c>
      <c r="B74" t="s">
        <v>692</v>
      </c>
      <c r="C74">
        <v>13061239</v>
      </c>
      <c r="D74" s="121" t="s">
        <v>1111</v>
      </c>
      <c r="E74">
        <v>1.8E-3</v>
      </c>
    </row>
    <row r="75" spans="1:5" x14ac:dyDescent="0.3">
      <c r="A75" t="s">
        <v>694</v>
      </c>
      <c r="B75" t="s">
        <v>695</v>
      </c>
      <c r="C75">
        <v>11892934</v>
      </c>
      <c r="D75" s="121" t="s">
        <v>1094</v>
      </c>
      <c r="E75">
        <v>1.6000000000000001E-3</v>
      </c>
    </row>
    <row r="76" spans="1:5" x14ac:dyDescent="0.3">
      <c r="A76" t="s">
        <v>696</v>
      </c>
      <c r="B76" t="s">
        <v>697</v>
      </c>
      <c r="C76">
        <v>11410651</v>
      </c>
      <c r="D76" s="121" t="s">
        <v>1094</v>
      </c>
      <c r="E76">
        <v>1.6000000000000001E-3</v>
      </c>
    </row>
    <row r="77" spans="1:5" x14ac:dyDescent="0.3">
      <c r="A77" t="s">
        <v>698</v>
      </c>
      <c r="B77" t="s">
        <v>699</v>
      </c>
      <c r="C77">
        <v>11237160</v>
      </c>
      <c r="D77" s="121" t="s">
        <v>1095</v>
      </c>
      <c r="E77">
        <v>1.6000000000000001E-3</v>
      </c>
    </row>
    <row r="78" spans="1:5" x14ac:dyDescent="0.3">
      <c r="A78" t="s">
        <v>700</v>
      </c>
      <c r="B78" t="s">
        <v>701</v>
      </c>
      <c r="C78">
        <v>11210064</v>
      </c>
      <c r="D78" s="121" t="s">
        <v>1112</v>
      </c>
      <c r="E78">
        <v>1.6000000000000001E-3</v>
      </c>
    </row>
    <row r="79" spans="1:5" x14ac:dyDescent="0.3">
      <c r="A79" t="s">
        <v>703</v>
      </c>
      <c r="B79" t="s">
        <v>704</v>
      </c>
      <c r="C79">
        <v>11123000</v>
      </c>
      <c r="D79" s="121" t="s">
        <v>1094</v>
      </c>
      <c r="E79">
        <v>1.5E-3</v>
      </c>
    </row>
    <row r="80" spans="1:5" x14ac:dyDescent="0.3">
      <c r="A80" t="s">
        <v>705</v>
      </c>
      <c r="B80" t="s">
        <v>706</v>
      </c>
      <c r="C80">
        <v>10996891</v>
      </c>
      <c r="D80" s="121" t="s">
        <v>1097</v>
      </c>
      <c r="E80">
        <v>1.5E-3</v>
      </c>
    </row>
    <row r="81" spans="1:5" x14ac:dyDescent="0.3">
      <c r="A81" t="s">
        <v>707</v>
      </c>
      <c r="B81" t="s">
        <v>708</v>
      </c>
      <c r="C81">
        <v>10992589</v>
      </c>
      <c r="D81" s="121" t="s">
        <v>1105</v>
      </c>
      <c r="E81">
        <v>1.5E-3</v>
      </c>
    </row>
    <row r="82" spans="1:5" x14ac:dyDescent="0.3">
      <c r="A82" t="s">
        <v>709</v>
      </c>
      <c r="B82" t="s">
        <v>710</v>
      </c>
      <c r="C82">
        <v>10982754</v>
      </c>
      <c r="D82" s="121" t="s">
        <v>1113</v>
      </c>
      <c r="E82">
        <v>1.5E-3</v>
      </c>
    </row>
    <row r="83" spans="1:5" x14ac:dyDescent="0.3">
      <c r="A83" t="s">
        <v>712</v>
      </c>
      <c r="B83" t="s">
        <v>713</v>
      </c>
      <c r="C83">
        <v>10911819</v>
      </c>
      <c r="D83" s="121" t="s">
        <v>1094</v>
      </c>
      <c r="E83">
        <v>1.5E-3</v>
      </c>
    </row>
    <row r="84" spans="1:5" x14ac:dyDescent="0.3">
      <c r="A84" t="s">
        <v>714</v>
      </c>
      <c r="B84" t="s">
        <v>715</v>
      </c>
      <c r="C84">
        <v>10628972</v>
      </c>
      <c r="D84" s="121" t="s">
        <v>1114</v>
      </c>
      <c r="E84">
        <v>1.5E-3</v>
      </c>
    </row>
    <row r="85" spans="1:5" x14ac:dyDescent="0.3">
      <c r="A85" t="s">
        <v>717</v>
      </c>
      <c r="B85" t="s">
        <v>718</v>
      </c>
      <c r="C85">
        <v>10528477</v>
      </c>
      <c r="D85" s="121" t="s">
        <v>1101</v>
      </c>
      <c r="E85">
        <v>1.5E-3</v>
      </c>
    </row>
    <row r="86" spans="1:5" x14ac:dyDescent="0.3">
      <c r="A86" t="s">
        <v>719</v>
      </c>
      <c r="B86" t="s">
        <v>720</v>
      </c>
      <c r="C86">
        <v>10477800</v>
      </c>
      <c r="D86" s="121" t="s">
        <v>1112</v>
      </c>
      <c r="E86">
        <v>1.5E-3</v>
      </c>
    </row>
    <row r="87" spans="1:5" x14ac:dyDescent="0.3">
      <c r="A87" t="s">
        <v>721</v>
      </c>
      <c r="B87" t="s">
        <v>722</v>
      </c>
      <c r="C87">
        <v>10378267</v>
      </c>
      <c r="D87" s="121" t="s">
        <v>1097</v>
      </c>
      <c r="E87">
        <v>1.4E-3</v>
      </c>
    </row>
    <row r="88" spans="1:5" x14ac:dyDescent="0.3">
      <c r="A88" t="s">
        <v>723</v>
      </c>
      <c r="B88" t="s">
        <v>724</v>
      </c>
      <c r="C88">
        <v>10315244</v>
      </c>
      <c r="D88" s="121" t="s">
        <v>1094</v>
      </c>
      <c r="E88">
        <v>1.4E-3</v>
      </c>
    </row>
    <row r="89" spans="1:5" x14ac:dyDescent="0.3">
      <c r="A89" t="s">
        <v>725</v>
      </c>
      <c r="B89" t="s">
        <v>726</v>
      </c>
      <c r="C89">
        <v>9849000</v>
      </c>
      <c r="D89" s="121" t="s">
        <v>1099</v>
      </c>
      <c r="E89">
        <v>1.4E-3</v>
      </c>
    </row>
    <row r="90" spans="1:5" x14ac:dyDescent="0.3">
      <c r="A90" t="s">
        <v>727</v>
      </c>
      <c r="B90" t="s">
        <v>728</v>
      </c>
      <c r="C90">
        <v>9823827</v>
      </c>
      <c r="D90" s="121" t="s">
        <v>1094</v>
      </c>
      <c r="E90">
        <v>1.4E-3</v>
      </c>
    </row>
    <row r="91" spans="1:5" x14ac:dyDescent="0.3">
      <c r="A91" t="s">
        <v>729</v>
      </c>
      <c r="B91" t="s">
        <v>730</v>
      </c>
      <c r="C91">
        <v>9753627</v>
      </c>
      <c r="D91" s="121" t="s">
        <v>1107</v>
      </c>
      <c r="E91">
        <v>1.2999999999999999E-3</v>
      </c>
    </row>
    <row r="92" spans="1:5" x14ac:dyDescent="0.3">
      <c r="A92" t="s">
        <v>731</v>
      </c>
      <c r="B92" t="s">
        <v>732</v>
      </c>
      <c r="C92">
        <v>9593000</v>
      </c>
      <c r="D92" s="121" t="s">
        <v>1095</v>
      </c>
      <c r="E92">
        <v>1.2999999999999999E-3</v>
      </c>
    </row>
    <row r="93" spans="1:5" x14ac:dyDescent="0.3">
      <c r="A93" t="s">
        <v>733</v>
      </c>
      <c r="B93" t="s">
        <v>734</v>
      </c>
      <c r="C93">
        <v>9577000</v>
      </c>
      <c r="D93" s="121" t="s">
        <v>1094</v>
      </c>
      <c r="E93">
        <v>1.2999999999999999E-3</v>
      </c>
    </row>
    <row r="94" spans="1:5" x14ac:dyDescent="0.3">
      <c r="A94" t="s">
        <v>735</v>
      </c>
      <c r="B94" t="s">
        <v>736</v>
      </c>
      <c r="C94">
        <v>9481000</v>
      </c>
      <c r="D94" s="121" t="s">
        <v>1095</v>
      </c>
      <c r="E94">
        <v>1.2999999999999999E-3</v>
      </c>
    </row>
    <row r="95" spans="1:5" x14ac:dyDescent="0.3">
      <c r="A95" t="s">
        <v>737</v>
      </c>
      <c r="B95" t="s">
        <v>738</v>
      </c>
      <c r="C95">
        <v>8725111</v>
      </c>
      <c r="D95" s="121" t="s">
        <v>1097</v>
      </c>
      <c r="E95">
        <v>1.1999999999999999E-3</v>
      </c>
    </row>
    <row r="96" spans="1:5" x14ac:dyDescent="0.3">
      <c r="A96" t="s">
        <v>739</v>
      </c>
      <c r="B96" t="s">
        <v>740</v>
      </c>
      <c r="C96">
        <v>8579747</v>
      </c>
      <c r="D96" s="121" t="s">
        <v>1095</v>
      </c>
      <c r="E96">
        <v>1.1999999999999999E-3</v>
      </c>
    </row>
    <row r="97" spans="1:5" x14ac:dyDescent="0.3">
      <c r="A97" t="s">
        <v>741</v>
      </c>
      <c r="B97" t="s">
        <v>742</v>
      </c>
      <c r="C97">
        <v>8354000</v>
      </c>
      <c r="D97" s="121" t="s">
        <v>1095</v>
      </c>
      <c r="E97">
        <v>1.1999999999999999E-3</v>
      </c>
    </row>
    <row r="98" spans="1:5" x14ac:dyDescent="0.3">
      <c r="A98" t="s">
        <v>743</v>
      </c>
      <c r="B98" t="s">
        <v>744</v>
      </c>
      <c r="C98">
        <v>8309400</v>
      </c>
      <c r="D98" s="121" t="s">
        <v>1107</v>
      </c>
      <c r="E98">
        <v>1.1000000000000001E-3</v>
      </c>
    </row>
    <row r="99" spans="1:5" x14ac:dyDescent="0.3">
      <c r="A99" t="s">
        <v>745</v>
      </c>
      <c r="B99" t="s">
        <v>746</v>
      </c>
      <c r="C99">
        <v>8211700</v>
      </c>
      <c r="D99" s="121" t="s">
        <v>1101</v>
      </c>
      <c r="E99">
        <v>1.1000000000000001E-3</v>
      </c>
    </row>
    <row r="100" spans="1:5" x14ac:dyDescent="0.3">
      <c r="A100" t="s">
        <v>747</v>
      </c>
      <c r="B100" t="s">
        <v>748</v>
      </c>
      <c r="C100">
        <v>7398500</v>
      </c>
      <c r="D100" s="121" t="s">
        <v>1100</v>
      </c>
      <c r="E100">
        <v>1.0200000000000001E-3</v>
      </c>
    </row>
    <row r="101" spans="1:5" x14ac:dyDescent="0.3">
      <c r="A101" t="s">
        <v>749</v>
      </c>
      <c r="B101" t="s">
        <v>750</v>
      </c>
      <c r="C101">
        <v>7264100</v>
      </c>
      <c r="D101" s="121" t="s">
        <v>1099</v>
      </c>
      <c r="E101">
        <v>1E-3</v>
      </c>
    </row>
    <row r="102" spans="1:5" x14ac:dyDescent="0.3">
      <c r="A102" t="s">
        <v>751</v>
      </c>
      <c r="B102" t="s">
        <v>752</v>
      </c>
      <c r="C102">
        <v>7245677</v>
      </c>
      <c r="D102" s="121" t="s">
        <v>1112</v>
      </c>
      <c r="E102">
        <v>1E-3</v>
      </c>
    </row>
    <row r="103" spans="1:5" x14ac:dyDescent="0.3">
      <c r="A103" t="s">
        <v>753</v>
      </c>
      <c r="B103" t="s">
        <v>754</v>
      </c>
      <c r="C103">
        <v>7171000</v>
      </c>
      <c r="D103" s="121" t="s">
        <v>1094</v>
      </c>
      <c r="E103">
        <v>9.8999999999999999E-4</v>
      </c>
    </row>
    <row r="104" spans="1:5" x14ac:dyDescent="0.3">
      <c r="A104" t="s">
        <v>755</v>
      </c>
      <c r="B104" t="s">
        <v>756</v>
      </c>
      <c r="C104">
        <v>7146759</v>
      </c>
      <c r="D104" s="121" t="s">
        <v>1105</v>
      </c>
      <c r="E104">
        <v>9.8999999999999999E-4</v>
      </c>
    </row>
    <row r="105" spans="1:5" x14ac:dyDescent="0.3">
      <c r="A105" t="s">
        <v>757</v>
      </c>
      <c r="B105" t="s">
        <v>758</v>
      </c>
      <c r="C105">
        <v>7003406</v>
      </c>
      <c r="D105" s="121" t="s">
        <v>1095</v>
      </c>
      <c r="E105">
        <v>9.7000000000000005E-4</v>
      </c>
    </row>
    <row r="106" spans="1:5" x14ac:dyDescent="0.3">
      <c r="A106" t="s">
        <v>760</v>
      </c>
      <c r="B106" t="s">
        <v>761</v>
      </c>
      <c r="C106">
        <v>6802000</v>
      </c>
      <c r="D106" s="121" t="s">
        <v>1094</v>
      </c>
      <c r="E106">
        <v>9.3999999999999997E-4</v>
      </c>
    </row>
    <row r="107" spans="1:5" x14ac:dyDescent="0.3">
      <c r="A107" t="s">
        <v>762</v>
      </c>
      <c r="B107" t="s">
        <v>763</v>
      </c>
      <c r="C107">
        <v>6738000</v>
      </c>
      <c r="D107" s="121" t="s">
        <v>1094</v>
      </c>
      <c r="E107">
        <v>9.3000000000000005E-4</v>
      </c>
    </row>
    <row r="108" spans="1:5" x14ac:dyDescent="0.3">
      <c r="A108" t="s">
        <v>764</v>
      </c>
      <c r="B108" t="s">
        <v>765</v>
      </c>
      <c r="C108">
        <v>6698310</v>
      </c>
      <c r="D108" s="121" t="s">
        <v>1093</v>
      </c>
      <c r="E108">
        <v>9.2699999999999998E-4</v>
      </c>
    </row>
    <row r="109" spans="1:5" x14ac:dyDescent="0.3">
      <c r="A109" t="s">
        <v>766</v>
      </c>
      <c r="B109" t="s">
        <v>767</v>
      </c>
      <c r="C109">
        <v>6401240</v>
      </c>
      <c r="D109" s="121" t="s">
        <v>1105</v>
      </c>
      <c r="E109">
        <v>8.8999999999999995E-4</v>
      </c>
    </row>
    <row r="110" spans="1:5" x14ac:dyDescent="0.3">
      <c r="A110" t="s">
        <v>769</v>
      </c>
      <c r="B110" t="s">
        <v>770</v>
      </c>
      <c r="C110">
        <v>6319000</v>
      </c>
      <c r="D110" s="121" t="s">
        <v>1094</v>
      </c>
      <c r="E110">
        <v>8.7000000000000001E-4</v>
      </c>
    </row>
    <row r="111" spans="1:5" x14ac:dyDescent="0.3">
      <c r="A111" t="s">
        <v>771</v>
      </c>
      <c r="B111" t="s">
        <v>772</v>
      </c>
      <c r="C111">
        <v>6317000</v>
      </c>
      <c r="D111" s="121" t="s">
        <v>1094</v>
      </c>
      <c r="E111">
        <v>8.7000000000000001E-4</v>
      </c>
    </row>
    <row r="112" spans="1:5" x14ac:dyDescent="0.3">
      <c r="A112" t="s">
        <v>773</v>
      </c>
      <c r="B112" t="s">
        <v>774</v>
      </c>
      <c r="C112">
        <v>6134270</v>
      </c>
      <c r="D112" s="121" t="s">
        <v>1115</v>
      </c>
      <c r="E112">
        <v>8.4999999999999995E-4</v>
      </c>
    </row>
    <row r="113" spans="1:5" x14ac:dyDescent="0.3">
      <c r="A113" t="s">
        <v>776</v>
      </c>
      <c r="B113" t="s">
        <v>777</v>
      </c>
      <c r="C113">
        <v>5895100</v>
      </c>
      <c r="D113" s="121" t="s">
        <v>1095</v>
      </c>
      <c r="E113">
        <v>8.1999999999999998E-4</v>
      </c>
    </row>
    <row r="114" spans="1:5" x14ac:dyDescent="0.3">
      <c r="A114" t="s">
        <v>778</v>
      </c>
      <c r="B114" t="s">
        <v>779</v>
      </c>
      <c r="C114">
        <v>5659715</v>
      </c>
      <c r="D114" s="121" t="s">
        <v>1095</v>
      </c>
      <c r="E114">
        <v>7.7999999999999999E-4</v>
      </c>
    </row>
    <row r="115" spans="1:5" x14ac:dyDescent="0.3">
      <c r="A115" t="s">
        <v>780</v>
      </c>
      <c r="B115" t="s">
        <v>781</v>
      </c>
      <c r="C115">
        <v>5475526</v>
      </c>
      <c r="D115" s="121" t="s">
        <v>1096</v>
      </c>
      <c r="E115">
        <v>7.6000000000000004E-4</v>
      </c>
    </row>
    <row r="116" spans="1:5" x14ac:dyDescent="0.3">
      <c r="A116" t="s">
        <v>782</v>
      </c>
      <c r="B116" t="s">
        <v>783</v>
      </c>
      <c r="C116">
        <v>5469700</v>
      </c>
      <c r="D116" s="121" t="s">
        <v>1097</v>
      </c>
      <c r="E116">
        <v>7.6000000000000004E-4</v>
      </c>
    </row>
    <row r="117" spans="1:5" x14ac:dyDescent="0.3">
      <c r="A117" t="s">
        <v>784</v>
      </c>
      <c r="B117" t="s">
        <v>785</v>
      </c>
      <c r="C117">
        <v>5421034</v>
      </c>
      <c r="D117" s="121" t="s">
        <v>1101</v>
      </c>
      <c r="E117">
        <v>7.5000000000000002E-4</v>
      </c>
    </row>
    <row r="118" spans="1:5" x14ac:dyDescent="0.3">
      <c r="A118" t="s">
        <v>786</v>
      </c>
      <c r="B118" t="s">
        <v>431</v>
      </c>
      <c r="C118">
        <v>5165802</v>
      </c>
      <c r="D118" s="121" t="s">
        <v>1095</v>
      </c>
      <c r="E118">
        <v>7.1000000000000002E-4</v>
      </c>
    </row>
    <row r="119" spans="1:5" x14ac:dyDescent="0.3">
      <c r="A119" t="s">
        <v>787</v>
      </c>
      <c r="B119" t="s">
        <v>788</v>
      </c>
      <c r="C119">
        <v>4803000</v>
      </c>
      <c r="D119" s="121" t="s">
        <v>1094</v>
      </c>
      <c r="E119">
        <v>6.6E-4</v>
      </c>
    </row>
    <row r="120" spans="1:5" x14ac:dyDescent="0.3">
      <c r="A120" t="s">
        <v>789</v>
      </c>
      <c r="B120" t="s">
        <v>790</v>
      </c>
      <c r="C120">
        <v>4773130</v>
      </c>
      <c r="D120" s="121" t="s">
        <v>1098</v>
      </c>
      <c r="E120">
        <v>6.6E-4</v>
      </c>
    </row>
    <row r="121" spans="1:5" x14ac:dyDescent="0.3">
      <c r="A121" t="s">
        <v>791</v>
      </c>
      <c r="B121" t="s">
        <v>792</v>
      </c>
      <c r="C121">
        <v>4751120</v>
      </c>
      <c r="D121" s="121" t="s">
        <v>1116</v>
      </c>
      <c r="E121">
        <v>6.6E-4</v>
      </c>
    </row>
    <row r="122" spans="1:5" x14ac:dyDescent="0.3">
      <c r="A122" t="s">
        <v>794</v>
      </c>
      <c r="B122" t="s">
        <v>795</v>
      </c>
      <c r="C122">
        <v>4671000</v>
      </c>
      <c r="D122" s="121" t="s">
        <v>1094</v>
      </c>
      <c r="E122">
        <v>6.4999999999999997E-4</v>
      </c>
    </row>
    <row r="123" spans="1:5" x14ac:dyDescent="0.3">
      <c r="A123" t="s">
        <v>796</v>
      </c>
      <c r="B123" t="s">
        <v>797</v>
      </c>
      <c r="C123">
        <v>4609600</v>
      </c>
      <c r="D123" s="121" t="s">
        <v>1117</v>
      </c>
      <c r="E123">
        <v>6.4000000000000005E-4</v>
      </c>
    </row>
    <row r="124" spans="1:5" x14ac:dyDescent="0.3">
      <c r="A124" t="s">
        <v>799</v>
      </c>
      <c r="B124" t="s">
        <v>800</v>
      </c>
      <c r="C124">
        <v>4566220</v>
      </c>
      <c r="D124" s="121" t="s">
        <v>1093</v>
      </c>
      <c r="E124">
        <v>6.3199999999999997E-4</v>
      </c>
    </row>
    <row r="125" spans="1:5" x14ac:dyDescent="0.3">
      <c r="A125" t="s">
        <v>801</v>
      </c>
      <c r="B125" t="s">
        <v>802</v>
      </c>
      <c r="C125">
        <v>4550368</v>
      </c>
      <c r="D125" s="121" t="s">
        <v>1097</v>
      </c>
      <c r="E125">
        <v>6.3000000000000003E-4</v>
      </c>
    </row>
    <row r="126" spans="1:5" x14ac:dyDescent="0.3">
      <c r="A126" t="s">
        <v>803</v>
      </c>
      <c r="B126" t="s">
        <v>804</v>
      </c>
      <c r="C126">
        <v>4503000</v>
      </c>
      <c r="D126" s="121" t="s">
        <v>1094</v>
      </c>
      <c r="E126">
        <v>6.2E-4</v>
      </c>
    </row>
    <row r="127" spans="1:5" x14ac:dyDescent="0.3">
      <c r="A127" t="s">
        <v>805</v>
      </c>
      <c r="B127" t="s">
        <v>806</v>
      </c>
      <c r="C127">
        <v>4490500</v>
      </c>
      <c r="D127" s="121" t="s">
        <v>1105</v>
      </c>
      <c r="E127">
        <v>6.2E-4</v>
      </c>
    </row>
    <row r="128" spans="1:5" x14ac:dyDescent="0.3">
      <c r="A128" t="s">
        <v>807</v>
      </c>
      <c r="B128" t="s">
        <v>808</v>
      </c>
      <c r="C128">
        <v>4267558</v>
      </c>
      <c r="D128" s="121" t="s">
        <v>1118</v>
      </c>
      <c r="E128">
        <v>5.9000000000000003E-4</v>
      </c>
    </row>
    <row r="129" spans="1:5" x14ac:dyDescent="0.3">
      <c r="A129" t="s">
        <v>810</v>
      </c>
      <c r="B129" t="s">
        <v>811</v>
      </c>
      <c r="C129">
        <v>4130593</v>
      </c>
      <c r="D129" s="121" t="s">
        <v>1119</v>
      </c>
      <c r="E129">
        <v>5.6999999999999998E-4</v>
      </c>
    </row>
    <row r="130" spans="1:5" x14ac:dyDescent="0.3">
      <c r="A130" t="s">
        <v>813</v>
      </c>
      <c r="B130" t="s">
        <v>814</v>
      </c>
      <c r="C130">
        <v>4104000</v>
      </c>
      <c r="D130" s="121" t="s">
        <v>1118</v>
      </c>
      <c r="E130">
        <v>5.6999999999999998E-4</v>
      </c>
    </row>
    <row r="131" spans="1:5" x14ac:dyDescent="0.3">
      <c r="A131" t="s">
        <v>815</v>
      </c>
      <c r="B131" t="s">
        <v>816</v>
      </c>
      <c r="C131">
        <v>3791622</v>
      </c>
      <c r="D131" s="121" t="s">
        <v>1120</v>
      </c>
      <c r="E131">
        <v>5.1999999999999995E-4</v>
      </c>
    </row>
    <row r="132" spans="1:5" x14ac:dyDescent="0.3">
      <c r="A132" t="s">
        <v>818</v>
      </c>
      <c r="B132" t="s">
        <v>819</v>
      </c>
      <c r="C132">
        <v>3764166</v>
      </c>
      <c r="D132" s="121" t="s">
        <v>1094</v>
      </c>
      <c r="E132">
        <v>5.0000000000000001E-4</v>
      </c>
    </row>
    <row r="133" spans="1:5" x14ac:dyDescent="0.3">
      <c r="A133" t="s">
        <v>820</v>
      </c>
      <c r="B133" t="s">
        <v>821</v>
      </c>
      <c r="C133">
        <v>3631775</v>
      </c>
      <c r="D133" s="121" t="s">
        <v>1094</v>
      </c>
      <c r="E133">
        <v>5.0000000000000001E-4</v>
      </c>
    </row>
    <row r="134" spans="1:5" x14ac:dyDescent="0.3">
      <c r="A134" t="s">
        <v>822</v>
      </c>
      <c r="B134" t="s">
        <v>823</v>
      </c>
      <c r="C134">
        <v>3557600</v>
      </c>
      <c r="D134" s="121" t="s">
        <v>1105</v>
      </c>
      <c r="E134">
        <v>4.8999999999999998E-4</v>
      </c>
    </row>
    <row r="135" spans="1:5" x14ac:dyDescent="0.3">
      <c r="A135" t="s">
        <v>824</v>
      </c>
      <c r="B135" t="s">
        <v>825</v>
      </c>
      <c r="C135">
        <v>3548397</v>
      </c>
      <c r="D135" s="121" t="s">
        <v>1097</v>
      </c>
      <c r="E135">
        <v>4.8999999999999998E-4</v>
      </c>
    </row>
    <row r="136" spans="1:5" x14ac:dyDescent="0.3">
      <c r="A136" t="s">
        <v>826</v>
      </c>
      <c r="B136" t="s">
        <v>827</v>
      </c>
      <c r="C136">
        <v>3404189</v>
      </c>
      <c r="D136" s="121" t="s">
        <v>1098</v>
      </c>
      <c r="E136">
        <v>4.6999999999999999E-4</v>
      </c>
    </row>
    <row r="137" spans="1:5" x14ac:dyDescent="0.3">
      <c r="A137" t="s">
        <v>828</v>
      </c>
      <c r="B137" t="s">
        <v>829</v>
      </c>
      <c r="C137">
        <v>3268431</v>
      </c>
      <c r="D137" s="121" t="s">
        <v>1118</v>
      </c>
      <c r="E137">
        <v>4.4999999999999999E-4</v>
      </c>
    </row>
    <row r="138" spans="1:5" x14ac:dyDescent="0.3">
      <c r="A138" t="s">
        <v>830</v>
      </c>
      <c r="B138" t="s">
        <v>831</v>
      </c>
      <c r="C138">
        <v>3013900</v>
      </c>
      <c r="D138" s="121" t="s">
        <v>1101</v>
      </c>
      <c r="E138">
        <v>4.2000000000000002E-4</v>
      </c>
    </row>
    <row r="139" spans="1:5" x14ac:dyDescent="0.3">
      <c r="A139" t="s">
        <v>832</v>
      </c>
      <c r="B139" t="s">
        <v>833</v>
      </c>
      <c r="C139">
        <v>3000000</v>
      </c>
      <c r="D139" s="121" t="s">
        <v>1121</v>
      </c>
      <c r="E139">
        <v>4.0999999999999999E-4</v>
      </c>
    </row>
    <row r="140" spans="1:5" x14ac:dyDescent="0.3">
      <c r="A140" t="s">
        <v>835</v>
      </c>
      <c r="B140" t="s">
        <v>836</v>
      </c>
      <c r="C140">
        <v>2919306</v>
      </c>
      <c r="D140" s="121" t="s">
        <v>1122</v>
      </c>
      <c r="E140">
        <v>4.0000000000000002E-4</v>
      </c>
    </row>
    <row r="141" spans="1:5" x14ac:dyDescent="0.3">
      <c r="A141" t="s">
        <v>838</v>
      </c>
      <c r="B141" t="s">
        <v>839</v>
      </c>
      <c r="C141">
        <v>2893005</v>
      </c>
      <c r="D141" s="121" t="s">
        <v>1095</v>
      </c>
      <c r="E141">
        <v>4.0000000000000002E-4</v>
      </c>
    </row>
    <row r="142" spans="1:5" x14ac:dyDescent="0.3">
      <c r="A142" t="s">
        <v>840</v>
      </c>
      <c r="B142" t="s">
        <v>420</v>
      </c>
      <c r="C142">
        <v>2717991</v>
      </c>
      <c r="D142" s="121" t="s">
        <v>1112</v>
      </c>
      <c r="E142">
        <v>3.8000000000000002E-4</v>
      </c>
    </row>
    <row r="143" spans="1:5" x14ac:dyDescent="0.3">
      <c r="A143" t="s">
        <v>841</v>
      </c>
      <c r="B143" t="s">
        <v>842</v>
      </c>
      <c r="C143">
        <v>2334029</v>
      </c>
      <c r="D143" s="121" t="s">
        <v>1123</v>
      </c>
      <c r="E143">
        <v>3.2000000000000003E-4</v>
      </c>
    </row>
    <row r="144" spans="1:5" x14ac:dyDescent="0.3">
      <c r="A144" t="s">
        <v>844</v>
      </c>
      <c r="B144" t="s">
        <v>845</v>
      </c>
      <c r="C144">
        <v>2120000</v>
      </c>
      <c r="D144" s="121" t="s">
        <v>1094</v>
      </c>
      <c r="E144">
        <v>2.9E-4</v>
      </c>
    </row>
    <row r="145" spans="1:5" x14ac:dyDescent="0.3">
      <c r="A145" t="s">
        <v>846</v>
      </c>
      <c r="B145" t="s">
        <v>847</v>
      </c>
      <c r="C145">
        <v>2113077</v>
      </c>
      <c r="D145" s="121" t="s">
        <v>1124</v>
      </c>
      <c r="E145">
        <v>2.9E-4</v>
      </c>
    </row>
    <row r="146" spans="1:5" x14ac:dyDescent="0.3">
      <c r="A146" t="s">
        <v>849</v>
      </c>
      <c r="B146" t="s">
        <v>850</v>
      </c>
      <c r="C146">
        <v>2065769</v>
      </c>
      <c r="D146" s="121" t="s">
        <v>1112</v>
      </c>
      <c r="E146">
        <v>2.9E-4</v>
      </c>
    </row>
    <row r="147" spans="1:5" x14ac:dyDescent="0.3">
      <c r="A147" t="s">
        <v>851</v>
      </c>
      <c r="B147" t="s">
        <v>852</v>
      </c>
      <c r="C147">
        <v>2065857</v>
      </c>
      <c r="D147" s="121" t="s">
        <v>1093</v>
      </c>
      <c r="E147">
        <v>2.9E-4</v>
      </c>
    </row>
    <row r="148" spans="1:5" x14ac:dyDescent="0.3">
      <c r="A148" t="s">
        <v>853</v>
      </c>
      <c r="B148" t="s">
        <v>854</v>
      </c>
      <c r="C148">
        <v>2024904</v>
      </c>
      <c r="D148" s="121" t="s">
        <v>1125</v>
      </c>
      <c r="E148">
        <v>2.7999999999999998E-4</v>
      </c>
    </row>
    <row r="149" spans="1:5" x14ac:dyDescent="0.3">
      <c r="A149" t="s">
        <v>856</v>
      </c>
      <c r="B149" t="s">
        <v>857</v>
      </c>
      <c r="C149">
        <v>1986700</v>
      </c>
      <c r="D149" s="121" t="s">
        <v>1096</v>
      </c>
      <c r="E149">
        <v>2.7E-4</v>
      </c>
    </row>
    <row r="150" spans="1:5" x14ac:dyDescent="0.3">
      <c r="A150" t="s">
        <v>858</v>
      </c>
      <c r="B150" t="s">
        <v>859</v>
      </c>
      <c r="C150">
        <v>1882450</v>
      </c>
      <c r="D150" s="121" t="s">
        <v>1126</v>
      </c>
      <c r="E150">
        <v>2.5999999999999998E-4</v>
      </c>
    </row>
    <row r="151" spans="1:5" x14ac:dyDescent="0.3">
      <c r="A151" t="s">
        <v>861</v>
      </c>
      <c r="B151" t="s">
        <v>862</v>
      </c>
      <c r="C151">
        <v>1827231</v>
      </c>
      <c r="D151" s="121" t="s">
        <v>1095</v>
      </c>
      <c r="E151">
        <v>2.5000000000000001E-4</v>
      </c>
    </row>
    <row r="152" spans="1:5" x14ac:dyDescent="0.3">
      <c r="A152" t="s">
        <v>863</v>
      </c>
      <c r="B152" t="s">
        <v>864</v>
      </c>
      <c r="C152">
        <v>1788000</v>
      </c>
      <c r="D152" s="121" t="s">
        <v>1094</v>
      </c>
      <c r="E152">
        <v>2.5000000000000001E-4</v>
      </c>
    </row>
    <row r="153" spans="1:5" x14ac:dyDescent="0.3">
      <c r="A153" t="s">
        <v>865</v>
      </c>
      <c r="B153" t="s">
        <v>866</v>
      </c>
      <c r="C153">
        <v>1751000</v>
      </c>
      <c r="D153" s="121" t="s">
        <v>1094</v>
      </c>
      <c r="E153">
        <v>2.4000000000000001E-4</v>
      </c>
    </row>
    <row r="154" spans="1:5" x14ac:dyDescent="0.3">
      <c r="A154" t="s">
        <v>867</v>
      </c>
      <c r="B154" t="s">
        <v>868</v>
      </c>
      <c r="C154">
        <v>1430000</v>
      </c>
      <c r="D154" s="121" t="s">
        <v>1100</v>
      </c>
      <c r="E154">
        <v>2.0000000000000001E-4</v>
      </c>
    </row>
    <row r="155" spans="1:5" x14ac:dyDescent="0.3">
      <c r="A155" t="s">
        <v>869</v>
      </c>
      <c r="B155" t="s">
        <v>870</v>
      </c>
      <c r="C155">
        <v>1328019</v>
      </c>
      <c r="D155" s="121" t="s">
        <v>1127</v>
      </c>
      <c r="E155">
        <v>1.8000000000000001E-4</v>
      </c>
    </row>
    <row r="156" spans="1:5" x14ac:dyDescent="0.3">
      <c r="A156" t="s">
        <v>872</v>
      </c>
      <c r="B156" t="s">
        <v>873</v>
      </c>
      <c r="C156">
        <v>1316500</v>
      </c>
      <c r="D156" s="121" t="s">
        <v>1097</v>
      </c>
      <c r="E156">
        <v>1.8000000000000001E-4</v>
      </c>
    </row>
    <row r="157" spans="1:5" x14ac:dyDescent="0.3">
      <c r="A157" t="s">
        <v>874</v>
      </c>
      <c r="B157" t="s">
        <v>875</v>
      </c>
      <c r="C157">
        <v>1312252</v>
      </c>
      <c r="D157" s="121" t="s">
        <v>1095</v>
      </c>
      <c r="E157">
        <v>1.8000000000000001E-4</v>
      </c>
    </row>
    <row r="158" spans="1:5" x14ac:dyDescent="0.3">
      <c r="A158" t="s">
        <v>876</v>
      </c>
      <c r="B158" t="s">
        <v>877</v>
      </c>
      <c r="C158">
        <v>1261208</v>
      </c>
      <c r="D158" s="121" t="s">
        <v>1097</v>
      </c>
      <c r="E158">
        <v>1.7000000000000001E-4</v>
      </c>
    </row>
    <row r="159" spans="1:5" x14ac:dyDescent="0.3">
      <c r="A159" t="s">
        <v>878</v>
      </c>
      <c r="B159" t="s">
        <v>879</v>
      </c>
      <c r="C159">
        <v>1212107</v>
      </c>
      <c r="D159" s="121" t="s">
        <v>1097</v>
      </c>
      <c r="E159">
        <v>1.7000000000000001E-4</v>
      </c>
    </row>
    <row r="160" spans="1:5" x14ac:dyDescent="0.3">
      <c r="A160" t="s">
        <v>880</v>
      </c>
      <c r="B160" t="s">
        <v>881</v>
      </c>
      <c r="C160">
        <v>1119375</v>
      </c>
      <c r="D160" s="121" t="s">
        <v>1094</v>
      </c>
      <c r="E160">
        <v>1.4999999999999999E-4</v>
      </c>
    </row>
    <row r="161" spans="1:5" x14ac:dyDescent="0.3">
      <c r="A161" t="s">
        <v>882</v>
      </c>
      <c r="B161" t="s">
        <v>883</v>
      </c>
      <c r="C161">
        <v>900000</v>
      </c>
      <c r="D161" s="121" t="s">
        <v>1094</v>
      </c>
      <c r="E161">
        <v>1.2E-4</v>
      </c>
    </row>
    <row r="162" spans="1:5" x14ac:dyDescent="0.3">
      <c r="A162" t="s">
        <v>884</v>
      </c>
      <c r="B162" t="s">
        <v>885</v>
      </c>
      <c r="C162">
        <v>859178</v>
      </c>
      <c r="D162" s="121" t="s">
        <v>1100</v>
      </c>
      <c r="E162">
        <v>1.1900000000000001E-4</v>
      </c>
    </row>
    <row r="163" spans="1:5" x14ac:dyDescent="0.3">
      <c r="A163" t="s">
        <v>886</v>
      </c>
      <c r="B163" t="s">
        <v>887</v>
      </c>
      <c r="C163">
        <v>858000</v>
      </c>
      <c r="D163" s="121" t="s">
        <v>1105</v>
      </c>
      <c r="E163">
        <v>1.2E-4</v>
      </c>
    </row>
    <row r="164" spans="1:5" x14ac:dyDescent="0.3">
      <c r="A164" t="s">
        <v>888</v>
      </c>
      <c r="B164" t="s">
        <v>889</v>
      </c>
      <c r="C164">
        <v>844994</v>
      </c>
      <c r="D164" s="121" t="s">
        <v>1105</v>
      </c>
      <c r="E164">
        <v>1.2E-4</v>
      </c>
    </row>
    <row r="165" spans="1:5" x14ac:dyDescent="0.3">
      <c r="A165" t="s">
        <v>890</v>
      </c>
      <c r="B165" t="s">
        <v>891</v>
      </c>
      <c r="C165">
        <v>763952</v>
      </c>
      <c r="D165" s="121" t="s">
        <v>1097</v>
      </c>
      <c r="E165">
        <v>1.1E-4</v>
      </c>
    </row>
    <row r="166" spans="1:5" x14ac:dyDescent="0.3">
      <c r="A166" t="s">
        <v>892</v>
      </c>
      <c r="B166" t="s">
        <v>893</v>
      </c>
      <c r="C166">
        <v>757940</v>
      </c>
      <c r="D166" s="121" t="s">
        <v>1093</v>
      </c>
      <c r="E166">
        <v>1.05E-4</v>
      </c>
    </row>
    <row r="167" spans="1:5" x14ac:dyDescent="0.3">
      <c r="A167" t="s">
        <v>894</v>
      </c>
      <c r="B167" t="s">
        <v>895</v>
      </c>
      <c r="C167">
        <v>746900</v>
      </c>
      <c r="D167" s="121" t="s">
        <v>1100</v>
      </c>
      <c r="E167">
        <v>1E-4</v>
      </c>
    </row>
    <row r="168" spans="1:5" x14ac:dyDescent="0.3">
      <c r="A168" t="s">
        <v>896</v>
      </c>
      <c r="B168" t="s">
        <v>897</v>
      </c>
      <c r="C168">
        <v>631000</v>
      </c>
      <c r="D168" s="121" t="s">
        <v>1101</v>
      </c>
      <c r="E168">
        <v>8.7000000000000001E-5</v>
      </c>
    </row>
    <row r="169" spans="1:5" x14ac:dyDescent="0.3">
      <c r="A169" t="s">
        <v>898</v>
      </c>
      <c r="B169" t="s">
        <v>899</v>
      </c>
      <c r="C169">
        <v>620029</v>
      </c>
      <c r="D169" s="121" t="s">
        <v>1128</v>
      </c>
      <c r="E169">
        <v>8.6000000000000003E-5</v>
      </c>
    </row>
    <row r="170" spans="1:5" x14ac:dyDescent="0.3">
      <c r="A170" t="s">
        <v>901</v>
      </c>
      <c r="B170" t="s">
        <v>902</v>
      </c>
      <c r="C170">
        <v>604000</v>
      </c>
      <c r="D170" s="121" t="s">
        <v>1094</v>
      </c>
      <c r="E170">
        <v>8.3999999999999995E-5</v>
      </c>
    </row>
    <row r="171" spans="1:5" x14ac:dyDescent="0.3">
      <c r="A171" t="s">
        <v>903</v>
      </c>
      <c r="B171" t="s">
        <v>904</v>
      </c>
      <c r="C171">
        <v>581344</v>
      </c>
      <c r="D171" s="121" t="s">
        <v>1100</v>
      </c>
      <c r="E171">
        <v>8.0000000000000007E-5</v>
      </c>
    </row>
    <row r="172" spans="1:5" x14ac:dyDescent="0.3">
      <c r="A172" t="s">
        <v>905</v>
      </c>
      <c r="B172" t="s">
        <v>906</v>
      </c>
      <c r="C172">
        <v>549700</v>
      </c>
      <c r="D172" s="121" t="s">
        <v>1112</v>
      </c>
      <c r="E172">
        <v>7.3999999999999996E-5</v>
      </c>
    </row>
    <row r="173" spans="1:5" x14ac:dyDescent="0.3">
      <c r="A173" t="s">
        <v>907</v>
      </c>
      <c r="B173" t="s">
        <v>908</v>
      </c>
      <c r="C173">
        <v>534189</v>
      </c>
      <c r="D173" s="121" t="s">
        <v>1129</v>
      </c>
      <c r="E173">
        <v>7.3999999999999996E-5</v>
      </c>
    </row>
    <row r="174" spans="1:5" x14ac:dyDescent="0.3">
      <c r="A174" t="s">
        <v>910</v>
      </c>
      <c r="B174" t="s">
        <v>911</v>
      </c>
      <c r="C174">
        <v>518467</v>
      </c>
      <c r="D174" s="121" t="s">
        <v>1097</v>
      </c>
      <c r="E174">
        <v>7.2000000000000002E-5</v>
      </c>
    </row>
    <row r="175" spans="1:5" x14ac:dyDescent="0.3">
      <c r="A175" t="s">
        <v>912</v>
      </c>
      <c r="B175" t="s">
        <v>913</v>
      </c>
      <c r="C175">
        <v>505153</v>
      </c>
      <c r="D175" s="121" t="s">
        <v>1105</v>
      </c>
      <c r="E175">
        <v>6.9999999999999994E-5</v>
      </c>
    </row>
    <row r="176" spans="1:5" x14ac:dyDescent="0.3">
      <c r="A176" t="s">
        <v>914</v>
      </c>
      <c r="B176" t="s">
        <v>915</v>
      </c>
      <c r="C176">
        <v>425384</v>
      </c>
      <c r="D176" s="121" t="s">
        <v>1112</v>
      </c>
      <c r="E176">
        <v>5.8999999999999998E-5</v>
      </c>
    </row>
    <row r="177" spans="1:5" x14ac:dyDescent="0.3">
      <c r="A177" t="s">
        <v>916</v>
      </c>
      <c r="B177" t="s">
        <v>917</v>
      </c>
      <c r="C177">
        <v>405739</v>
      </c>
      <c r="D177" s="121" t="s">
        <v>1115</v>
      </c>
      <c r="E177">
        <v>5.5999999999999999E-5</v>
      </c>
    </row>
    <row r="178" spans="1:5" x14ac:dyDescent="0.3">
      <c r="A178" t="s">
        <v>919</v>
      </c>
      <c r="B178" t="s">
        <v>920</v>
      </c>
      <c r="C178">
        <v>393372</v>
      </c>
      <c r="D178" s="121" t="s">
        <v>1130</v>
      </c>
      <c r="E178">
        <v>5.3999999999999998E-5</v>
      </c>
    </row>
    <row r="179" spans="1:5" x14ac:dyDescent="0.3">
      <c r="A179" t="s">
        <v>922</v>
      </c>
      <c r="B179" t="s">
        <v>923</v>
      </c>
      <c r="C179">
        <v>386486</v>
      </c>
      <c r="D179" s="121" t="s">
        <v>1115</v>
      </c>
      <c r="E179">
        <v>5.3000000000000001E-5</v>
      </c>
    </row>
    <row r="180" spans="1:5" x14ac:dyDescent="0.3">
      <c r="A180" t="s">
        <v>924</v>
      </c>
      <c r="B180" t="s">
        <v>925</v>
      </c>
      <c r="C180">
        <v>368390</v>
      </c>
      <c r="D180" s="121" t="s">
        <v>1100</v>
      </c>
      <c r="E180">
        <v>5.1E-5</v>
      </c>
    </row>
    <row r="181" spans="1:5" x14ac:dyDescent="0.3">
      <c r="A181" t="s">
        <v>926</v>
      </c>
      <c r="B181" t="s">
        <v>927</v>
      </c>
      <c r="C181">
        <v>349728</v>
      </c>
      <c r="D181" s="121" t="s">
        <v>1100</v>
      </c>
      <c r="E181">
        <v>4.8000000000000001E-5</v>
      </c>
    </row>
    <row r="182" spans="1:5" x14ac:dyDescent="0.3">
      <c r="A182" t="s">
        <v>928</v>
      </c>
      <c r="B182" t="s">
        <v>929</v>
      </c>
      <c r="C182">
        <v>341256</v>
      </c>
      <c r="D182" s="121" t="s">
        <v>1131</v>
      </c>
      <c r="E182">
        <v>4.6999999999999997E-5</v>
      </c>
    </row>
    <row r="183" spans="1:5" x14ac:dyDescent="0.3">
      <c r="A183" t="s">
        <v>931</v>
      </c>
      <c r="B183" t="s">
        <v>932</v>
      </c>
      <c r="C183">
        <v>329040</v>
      </c>
      <c r="D183" s="121" t="s">
        <v>1099</v>
      </c>
      <c r="E183">
        <v>4.6E-5</v>
      </c>
    </row>
    <row r="184" spans="1:5" x14ac:dyDescent="0.3">
      <c r="A184" t="s">
        <v>933</v>
      </c>
      <c r="B184" t="s">
        <v>934</v>
      </c>
      <c r="C184">
        <v>294906</v>
      </c>
      <c r="D184" s="121" t="s">
        <v>1132</v>
      </c>
      <c r="E184">
        <v>4.0000000000000003E-5</v>
      </c>
    </row>
    <row r="185" spans="1:5" x14ac:dyDescent="0.3">
      <c r="A185" t="s">
        <v>936</v>
      </c>
      <c r="B185" t="s">
        <v>937</v>
      </c>
      <c r="C185">
        <v>285000</v>
      </c>
      <c r="D185" s="121" t="s">
        <v>1100</v>
      </c>
      <c r="E185">
        <v>3.8999999999999999E-5</v>
      </c>
    </row>
    <row r="186" spans="1:5" x14ac:dyDescent="0.3">
      <c r="A186" t="s">
        <v>938</v>
      </c>
      <c r="B186" t="s">
        <v>939</v>
      </c>
      <c r="C186">
        <v>268767</v>
      </c>
      <c r="D186" s="121" t="s">
        <v>1133</v>
      </c>
      <c r="E186">
        <v>3.6999999999999998E-5</v>
      </c>
    </row>
    <row r="187" spans="1:5" x14ac:dyDescent="0.3">
      <c r="A187" t="s">
        <v>941</v>
      </c>
      <c r="B187" t="s">
        <v>942</v>
      </c>
      <c r="C187">
        <v>268270</v>
      </c>
      <c r="D187" s="121" t="s">
        <v>1134</v>
      </c>
      <c r="E187">
        <v>3.6999999999999998E-5</v>
      </c>
    </row>
    <row r="188" spans="1:5" x14ac:dyDescent="0.3">
      <c r="A188" t="s">
        <v>944</v>
      </c>
      <c r="B188" t="s">
        <v>945</v>
      </c>
      <c r="C188">
        <v>264652</v>
      </c>
      <c r="D188" s="121" t="s">
        <v>1100</v>
      </c>
      <c r="E188">
        <v>3.6999999999999998E-5</v>
      </c>
    </row>
    <row r="189" spans="1:5" x14ac:dyDescent="0.3">
      <c r="A189" t="s">
        <v>946</v>
      </c>
      <c r="B189" t="s">
        <v>947</v>
      </c>
      <c r="C189">
        <v>240705</v>
      </c>
      <c r="D189" s="121" t="s">
        <v>1135</v>
      </c>
      <c r="E189">
        <v>3.3000000000000003E-5</v>
      </c>
    </row>
    <row r="190" spans="1:5" x14ac:dyDescent="0.3">
      <c r="A190" t="s">
        <v>949</v>
      </c>
      <c r="B190" t="s">
        <v>950</v>
      </c>
      <c r="C190">
        <v>239648</v>
      </c>
      <c r="D190" s="121" t="s">
        <v>1136</v>
      </c>
      <c r="E190">
        <v>3.3000000000000003E-5</v>
      </c>
    </row>
    <row r="191" spans="1:5" x14ac:dyDescent="0.3">
      <c r="A191" t="s">
        <v>952</v>
      </c>
      <c r="B191" t="s">
        <v>953</v>
      </c>
      <c r="C191">
        <v>212645</v>
      </c>
      <c r="D191" s="121" t="s">
        <v>1137</v>
      </c>
      <c r="E191">
        <v>2.9E-5</v>
      </c>
    </row>
    <row r="192" spans="1:5" x14ac:dyDescent="0.3">
      <c r="A192" t="s">
        <v>955</v>
      </c>
      <c r="B192" t="s">
        <v>956</v>
      </c>
      <c r="C192">
        <v>187820</v>
      </c>
      <c r="D192" s="121" t="s">
        <v>1138</v>
      </c>
      <c r="E192">
        <v>2.5999999999999998E-5</v>
      </c>
    </row>
    <row r="193" spans="1:5" x14ac:dyDescent="0.3">
      <c r="A193" t="s">
        <v>958</v>
      </c>
      <c r="B193" t="s">
        <v>959</v>
      </c>
      <c r="C193">
        <v>187356</v>
      </c>
      <c r="D193" s="121" t="s">
        <v>1139</v>
      </c>
      <c r="E193">
        <v>2.5999999999999998E-5</v>
      </c>
    </row>
    <row r="194" spans="1:5" x14ac:dyDescent="0.3">
      <c r="A194" t="s">
        <v>961</v>
      </c>
      <c r="B194" t="s">
        <v>962</v>
      </c>
      <c r="C194">
        <v>185000</v>
      </c>
      <c r="D194" s="121" t="s">
        <v>1094</v>
      </c>
      <c r="E194">
        <v>2.5999999999999998E-5</v>
      </c>
    </row>
    <row r="195" spans="1:5" x14ac:dyDescent="0.3">
      <c r="A195" t="s">
        <v>963</v>
      </c>
      <c r="B195" t="s">
        <v>964</v>
      </c>
      <c r="C195">
        <v>159358</v>
      </c>
      <c r="D195" s="121" t="s">
        <v>1140</v>
      </c>
      <c r="E195">
        <v>2.1999999999999999E-5</v>
      </c>
    </row>
    <row r="196" spans="1:5" x14ac:dyDescent="0.3">
      <c r="A196" t="s">
        <v>966</v>
      </c>
      <c r="B196" t="s">
        <v>967</v>
      </c>
      <c r="C196">
        <v>154843</v>
      </c>
      <c r="D196" s="121" t="s">
        <v>1105</v>
      </c>
      <c r="E196">
        <v>2.0999999999999999E-5</v>
      </c>
    </row>
    <row r="197" spans="1:5" x14ac:dyDescent="0.3">
      <c r="A197" t="s">
        <v>968</v>
      </c>
      <c r="B197" t="s">
        <v>969</v>
      </c>
      <c r="C197">
        <v>109000</v>
      </c>
      <c r="D197" s="121" t="s">
        <v>1094</v>
      </c>
      <c r="E197">
        <v>1.5E-5</v>
      </c>
    </row>
    <row r="198" spans="1:5" x14ac:dyDescent="0.3">
      <c r="A198" t="s">
        <v>970</v>
      </c>
      <c r="B198" t="s">
        <v>971</v>
      </c>
      <c r="C198">
        <v>107394</v>
      </c>
      <c r="D198" s="121" t="s">
        <v>1141</v>
      </c>
      <c r="E198">
        <v>1.5E-5</v>
      </c>
    </row>
    <row r="199" spans="1:5" x14ac:dyDescent="0.3">
      <c r="A199" t="s">
        <v>973</v>
      </c>
      <c r="B199" t="s">
        <v>974</v>
      </c>
      <c r="C199">
        <v>106461</v>
      </c>
      <c r="D199" s="121" t="s">
        <v>1100</v>
      </c>
      <c r="E199">
        <v>1.5E-5</v>
      </c>
    </row>
    <row r="200" spans="1:5" x14ac:dyDescent="0.3">
      <c r="A200" t="s">
        <v>975</v>
      </c>
      <c r="B200" t="s">
        <v>976</v>
      </c>
      <c r="C200">
        <v>106405</v>
      </c>
      <c r="D200" s="121" t="s">
        <v>1140</v>
      </c>
      <c r="E200">
        <v>1.5E-5</v>
      </c>
    </row>
    <row r="201" spans="1:5" x14ac:dyDescent="0.3">
      <c r="A201" t="s">
        <v>977</v>
      </c>
      <c r="B201" t="s">
        <v>978</v>
      </c>
      <c r="C201">
        <v>103328</v>
      </c>
      <c r="D201" s="121" t="s">
        <v>1142</v>
      </c>
      <c r="E201">
        <v>1.4E-5</v>
      </c>
    </row>
    <row r="202" spans="1:5" x14ac:dyDescent="0.3">
      <c r="A202" t="s">
        <v>980</v>
      </c>
      <c r="B202" t="s">
        <v>981</v>
      </c>
      <c r="C202">
        <v>103252</v>
      </c>
      <c r="D202" s="121" t="s">
        <v>1143</v>
      </c>
      <c r="E202">
        <v>1.4E-5</v>
      </c>
    </row>
    <row r="203" spans="1:5" x14ac:dyDescent="0.3">
      <c r="A203" t="s">
        <v>983</v>
      </c>
      <c r="B203" t="s">
        <v>984</v>
      </c>
      <c r="C203">
        <v>101351</v>
      </c>
      <c r="D203" s="121" t="s">
        <v>1100</v>
      </c>
      <c r="E203">
        <v>1.4E-5</v>
      </c>
    </row>
    <row r="204" spans="1:5" x14ac:dyDescent="0.3">
      <c r="A204" t="s">
        <v>985</v>
      </c>
      <c r="B204" t="s">
        <v>986</v>
      </c>
      <c r="C204">
        <v>99000</v>
      </c>
      <c r="D204" s="121" t="s">
        <v>1144</v>
      </c>
      <c r="E204">
        <v>1.4E-5</v>
      </c>
    </row>
    <row r="205" spans="1:5" x14ac:dyDescent="0.3">
      <c r="A205" t="s">
        <v>988</v>
      </c>
      <c r="B205" t="s">
        <v>989</v>
      </c>
      <c r="C205">
        <v>89949</v>
      </c>
      <c r="D205" s="121" t="s">
        <v>1100</v>
      </c>
      <c r="E205">
        <v>1.2E-5</v>
      </c>
    </row>
    <row r="206" spans="1:5" x14ac:dyDescent="0.3">
      <c r="A206" t="s">
        <v>990</v>
      </c>
      <c r="B206" t="s">
        <v>991</v>
      </c>
      <c r="C206">
        <v>86295</v>
      </c>
      <c r="D206" s="121" t="s">
        <v>1145</v>
      </c>
      <c r="E206">
        <v>1.2E-5</v>
      </c>
    </row>
    <row r="207" spans="1:5" x14ac:dyDescent="0.3">
      <c r="A207" t="s">
        <v>993</v>
      </c>
      <c r="B207" t="s">
        <v>994</v>
      </c>
      <c r="C207">
        <v>84497</v>
      </c>
      <c r="D207" s="121" t="s">
        <v>1146</v>
      </c>
      <c r="E207">
        <v>1.2E-5</v>
      </c>
    </row>
    <row r="208" spans="1:5" x14ac:dyDescent="0.3">
      <c r="A208" t="s">
        <v>996</v>
      </c>
      <c r="B208" t="s">
        <v>997</v>
      </c>
      <c r="C208">
        <v>76949</v>
      </c>
      <c r="D208" s="121" t="s">
        <v>1097</v>
      </c>
      <c r="E208">
        <v>1.1E-5</v>
      </c>
    </row>
    <row r="209" spans="1:5" x14ac:dyDescent="0.3">
      <c r="A209" t="s">
        <v>998</v>
      </c>
      <c r="B209" t="s">
        <v>999</v>
      </c>
      <c r="C209">
        <v>71293</v>
      </c>
      <c r="D209" s="121" t="s">
        <v>1147</v>
      </c>
      <c r="E209">
        <v>9.9000000000000001E-6</v>
      </c>
    </row>
    <row r="210" spans="1:5" x14ac:dyDescent="0.3">
      <c r="A210" t="s">
        <v>1001</v>
      </c>
      <c r="B210" t="s">
        <v>1002</v>
      </c>
      <c r="C210">
        <v>64237</v>
      </c>
      <c r="D210" s="121" t="s">
        <v>1148</v>
      </c>
      <c r="E210">
        <v>8.8999999999999995E-6</v>
      </c>
    </row>
    <row r="211" spans="1:5" x14ac:dyDescent="0.3">
      <c r="A211" t="s">
        <v>1004</v>
      </c>
      <c r="B211" t="s">
        <v>1005</v>
      </c>
      <c r="C211">
        <v>63085</v>
      </c>
      <c r="D211" s="121" t="s">
        <v>1149</v>
      </c>
      <c r="E211">
        <v>8.6999999999999997E-6</v>
      </c>
    </row>
    <row r="212" spans="1:5" x14ac:dyDescent="0.3">
      <c r="A212" t="s">
        <v>1007</v>
      </c>
      <c r="B212" t="s">
        <v>1008</v>
      </c>
      <c r="C212">
        <v>56086</v>
      </c>
      <c r="D212" s="121" t="s">
        <v>1100</v>
      </c>
      <c r="E212">
        <v>7.7999999999999999E-6</v>
      </c>
    </row>
    <row r="213" spans="1:5" x14ac:dyDescent="0.3">
      <c r="A213" t="s">
        <v>1009</v>
      </c>
      <c r="B213" t="s">
        <v>1010</v>
      </c>
      <c r="C213">
        <v>55984</v>
      </c>
      <c r="D213" s="121" t="s">
        <v>1095</v>
      </c>
      <c r="E213">
        <v>7.7000000000000008E-6</v>
      </c>
    </row>
    <row r="214" spans="1:5" x14ac:dyDescent="0.3">
      <c r="A214" t="s">
        <v>1011</v>
      </c>
      <c r="B214" t="s">
        <v>1012</v>
      </c>
      <c r="C214">
        <v>55691</v>
      </c>
      <c r="D214" s="121" t="s">
        <v>1115</v>
      </c>
      <c r="E214">
        <v>7.7000000000000008E-6</v>
      </c>
    </row>
    <row r="215" spans="1:5" x14ac:dyDescent="0.3">
      <c r="A215" t="s">
        <v>1013</v>
      </c>
      <c r="B215" t="s">
        <v>1014</v>
      </c>
      <c r="C215">
        <v>55519</v>
      </c>
      <c r="D215" s="121" t="s">
        <v>1140</v>
      </c>
      <c r="E215">
        <v>7.7000000000000008E-6</v>
      </c>
    </row>
    <row r="216" spans="1:5" x14ac:dyDescent="0.3">
      <c r="A216" t="s">
        <v>1015</v>
      </c>
      <c r="B216" t="s">
        <v>1016</v>
      </c>
      <c r="C216">
        <v>55000</v>
      </c>
      <c r="D216" s="121" t="s">
        <v>1094</v>
      </c>
      <c r="E216">
        <v>7.6000000000000001E-6</v>
      </c>
    </row>
    <row r="217" spans="1:5" x14ac:dyDescent="0.3">
      <c r="A217" t="s">
        <v>1017</v>
      </c>
      <c r="B217" t="s">
        <v>1018</v>
      </c>
      <c r="C217">
        <v>53883</v>
      </c>
      <c r="D217" s="121" t="s">
        <v>1140</v>
      </c>
      <c r="E217">
        <v>7.5000000000000002E-6</v>
      </c>
    </row>
    <row r="218" spans="1:5" x14ac:dyDescent="0.3">
      <c r="A218" t="s">
        <v>1019</v>
      </c>
      <c r="B218" t="s">
        <v>1020</v>
      </c>
      <c r="C218">
        <v>51547</v>
      </c>
      <c r="D218" s="121" t="s">
        <v>1115</v>
      </c>
      <c r="E218">
        <v>7.0999999999999998E-6</v>
      </c>
    </row>
    <row r="219" spans="1:5" x14ac:dyDescent="0.3">
      <c r="A219" t="s">
        <v>1022</v>
      </c>
      <c r="B219" t="s">
        <v>1023</v>
      </c>
      <c r="C219">
        <v>48679</v>
      </c>
      <c r="D219" s="121" t="s">
        <v>1150</v>
      </c>
      <c r="E219">
        <v>6.7000000000000002E-6</v>
      </c>
    </row>
    <row r="220" spans="1:5" x14ac:dyDescent="0.3">
      <c r="A220" t="s">
        <v>1025</v>
      </c>
      <c r="B220" t="s">
        <v>1026</v>
      </c>
      <c r="C220">
        <v>37429</v>
      </c>
      <c r="D220" s="121" t="s">
        <v>1151</v>
      </c>
      <c r="E220">
        <v>5.2000000000000002E-6</v>
      </c>
    </row>
    <row r="221" spans="1:5" x14ac:dyDescent="0.3">
      <c r="A221" t="s">
        <v>1028</v>
      </c>
      <c r="B221" t="s">
        <v>1029</v>
      </c>
      <c r="C221">
        <v>37132</v>
      </c>
      <c r="D221" s="121" t="s">
        <v>1112</v>
      </c>
      <c r="E221">
        <v>5.1000000000000003E-6</v>
      </c>
    </row>
    <row r="222" spans="1:5" x14ac:dyDescent="0.3">
      <c r="A222" t="s">
        <v>1030</v>
      </c>
      <c r="B222" t="s">
        <v>1031</v>
      </c>
      <c r="C222">
        <v>36950</v>
      </c>
      <c r="D222" s="121" t="s">
        <v>1112</v>
      </c>
      <c r="E222">
        <v>5.1000000000000003E-6</v>
      </c>
    </row>
    <row r="223" spans="1:5" x14ac:dyDescent="0.3">
      <c r="A223" t="s">
        <v>1032</v>
      </c>
      <c r="B223" t="s">
        <v>1033</v>
      </c>
      <c r="C223">
        <v>35742</v>
      </c>
      <c r="D223" s="121" t="s">
        <v>1136</v>
      </c>
      <c r="E223">
        <v>4.8999999999999997E-6</v>
      </c>
    </row>
    <row r="224" spans="1:5" x14ac:dyDescent="0.3">
      <c r="A224" t="s">
        <v>1034</v>
      </c>
      <c r="B224" t="s">
        <v>1035</v>
      </c>
      <c r="C224">
        <v>32789</v>
      </c>
      <c r="D224" s="121" t="s">
        <v>1099</v>
      </c>
      <c r="E224">
        <v>4.5000000000000001E-6</v>
      </c>
    </row>
    <row r="225" spans="1:5" x14ac:dyDescent="0.3">
      <c r="A225" t="s">
        <v>1036</v>
      </c>
      <c r="B225" t="s">
        <v>1037</v>
      </c>
      <c r="C225">
        <v>31458</v>
      </c>
      <c r="D225" s="121" t="s">
        <v>1152</v>
      </c>
      <c r="E225">
        <v>4.4000000000000002E-6</v>
      </c>
    </row>
    <row r="226" spans="1:5" x14ac:dyDescent="0.3">
      <c r="A226" t="s">
        <v>1039</v>
      </c>
      <c r="B226" t="s">
        <v>1040</v>
      </c>
      <c r="C226">
        <v>30001</v>
      </c>
      <c r="D226" s="121" t="s">
        <v>1144</v>
      </c>
      <c r="E226">
        <v>4.0999999999999997E-6</v>
      </c>
    </row>
    <row r="227" spans="1:5" x14ac:dyDescent="0.3">
      <c r="A227" t="s">
        <v>1041</v>
      </c>
      <c r="B227" t="s">
        <v>1042</v>
      </c>
      <c r="C227">
        <v>28875</v>
      </c>
      <c r="D227" s="121" t="s">
        <v>1101</v>
      </c>
      <c r="E227">
        <v>3.9999999999999998E-6</v>
      </c>
    </row>
    <row r="228" spans="1:5" x14ac:dyDescent="0.3">
      <c r="A228" t="s">
        <v>1043</v>
      </c>
      <c r="B228" t="s">
        <v>1044</v>
      </c>
      <c r="C228">
        <v>28054</v>
      </c>
      <c r="D228" s="121" t="s">
        <v>1153</v>
      </c>
      <c r="E228">
        <v>3.8999999999999999E-6</v>
      </c>
    </row>
    <row r="229" spans="1:5" x14ac:dyDescent="0.3">
      <c r="A229" t="s">
        <v>1046</v>
      </c>
      <c r="B229" t="s">
        <v>1047</v>
      </c>
      <c r="C229">
        <v>23296</v>
      </c>
      <c r="D229" s="121" t="s">
        <v>1115</v>
      </c>
      <c r="E229">
        <v>3.1999999999999999E-6</v>
      </c>
    </row>
    <row r="230" spans="1:5" x14ac:dyDescent="0.3">
      <c r="A230" t="s">
        <v>1048</v>
      </c>
      <c r="B230" t="s">
        <v>1049</v>
      </c>
      <c r="C230">
        <v>20901</v>
      </c>
      <c r="D230" s="121" t="s">
        <v>1100</v>
      </c>
      <c r="E230">
        <v>2.9000000000000002E-6</v>
      </c>
    </row>
    <row r="231" spans="1:5" x14ac:dyDescent="0.3">
      <c r="A231" t="s">
        <v>1050</v>
      </c>
      <c r="B231" t="s">
        <v>1051</v>
      </c>
      <c r="C231">
        <v>14974</v>
      </c>
      <c r="D231" s="121" t="s">
        <v>1154</v>
      </c>
      <c r="E231">
        <v>2.0999999999999998E-6</v>
      </c>
    </row>
    <row r="232" spans="1:5" x14ac:dyDescent="0.3">
      <c r="A232" t="s">
        <v>1053</v>
      </c>
      <c r="B232" t="s">
        <v>1054</v>
      </c>
      <c r="C232">
        <v>13452</v>
      </c>
      <c r="D232" s="121" t="s">
        <v>1155</v>
      </c>
      <c r="E232">
        <v>1.9E-6</v>
      </c>
    </row>
    <row r="233" spans="1:5" x14ac:dyDescent="0.3">
      <c r="A233" t="s">
        <v>1056</v>
      </c>
      <c r="B233" t="s">
        <v>1057</v>
      </c>
      <c r="C233">
        <v>13135</v>
      </c>
      <c r="D233" s="121" t="s">
        <v>1100</v>
      </c>
      <c r="E233">
        <v>1.7999999999999999E-6</v>
      </c>
    </row>
    <row r="234" spans="1:5" x14ac:dyDescent="0.3">
      <c r="A234" t="s">
        <v>1058</v>
      </c>
      <c r="B234" t="s">
        <v>1059</v>
      </c>
      <c r="C234">
        <v>11323</v>
      </c>
      <c r="D234" s="121" t="s">
        <v>1100</v>
      </c>
      <c r="E234">
        <v>1.5999999999999999E-6</v>
      </c>
    </row>
    <row r="235" spans="1:5" x14ac:dyDescent="0.3">
      <c r="A235" t="s">
        <v>1060</v>
      </c>
      <c r="B235" t="s">
        <v>1061</v>
      </c>
      <c r="C235">
        <v>10084</v>
      </c>
      <c r="D235" s="121" t="s">
        <v>1156</v>
      </c>
      <c r="E235">
        <v>1.3999999999999999E-6</v>
      </c>
    </row>
    <row r="236" spans="1:5" x14ac:dyDescent="0.3">
      <c r="A236" t="s">
        <v>1063</v>
      </c>
      <c r="B236" t="s">
        <v>1064</v>
      </c>
      <c r="C236">
        <v>9131</v>
      </c>
      <c r="D236" s="121" t="s">
        <v>1136</v>
      </c>
      <c r="E236">
        <v>1.3E-6</v>
      </c>
    </row>
    <row r="237" spans="1:5" x14ac:dyDescent="0.3">
      <c r="A237" t="s">
        <v>1065</v>
      </c>
      <c r="B237" t="s">
        <v>1066</v>
      </c>
      <c r="C237">
        <v>6069</v>
      </c>
      <c r="D237" s="121" t="s">
        <v>1136</v>
      </c>
      <c r="E237">
        <v>8.4E-7</v>
      </c>
    </row>
    <row r="238" spans="1:5" x14ac:dyDescent="0.3">
      <c r="A238" t="s">
        <v>1067</v>
      </c>
      <c r="B238" t="s">
        <v>1068</v>
      </c>
      <c r="C238">
        <v>4922</v>
      </c>
      <c r="D238" s="121" t="s">
        <v>1142</v>
      </c>
      <c r="E238">
        <v>6.7999999999999995E-7</v>
      </c>
    </row>
    <row r="239" spans="1:5" x14ac:dyDescent="0.3">
      <c r="A239" t="s">
        <v>1069</v>
      </c>
      <c r="B239" t="s">
        <v>1070</v>
      </c>
      <c r="C239">
        <v>4000</v>
      </c>
      <c r="D239" s="121" t="s">
        <v>1094</v>
      </c>
      <c r="E239">
        <v>5.5000000000000003E-7</v>
      </c>
    </row>
    <row r="240" spans="1:5" x14ac:dyDescent="0.3">
      <c r="A240" t="s">
        <v>1071</v>
      </c>
      <c r="B240" t="s">
        <v>1072</v>
      </c>
      <c r="C240">
        <v>3000</v>
      </c>
      <c r="D240" s="121" t="s">
        <v>1094</v>
      </c>
      <c r="E240">
        <v>4.0999999999999999E-7</v>
      </c>
    </row>
    <row r="241" spans="1:5" x14ac:dyDescent="0.3">
      <c r="A241" t="s">
        <v>1073</v>
      </c>
      <c r="B241" t="s">
        <v>1074</v>
      </c>
      <c r="C241">
        <v>2562</v>
      </c>
      <c r="D241" s="121" t="s">
        <v>1097</v>
      </c>
      <c r="E241">
        <v>3.7E-7</v>
      </c>
    </row>
    <row r="242" spans="1:5" x14ac:dyDescent="0.3">
      <c r="A242" t="s">
        <v>1075</v>
      </c>
      <c r="B242" t="s">
        <v>1076</v>
      </c>
      <c r="C242">
        <v>2302</v>
      </c>
      <c r="D242" s="121" t="s">
        <v>1157</v>
      </c>
      <c r="E242">
        <v>3.2000000000000001E-7</v>
      </c>
    </row>
    <row r="243" spans="1:5" x14ac:dyDescent="0.3">
      <c r="A243" t="s">
        <v>1078</v>
      </c>
      <c r="B243" t="s">
        <v>1079</v>
      </c>
      <c r="C243">
        <v>2072</v>
      </c>
      <c r="D243" s="121" t="s">
        <v>1157</v>
      </c>
      <c r="E243">
        <v>2.8999999999999998E-7</v>
      </c>
    </row>
    <row r="244" spans="1:5" x14ac:dyDescent="0.3">
      <c r="A244" t="s">
        <v>1080</v>
      </c>
      <c r="B244" t="s">
        <v>1081</v>
      </c>
      <c r="C244">
        <v>1613</v>
      </c>
      <c r="D244" s="121" t="s">
        <v>1158</v>
      </c>
      <c r="E244">
        <v>2.2000000000000001E-7</v>
      </c>
    </row>
    <row r="245" spans="1:5" x14ac:dyDescent="0.3">
      <c r="A245" t="s">
        <v>1083</v>
      </c>
      <c r="B245" t="s">
        <v>1084</v>
      </c>
      <c r="C245">
        <v>1411</v>
      </c>
      <c r="D245" s="121" t="s">
        <v>1159</v>
      </c>
      <c r="E245">
        <v>1.9999999999999999E-7</v>
      </c>
    </row>
    <row r="246" spans="1:5" x14ac:dyDescent="0.3">
      <c r="A246" t="s">
        <v>1086</v>
      </c>
      <c r="B246" t="s">
        <v>1087</v>
      </c>
      <c r="C246">
        <v>839</v>
      </c>
      <c r="D246" s="121" t="s">
        <v>1118</v>
      </c>
      <c r="E246">
        <v>1.1999999999999999E-7</v>
      </c>
    </row>
    <row r="247" spans="1:5" x14ac:dyDescent="0.3">
      <c r="A247" t="s">
        <v>1088</v>
      </c>
      <c r="B247" t="s">
        <v>1089</v>
      </c>
      <c r="C247">
        <v>550</v>
      </c>
      <c r="D247" s="121" t="s">
        <v>1157</v>
      </c>
      <c r="E247">
        <v>7.6000000000000006E-8</v>
      </c>
    </row>
    <row r="248" spans="1:5" x14ac:dyDescent="0.3">
      <c r="A248" t="s">
        <v>1090</v>
      </c>
      <c r="B248" t="s">
        <v>1091</v>
      </c>
      <c r="C248">
        <v>56</v>
      </c>
      <c r="D248" s="121" t="s">
        <v>1115</v>
      </c>
      <c r="E248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C2FD-3979-408E-A2D2-8E095880EBA6}">
  <dimension ref="A1:E222"/>
  <sheetViews>
    <sheetView workbookViewId="0">
      <selection activeCell="G11" sqref="G11"/>
    </sheetView>
  </sheetViews>
  <sheetFormatPr defaultRowHeight="14.4" x14ac:dyDescent="0.3"/>
  <cols>
    <col min="1" max="1" width="50.33203125" bestFit="1" customWidth="1"/>
    <col min="2" max="2" width="17" bestFit="1" customWidth="1"/>
    <col min="3" max="3" width="10" bestFit="1" customWidth="1"/>
    <col min="4" max="4" width="6.6640625" bestFit="1" customWidth="1"/>
    <col min="5" max="5" width="9.5546875" bestFit="1" customWidth="1"/>
  </cols>
  <sheetData>
    <row r="1" spans="1:5" x14ac:dyDescent="0.3">
      <c r="A1" t="s">
        <v>1355</v>
      </c>
      <c r="B1" t="s">
        <v>1356</v>
      </c>
      <c r="C1" t="s">
        <v>1160</v>
      </c>
      <c r="D1" t="s">
        <v>167</v>
      </c>
      <c r="E1" t="s">
        <v>1161</v>
      </c>
    </row>
    <row r="2" spans="1:5" x14ac:dyDescent="0.3">
      <c r="A2" t="s">
        <v>1357</v>
      </c>
      <c r="B2" t="s">
        <v>1358</v>
      </c>
      <c r="C2" t="s">
        <v>1162</v>
      </c>
      <c r="D2">
        <v>0</v>
      </c>
      <c r="E2">
        <v>0</v>
      </c>
    </row>
    <row r="3" spans="1:5" x14ac:dyDescent="0.3">
      <c r="A3" t="s">
        <v>1359</v>
      </c>
      <c r="B3" t="s">
        <v>1360</v>
      </c>
      <c r="C3" t="s">
        <v>1163</v>
      </c>
      <c r="D3">
        <v>0</v>
      </c>
      <c r="E3">
        <v>0</v>
      </c>
    </row>
    <row r="4" spans="1:5" x14ac:dyDescent="0.3">
      <c r="A4" t="s">
        <v>1361</v>
      </c>
      <c r="B4" t="s">
        <v>1362</v>
      </c>
      <c r="C4" t="s">
        <v>1164</v>
      </c>
      <c r="D4">
        <v>0.16</v>
      </c>
      <c r="E4">
        <v>0.01</v>
      </c>
    </row>
    <row r="5" spans="1:5" x14ac:dyDescent="0.3">
      <c r="A5" t="s">
        <v>1363</v>
      </c>
      <c r="B5" t="s">
        <v>1364</v>
      </c>
      <c r="C5" t="s">
        <v>1165</v>
      </c>
      <c r="D5">
        <v>0.06</v>
      </c>
      <c r="E5">
        <v>0.01</v>
      </c>
    </row>
    <row r="6" spans="1:5" x14ac:dyDescent="0.3">
      <c r="A6" t="s">
        <v>1365</v>
      </c>
      <c r="B6" t="s">
        <v>1366</v>
      </c>
      <c r="C6" t="s">
        <v>1166</v>
      </c>
      <c r="D6">
        <v>-2.5</v>
      </c>
      <c r="E6">
        <v>-2.62</v>
      </c>
    </row>
    <row r="7" spans="1:5" x14ac:dyDescent="0.3">
      <c r="A7" t="s">
        <v>1367</v>
      </c>
      <c r="B7" t="s">
        <v>1368</v>
      </c>
      <c r="C7" t="s">
        <v>1167</v>
      </c>
      <c r="D7">
        <v>0.04</v>
      </c>
      <c r="E7">
        <v>0.01</v>
      </c>
    </row>
    <row r="8" spans="1:5" x14ac:dyDescent="0.3">
      <c r="A8" t="s">
        <v>1369</v>
      </c>
      <c r="B8" t="s">
        <v>1370</v>
      </c>
      <c r="C8" t="s">
        <v>1168</v>
      </c>
      <c r="D8">
        <v>0</v>
      </c>
      <c r="E8">
        <v>0</v>
      </c>
    </row>
    <row r="9" spans="1:5" x14ac:dyDescent="0.3">
      <c r="A9" t="s">
        <v>1371</v>
      </c>
      <c r="B9" t="s">
        <v>1372</v>
      </c>
      <c r="C9" t="s">
        <v>1169</v>
      </c>
      <c r="D9">
        <v>3.08</v>
      </c>
      <c r="E9">
        <v>5.7</v>
      </c>
    </row>
    <row r="10" spans="1:5" x14ac:dyDescent="0.3">
      <c r="A10" t="s">
        <v>1373</v>
      </c>
      <c r="B10" t="s">
        <v>1374</v>
      </c>
      <c r="C10" t="s">
        <v>1170</v>
      </c>
      <c r="D10">
        <v>0</v>
      </c>
      <c r="E10">
        <v>0</v>
      </c>
    </row>
    <row r="11" spans="1:5" x14ac:dyDescent="0.3">
      <c r="A11" t="s">
        <v>1375</v>
      </c>
      <c r="B11" t="s">
        <v>1376</v>
      </c>
      <c r="C11" t="s">
        <v>1171</v>
      </c>
      <c r="D11">
        <v>0</v>
      </c>
      <c r="E11">
        <v>0</v>
      </c>
    </row>
    <row r="12" spans="1:5" x14ac:dyDescent="0.3">
      <c r="A12" t="s">
        <v>1377</v>
      </c>
      <c r="B12" t="s">
        <v>1378</v>
      </c>
      <c r="C12" t="s">
        <v>1172</v>
      </c>
      <c r="D12">
        <v>-18.22</v>
      </c>
      <c r="E12">
        <v>-72.87</v>
      </c>
    </row>
    <row r="13" spans="1:5" x14ac:dyDescent="0.3">
      <c r="A13" t="s">
        <v>1379</v>
      </c>
      <c r="B13" t="s">
        <v>1380</v>
      </c>
      <c r="C13" t="s">
        <v>1173</v>
      </c>
      <c r="D13">
        <v>0.04</v>
      </c>
      <c r="E13">
        <v>0.5</v>
      </c>
    </row>
    <row r="14" spans="1:5" x14ac:dyDescent="0.3">
      <c r="A14" t="s">
        <v>1381</v>
      </c>
      <c r="B14" t="s">
        <v>1382</v>
      </c>
      <c r="C14" t="s">
        <v>1174</v>
      </c>
      <c r="D14">
        <v>1.81</v>
      </c>
      <c r="E14">
        <v>57</v>
      </c>
    </row>
    <row r="15" spans="1:5" x14ac:dyDescent="0.3">
      <c r="A15" t="s">
        <v>1383</v>
      </c>
      <c r="B15" t="s">
        <v>1384</v>
      </c>
      <c r="C15" t="s">
        <v>1175</v>
      </c>
      <c r="D15">
        <v>-2.0299999999999998</v>
      </c>
      <c r="E15">
        <v>-30.5</v>
      </c>
    </row>
    <row r="16" spans="1:5" x14ac:dyDescent="0.3">
      <c r="A16" t="s">
        <v>1385</v>
      </c>
      <c r="B16" t="s">
        <v>1386</v>
      </c>
      <c r="C16" t="s">
        <v>1176</v>
      </c>
      <c r="D16">
        <v>0</v>
      </c>
      <c r="E16">
        <v>0</v>
      </c>
    </row>
    <row r="17" spans="1:5" x14ac:dyDescent="0.3">
      <c r="A17" t="s">
        <v>1387</v>
      </c>
      <c r="B17" t="s">
        <v>1388</v>
      </c>
      <c r="C17" t="s">
        <v>1177</v>
      </c>
      <c r="D17">
        <v>-0.6</v>
      </c>
      <c r="E17">
        <v>-2.37</v>
      </c>
    </row>
    <row r="18" spans="1:5" x14ac:dyDescent="0.3">
      <c r="A18" t="s">
        <v>1389</v>
      </c>
      <c r="B18" t="s">
        <v>1390</v>
      </c>
      <c r="C18" t="s">
        <v>1178</v>
      </c>
      <c r="D18">
        <v>0</v>
      </c>
      <c r="E18">
        <v>0</v>
      </c>
    </row>
    <row r="19" spans="1:5" x14ac:dyDescent="0.3">
      <c r="A19" t="s">
        <v>1391</v>
      </c>
      <c r="B19" t="s">
        <v>1392</v>
      </c>
      <c r="C19" t="s">
        <v>1179</v>
      </c>
      <c r="D19">
        <v>0</v>
      </c>
      <c r="E19">
        <v>0</v>
      </c>
    </row>
    <row r="20" spans="1:5" x14ac:dyDescent="0.3">
      <c r="A20" t="s">
        <v>1393</v>
      </c>
      <c r="B20" t="s">
        <v>1394</v>
      </c>
      <c r="C20" t="s">
        <v>1180</v>
      </c>
      <c r="D20">
        <v>-1.17</v>
      </c>
      <c r="E20">
        <v>-5.62</v>
      </c>
    </row>
    <row r="21" spans="1:5" x14ac:dyDescent="0.3">
      <c r="A21" t="s">
        <v>1395</v>
      </c>
      <c r="B21" t="s">
        <v>1396</v>
      </c>
      <c r="C21" t="s">
        <v>1181</v>
      </c>
      <c r="D21">
        <v>0.19</v>
      </c>
      <c r="E21">
        <v>0.38</v>
      </c>
    </row>
    <row r="22" spans="1:5" x14ac:dyDescent="0.3">
      <c r="A22" t="s">
        <v>1397</v>
      </c>
      <c r="B22" t="s">
        <v>1398</v>
      </c>
      <c r="C22" t="s">
        <v>1182</v>
      </c>
      <c r="D22">
        <v>0</v>
      </c>
      <c r="E22">
        <v>0.01</v>
      </c>
    </row>
    <row r="23" spans="1:5" x14ac:dyDescent="0.3">
      <c r="A23" t="s">
        <v>1399</v>
      </c>
      <c r="B23" t="s">
        <v>1400</v>
      </c>
      <c r="C23" t="s">
        <v>1183</v>
      </c>
      <c r="D23">
        <v>-0.08</v>
      </c>
      <c r="E23">
        <v>-0.75</v>
      </c>
    </row>
    <row r="24" spans="1:5" x14ac:dyDescent="0.3">
      <c r="A24" t="s">
        <v>1401</v>
      </c>
      <c r="B24" t="s">
        <v>1402</v>
      </c>
      <c r="C24" t="s">
        <v>1184</v>
      </c>
      <c r="D24">
        <v>0.15</v>
      </c>
      <c r="E24">
        <v>0.7</v>
      </c>
    </row>
    <row r="25" spans="1:5" x14ac:dyDescent="0.3">
      <c r="A25" t="s">
        <v>1403</v>
      </c>
      <c r="B25" t="s">
        <v>1404</v>
      </c>
      <c r="C25" t="s">
        <v>1185</v>
      </c>
      <c r="D25">
        <v>0.4</v>
      </c>
      <c r="E25">
        <v>2</v>
      </c>
    </row>
    <row r="26" spans="1:5" x14ac:dyDescent="0.3">
      <c r="A26" t="s">
        <v>1405</v>
      </c>
      <c r="B26" t="s">
        <v>1406</v>
      </c>
      <c r="C26" t="s">
        <v>1186</v>
      </c>
      <c r="D26">
        <v>1.36</v>
      </c>
      <c r="E26">
        <v>0.88</v>
      </c>
    </row>
    <row r="27" spans="1:5" x14ac:dyDescent="0.3">
      <c r="A27" t="s">
        <v>1407</v>
      </c>
      <c r="B27" t="s">
        <v>1408</v>
      </c>
      <c r="C27" t="s">
        <v>1187</v>
      </c>
      <c r="D27">
        <v>0</v>
      </c>
      <c r="E27">
        <v>0</v>
      </c>
    </row>
    <row r="28" spans="1:5" x14ac:dyDescent="0.3">
      <c r="A28" t="s">
        <v>1409</v>
      </c>
      <c r="B28" t="s">
        <v>1410</v>
      </c>
      <c r="C28" t="s">
        <v>1188</v>
      </c>
      <c r="D28">
        <v>-0.59</v>
      </c>
      <c r="E28">
        <v>-1.1200000000000001</v>
      </c>
    </row>
    <row r="29" spans="1:5" x14ac:dyDescent="0.3">
      <c r="A29" t="s">
        <v>1411</v>
      </c>
      <c r="B29" t="s">
        <v>1412</v>
      </c>
      <c r="C29" t="s">
        <v>1189</v>
      </c>
      <c r="D29">
        <v>0.33</v>
      </c>
      <c r="E29">
        <v>1.5</v>
      </c>
    </row>
    <row r="30" spans="1:5" x14ac:dyDescent="0.3">
      <c r="A30" t="s">
        <v>1413</v>
      </c>
      <c r="B30" t="s">
        <v>1414</v>
      </c>
      <c r="C30" t="s">
        <v>1190</v>
      </c>
      <c r="D30">
        <v>-0.69</v>
      </c>
      <c r="E30">
        <v>-0.62</v>
      </c>
    </row>
    <row r="31" spans="1:5" x14ac:dyDescent="0.3">
      <c r="A31" t="s">
        <v>1415</v>
      </c>
      <c r="B31" t="s">
        <v>1416</v>
      </c>
      <c r="C31" t="s">
        <v>1191</v>
      </c>
      <c r="D31">
        <v>0</v>
      </c>
      <c r="E31">
        <v>0</v>
      </c>
    </row>
    <row r="32" spans="1:5" x14ac:dyDescent="0.3">
      <c r="A32" t="s">
        <v>1417</v>
      </c>
      <c r="B32" t="s">
        <v>1418</v>
      </c>
      <c r="C32" t="s">
        <v>1192</v>
      </c>
      <c r="D32">
        <v>0.35</v>
      </c>
      <c r="E32">
        <v>1.1299999999999999</v>
      </c>
    </row>
    <row r="33" spans="1:5" x14ac:dyDescent="0.3">
      <c r="A33" t="s">
        <v>1419</v>
      </c>
      <c r="B33" t="s">
        <v>1420</v>
      </c>
      <c r="C33" t="s">
        <v>1193</v>
      </c>
      <c r="D33">
        <v>-0.14000000000000001</v>
      </c>
      <c r="E33">
        <v>-0.25</v>
      </c>
    </row>
    <row r="34" spans="1:5" x14ac:dyDescent="0.3">
      <c r="A34" t="s">
        <v>1419</v>
      </c>
      <c r="B34" t="s">
        <v>1421</v>
      </c>
      <c r="C34" t="s">
        <v>1194</v>
      </c>
      <c r="D34">
        <v>0.5</v>
      </c>
      <c r="E34">
        <v>0.75</v>
      </c>
    </row>
    <row r="35" spans="1:5" x14ac:dyDescent="0.3">
      <c r="A35" t="s">
        <v>1422</v>
      </c>
      <c r="B35" t="s">
        <v>1423</v>
      </c>
      <c r="C35" t="s">
        <v>1195</v>
      </c>
      <c r="D35">
        <v>0.46</v>
      </c>
      <c r="E35">
        <v>5</v>
      </c>
    </row>
    <row r="36" spans="1:5" x14ac:dyDescent="0.3">
      <c r="A36" t="s">
        <v>1424</v>
      </c>
      <c r="B36" t="s">
        <v>1425</v>
      </c>
      <c r="C36" t="s">
        <v>1179</v>
      </c>
      <c r="D36">
        <v>0</v>
      </c>
      <c r="E36">
        <v>0</v>
      </c>
    </row>
    <row r="37" spans="1:5" x14ac:dyDescent="0.3">
      <c r="A37" t="s">
        <v>1426</v>
      </c>
      <c r="B37" t="s">
        <v>1427</v>
      </c>
      <c r="C37" t="s">
        <v>1196</v>
      </c>
      <c r="D37">
        <v>0.3</v>
      </c>
      <c r="E37">
        <v>0.25</v>
      </c>
    </row>
    <row r="38" spans="1:5" x14ac:dyDescent="0.3">
      <c r="A38" t="s">
        <v>1428</v>
      </c>
      <c r="B38" t="s">
        <v>1429</v>
      </c>
      <c r="C38" t="s">
        <v>1197</v>
      </c>
      <c r="D38">
        <v>-3.08</v>
      </c>
      <c r="E38">
        <v>-8.4</v>
      </c>
    </row>
    <row r="39" spans="1:5" x14ac:dyDescent="0.3">
      <c r="A39" t="s">
        <v>1430</v>
      </c>
      <c r="B39" t="s">
        <v>1431</v>
      </c>
      <c r="C39" t="s">
        <v>1198</v>
      </c>
      <c r="D39">
        <v>3.4</v>
      </c>
      <c r="E39">
        <v>9</v>
      </c>
    </row>
    <row r="40" spans="1:5" x14ac:dyDescent="0.3">
      <c r="A40" t="s">
        <v>1432</v>
      </c>
      <c r="B40" t="s">
        <v>1433</v>
      </c>
      <c r="C40" t="s">
        <v>1199</v>
      </c>
      <c r="D40">
        <v>0.19</v>
      </c>
      <c r="E40">
        <v>0.01</v>
      </c>
    </row>
    <row r="41" spans="1:5" x14ac:dyDescent="0.3">
      <c r="A41" t="s">
        <v>1434</v>
      </c>
      <c r="B41" t="s">
        <v>1435</v>
      </c>
      <c r="C41" t="s">
        <v>1200</v>
      </c>
      <c r="D41">
        <v>0</v>
      </c>
      <c r="E41">
        <v>0</v>
      </c>
    </row>
    <row r="42" spans="1:5" x14ac:dyDescent="0.3">
      <c r="A42" t="s">
        <v>1436</v>
      </c>
      <c r="B42" t="s">
        <v>1437</v>
      </c>
      <c r="C42" t="s">
        <v>1201</v>
      </c>
      <c r="D42">
        <v>1.28</v>
      </c>
      <c r="E42">
        <v>0.88</v>
      </c>
    </row>
    <row r="43" spans="1:5" x14ac:dyDescent="0.3">
      <c r="A43" t="s">
        <v>1438</v>
      </c>
      <c r="B43" t="s">
        <v>1439</v>
      </c>
      <c r="C43" t="s">
        <v>1202</v>
      </c>
      <c r="D43">
        <v>1.37</v>
      </c>
      <c r="E43">
        <v>0.38</v>
      </c>
    </row>
    <row r="44" spans="1:5" x14ac:dyDescent="0.3">
      <c r="A44" t="s">
        <v>1440</v>
      </c>
      <c r="B44" t="s">
        <v>1441</v>
      </c>
      <c r="C44" t="s">
        <v>1203</v>
      </c>
      <c r="D44">
        <v>0.24</v>
      </c>
      <c r="E44">
        <v>0.25</v>
      </c>
    </row>
    <row r="45" spans="1:5" x14ac:dyDescent="0.3">
      <c r="A45" t="s">
        <v>1442</v>
      </c>
      <c r="B45" t="s">
        <v>1443</v>
      </c>
      <c r="C45" t="s">
        <v>1179</v>
      </c>
      <c r="D45">
        <v>0</v>
      </c>
      <c r="E45">
        <v>0</v>
      </c>
    </row>
    <row r="46" spans="1:5" x14ac:dyDescent="0.3">
      <c r="A46" t="s">
        <v>1444</v>
      </c>
      <c r="B46" t="s">
        <v>1445</v>
      </c>
      <c r="C46" t="s">
        <v>1204</v>
      </c>
      <c r="D46">
        <v>0</v>
      </c>
      <c r="E46">
        <v>0</v>
      </c>
    </row>
    <row r="47" spans="1:5" x14ac:dyDescent="0.3">
      <c r="A47" t="s">
        <v>1446</v>
      </c>
      <c r="B47" t="s">
        <v>1447</v>
      </c>
      <c r="C47" t="s">
        <v>1179</v>
      </c>
      <c r="D47">
        <v>0</v>
      </c>
      <c r="E47">
        <v>0</v>
      </c>
    </row>
    <row r="48" spans="1:5" x14ac:dyDescent="0.3">
      <c r="A48" t="s">
        <v>1448</v>
      </c>
      <c r="B48" t="s">
        <v>1449</v>
      </c>
      <c r="C48" t="s">
        <v>1205</v>
      </c>
      <c r="D48">
        <v>0</v>
      </c>
      <c r="E48">
        <v>0</v>
      </c>
    </row>
    <row r="49" spans="1:5" x14ac:dyDescent="0.3">
      <c r="A49" t="s">
        <v>1450</v>
      </c>
      <c r="B49" t="s">
        <v>1451</v>
      </c>
      <c r="C49" t="s">
        <v>1206</v>
      </c>
      <c r="D49">
        <v>7.84</v>
      </c>
      <c r="E49">
        <v>4</v>
      </c>
    </row>
    <row r="50" spans="1:5" x14ac:dyDescent="0.3">
      <c r="A50" t="s">
        <v>1452</v>
      </c>
      <c r="B50" t="s">
        <v>1453</v>
      </c>
      <c r="C50" t="s">
        <v>1207</v>
      </c>
      <c r="D50">
        <v>0</v>
      </c>
      <c r="E50">
        <v>0</v>
      </c>
    </row>
    <row r="51" spans="1:5" x14ac:dyDescent="0.3">
      <c r="A51" t="s">
        <v>1454</v>
      </c>
      <c r="B51" t="s">
        <v>1455</v>
      </c>
      <c r="C51" t="s">
        <v>1208</v>
      </c>
      <c r="D51">
        <v>0</v>
      </c>
      <c r="E51">
        <v>0</v>
      </c>
    </row>
    <row r="52" spans="1:5" x14ac:dyDescent="0.3">
      <c r="A52" t="s">
        <v>1456</v>
      </c>
      <c r="B52" t="s">
        <v>1457</v>
      </c>
      <c r="C52" t="s">
        <v>1194</v>
      </c>
      <c r="D52">
        <v>0</v>
      </c>
      <c r="E52">
        <v>0</v>
      </c>
    </row>
    <row r="53" spans="1:5" x14ac:dyDescent="0.3">
      <c r="A53" t="s">
        <v>1458</v>
      </c>
      <c r="B53" t="s">
        <v>1459</v>
      </c>
      <c r="C53" t="s">
        <v>1209</v>
      </c>
      <c r="D53">
        <v>3.45</v>
      </c>
      <c r="E53">
        <v>0.01</v>
      </c>
    </row>
    <row r="54" spans="1:5" x14ac:dyDescent="0.3">
      <c r="A54" t="s">
        <v>1460</v>
      </c>
      <c r="B54" t="s">
        <v>1461</v>
      </c>
      <c r="C54" t="s">
        <v>1210</v>
      </c>
      <c r="D54">
        <v>0</v>
      </c>
      <c r="E54">
        <v>0</v>
      </c>
    </row>
    <row r="55" spans="1:5" x14ac:dyDescent="0.3">
      <c r="A55" t="s">
        <v>1462</v>
      </c>
      <c r="B55" t="s">
        <v>1463</v>
      </c>
      <c r="C55" t="s">
        <v>1211</v>
      </c>
      <c r="D55">
        <v>-7.0000000000000007E-2</v>
      </c>
      <c r="E55">
        <v>-1</v>
      </c>
    </row>
    <row r="56" spans="1:5" x14ac:dyDescent="0.3">
      <c r="A56" t="s">
        <v>1464</v>
      </c>
      <c r="B56" t="s">
        <v>1465</v>
      </c>
      <c r="C56" t="s">
        <v>1212</v>
      </c>
      <c r="D56">
        <v>1.43</v>
      </c>
      <c r="E56">
        <v>6.25</v>
      </c>
    </row>
    <row r="57" spans="1:5" x14ac:dyDescent="0.3">
      <c r="A57" t="s">
        <v>1466</v>
      </c>
      <c r="B57" t="s">
        <v>1467</v>
      </c>
      <c r="C57" t="s">
        <v>1213</v>
      </c>
      <c r="D57">
        <v>0.23</v>
      </c>
      <c r="E57">
        <v>0.13</v>
      </c>
    </row>
    <row r="58" spans="1:5" x14ac:dyDescent="0.3">
      <c r="A58" t="s">
        <v>1468</v>
      </c>
      <c r="B58" t="s">
        <v>1469</v>
      </c>
      <c r="C58" t="s">
        <v>1214</v>
      </c>
      <c r="D58">
        <v>-0.09</v>
      </c>
      <c r="E58">
        <v>-0.12</v>
      </c>
    </row>
    <row r="59" spans="1:5" x14ac:dyDescent="0.3">
      <c r="A59" t="s">
        <v>1470</v>
      </c>
      <c r="B59" t="s">
        <v>1471</v>
      </c>
      <c r="C59" t="s">
        <v>1215</v>
      </c>
      <c r="D59">
        <v>0.35</v>
      </c>
      <c r="E59">
        <v>0.5</v>
      </c>
    </row>
    <row r="60" spans="1:5" x14ac:dyDescent="0.3">
      <c r="A60" t="s">
        <v>1472</v>
      </c>
      <c r="B60" t="s">
        <v>1473</v>
      </c>
      <c r="C60" t="s">
        <v>1216</v>
      </c>
      <c r="D60">
        <v>0</v>
      </c>
      <c r="E60">
        <v>0</v>
      </c>
    </row>
    <row r="61" spans="1:5" x14ac:dyDescent="0.3">
      <c r="A61" t="s">
        <v>1474</v>
      </c>
      <c r="B61" t="s">
        <v>1475</v>
      </c>
      <c r="C61" t="s">
        <v>1205</v>
      </c>
      <c r="D61">
        <v>0</v>
      </c>
      <c r="E61">
        <v>0</v>
      </c>
    </row>
    <row r="62" spans="1:5" x14ac:dyDescent="0.3">
      <c r="A62" t="s">
        <v>1476</v>
      </c>
      <c r="B62" t="s">
        <v>1477</v>
      </c>
      <c r="C62" t="s">
        <v>1217</v>
      </c>
      <c r="D62">
        <v>0</v>
      </c>
      <c r="E62">
        <v>0</v>
      </c>
    </row>
    <row r="63" spans="1:5" x14ac:dyDescent="0.3">
      <c r="A63" t="s">
        <v>1478</v>
      </c>
      <c r="B63" t="s">
        <v>1479</v>
      </c>
      <c r="C63" t="s">
        <v>1218</v>
      </c>
      <c r="D63">
        <v>0</v>
      </c>
      <c r="E63">
        <v>0</v>
      </c>
    </row>
    <row r="64" spans="1:5" x14ac:dyDescent="0.3">
      <c r="A64" t="s">
        <v>1480</v>
      </c>
      <c r="B64" t="s">
        <v>1481</v>
      </c>
      <c r="C64" t="s">
        <v>1219</v>
      </c>
      <c r="D64">
        <v>0</v>
      </c>
      <c r="E64">
        <v>0</v>
      </c>
    </row>
    <row r="65" spans="1:5" x14ac:dyDescent="0.3">
      <c r="A65" t="s">
        <v>1482</v>
      </c>
      <c r="B65" t="s">
        <v>1483</v>
      </c>
      <c r="C65" t="s">
        <v>1220</v>
      </c>
      <c r="D65">
        <v>0</v>
      </c>
      <c r="E65">
        <v>0</v>
      </c>
    </row>
    <row r="66" spans="1:5" x14ac:dyDescent="0.3">
      <c r="A66" t="s">
        <v>1484</v>
      </c>
      <c r="B66" t="s">
        <v>1485</v>
      </c>
      <c r="C66" t="s">
        <v>1179</v>
      </c>
      <c r="D66">
        <v>0</v>
      </c>
      <c r="E66">
        <v>0</v>
      </c>
    </row>
    <row r="67" spans="1:5" x14ac:dyDescent="0.3">
      <c r="A67" t="s">
        <v>1484</v>
      </c>
      <c r="B67" t="s">
        <v>1486</v>
      </c>
      <c r="C67" t="s">
        <v>1221</v>
      </c>
      <c r="D67">
        <v>-1.86</v>
      </c>
      <c r="E67">
        <v>-0.01</v>
      </c>
    </row>
    <row r="68" spans="1:5" x14ac:dyDescent="0.3">
      <c r="A68" t="s">
        <v>1487</v>
      </c>
      <c r="B68" t="s">
        <v>1488</v>
      </c>
      <c r="C68" t="s">
        <v>1222</v>
      </c>
      <c r="D68">
        <v>10.29</v>
      </c>
      <c r="E68">
        <v>0.6</v>
      </c>
    </row>
    <row r="69" spans="1:5" x14ac:dyDescent="0.3">
      <c r="A69" t="s">
        <v>1489</v>
      </c>
      <c r="B69" t="s">
        <v>1490</v>
      </c>
      <c r="C69" t="s">
        <v>1223</v>
      </c>
      <c r="D69">
        <v>0</v>
      </c>
      <c r="E69">
        <v>0</v>
      </c>
    </row>
    <row r="70" spans="1:5" x14ac:dyDescent="0.3">
      <c r="A70" t="s">
        <v>1491</v>
      </c>
      <c r="B70" t="s">
        <v>1492</v>
      </c>
      <c r="C70" t="s">
        <v>1224</v>
      </c>
      <c r="D70">
        <v>0.57999999999999996</v>
      </c>
      <c r="E70">
        <v>0.01</v>
      </c>
    </row>
    <row r="71" spans="1:5" x14ac:dyDescent="0.3">
      <c r="A71" t="s">
        <v>1493</v>
      </c>
      <c r="B71" t="s">
        <v>1494</v>
      </c>
      <c r="C71" t="s">
        <v>1225</v>
      </c>
      <c r="D71">
        <v>0</v>
      </c>
      <c r="E71">
        <v>0</v>
      </c>
    </row>
    <row r="72" spans="1:5" x14ac:dyDescent="0.3">
      <c r="A72" t="s">
        <v>1495</v>
      </c>
      <c r="B72" t="s">
        <v>1496</v>
      </c>
      <c r="C72" t="s">
        <v>1226</v>
      </c>
      <c r="D72">
        <v>1.45</v>
      </c>
      <c r="E72">
        <v>0.01</v>
      </c>
    </row>
    <row r="73" spans="1:5" x14ac:dyDescent="0.3">
      <c r="A73" t="s">
        <v>1497</v>
      </c>
      <c r="B73" t="s">
        <v>1498</v>
      </c>
      <c r="C73" t="s">
        <v>1227</v>
      </c>
      <c r="D73">
        <v>0</v>
      </c>
      <c r="E73">
        <v>0</v>
      </c>
    </row>
    <row r="74" spans="1:5" x14ac:dyDescent="0.3">
      <c r="A74" t="s">
        <v>1499</v>
      </c>
      <c r="B74" t="s">
        <v>1500</v>
      </c>
      <c r="C74" t="s">
        <v>1205</v>
      </c>
      <c r="D74">
        <v>0</v>
      </c>
      <c r="E74">
        <v>0</v>
      </c>
    </row>
    <row r="75" spans="1:5" x14ac:dyDescent="0.3">
      <c r="A75" t="s">
        <v>1501</v>
      </c>
      <c r="B75" t="s">
        <v>1502</v>
      </c>
      <c r="C75" t="s">
        <v>1228</v>
      </c>
      <c r="D75">
        <v>0.65</v>
      </c>
      <c r="E75">
        <v>0.01</v>
      </c>
    </row>
    <row r="76" spans="1:5" x14ac:dyDescent="0.3">
      <c r="A76" t="s">
        <v>1503</v>
      </c>
      <c r="B76" t="s">
        <v>1504</v>
      </c>
      <c r="C76" t="s">
        <v>1163</v>
      </c>
      <c r="D76">
        <v>0</v>
      </c>
      <c r="E76">
        <v>0</v>
      </c>
    </row>
    <row r="77" spans="1:5" x14ac:dyDescent="0.3">
      <c r="A77" t="s">
        <v>1505</v>
      </c>
      <c r="B77" t="s">
        <v>1506</v>
      </c>
      <c r="C77" t="s">
        <v>1229</v>
      </c>
      <c r="D77">
        <v>-1.23</v>
      </c>
      <c r="E77">
        <v>-20</v>
      </c>
    </row>
    <row r="78" spans="1:5" x14ac:dyDescent="0.3">
      <c r="A78" t="s">
        <v>1507</v>
      </c>
      <c r="B78" t="s">
        <v>1508</v>
      </c>
      <c r="C78" t="s">
        <v>1230</v>
      </c>
      <c r="D78">
        <v>-1.69</v>
      </c>
      <c r="E78">
        <v>-0.01</v>
      </c>
    </row>
    <row r="79" spans="1:5" x14ac:dyDescent="0.3">
      <c r="A79" t="s">
        <v>1509</v>
      </c>
      <c r="B79" t="s">
        <v>1510</v>
      </c>
      <c r="C79" t="s">
        <v>1205</v>
      </c>
      <c r="D79">
        <v>0</v>
      </c>
      <c r="E79">
        <v>0</v>
      </c>
    </row>
    <row r="80" spans="1:5" x14ac:dyDescent="0.3">
      <c r="A80" t="s">
        <v>1511</v>
      </c>
      <c r="B80" t="s">
        <v>1512</v>
      </c>
      <c r="C80" t="s">
        <v>1231</v>
      </c>
      <c r="D80">
        <v>0.18</v>
      </c>
      <c r="E80">
        <v>0.51</v>
      </c>
    </row>
    <row r="81" spans="1:5" x14ac:dyDescent="0.3">
      <c r="A81" t="s">
        <v>1513</v>
      </c>
      <c r="B81" t="s">
        <v>1514</v>
      </c>
      <c r="C81" t="s">
        <v>1232</v>
      </c>
      <c r="D81">
        <v>0</v>
      </c>
      <c r="E81">
        <v>0</v>
      </c>
    </row>
    <row r="82" spans="1:5" x14ac:dyDescent="0.3">
      <c r="A82" t="s">
        <v>1515</v>
      </c>
      <c r="B82" t="s">
        <v>1516</v>
      </c>
      <c r="C82" t="s">
        <v>1233</v>
      </c>
      <c r="D82">
        <v>0.55000000000000004</v>
      </c>
      <c r="E82">
        <v>5.25</v>
      </c>
    </row>
    <row r="83" spans="1:5" x14ac:dyDescent="0.3">
      <c r="A83" t="s">
        <v>1517</v>
      </c>
      <c r="B83" t="s">
        <v>1518</v>
      </c>
      <c r="C83" t="s">
        <v>1234</v>
      </c>
      <c r="D83">
        <v>1.82</v>
      </c>
      <c r="E83">
        <v>0.01</v>
      </c>
    </row>
    <row r="84" spans="1:5" x14ac:dyDescent="0.3">
      <c r="A84" t="s">
        <v>1519</v>
      </c>
      <c r="B84" t="s">
        <v>1520</v>
      </c>
      <c r="C84" t="s">
        <v>1235</v>
      </c>
      <c r="D84">
        <v>0</v>
      </c>
      <c r="E84">
        <v>0</v>
      </c>
    </row>
    <row r="85" spans="1:5" x14ac:dyDescent="0.3">
      <c r="A85" t="s">
        <v>1521</v>
      </c>
      <c r="B85" t="s">
        <v>1522</v>
      </c>
      <c r="C85" t="s">
        <v>1236</v>
      </c>
      <c r="D85">
        <v>0</v>
      </c>
      <c r="E85">
        <v>0</v>
      </c>
    </row>
    <row r="86" spans="1:5" x14ac:dyDescent="0.3">
      <c r="A86" t="s">
        <v>1523</v>
      </c>
      <c r="B86" t="s">
        <v>1524</v>
      </c>
      <c r="C86" t="s">
        <v>1237</v>
      </c>
      <c r="D86">
        <v>0</v>
      </c>
      <c r="E86">
        <v>0</v>
      </c>
    </row>
    <row r="87" spans="1:5" x14ac:dyDescent="0.3">
      <c r="A87" t="s">
        <v>1525</v>
      </c>
      <c r="B87" t="s">
        <v>1526</v>
      </c>
      <c r="C87" t="s">
        <v>1238</v>
      </c>
      <c r="D87">
        <v>0</v>
      </c>
      <c r="E87">
        <v>0</v>
      </c>
    </row>
    <row r="88" spans="1:5" x14ac:dyDescent="0.3">
      <c r="A88" t="s">
        <v>1527</v>
      </c>
      <c r="B88" t="s">
        <v>1528</v>
      </c>
      <c r="C88" t="s">
        <v>1239</v>
      </c>
      <c r="D88">
        <v>0</v>
      </c>
      <c r="E88">
        <v>0</v>
      </c>
    </row>
    <row r="89" spans="1:5" x14ac:dyDescent="0.3">
      <c r="A89" t="s">
        <v>1529</v>
      </c>
      <c r="B89" t="s">
        <v>1530</v>
      </c>
      <c r="C89" t="s">
        <v>1240</v>
      </c>
      <c r="D89">
        <v>-0.35</v>
      </c>
      <c r="E89">
        <v>-0.37</v>
      </c>
    </row>
    <row r="90" spans="1:5" x14ac:dyDescent="0.3">
      <c r="A90" t="s">
        <v>1531</v>
      </c>
      <c r="B90" t="s">
        <v>1532</v>
      </c>
      <c r="C90" t="s">
        <v>1241</v>
      </c>
      <c r="D90">
        <v>0</v>
      </c>
      <c r="E90">
        <v>0</v>
      </c>
    </row>
    <row r="91" spans="1:5" x14ac:dyDescent="0.3">
      <c r="A91" t="s">
        <v>1533</v>
      </c>
      <c r="B91" t="s">
        <v>1534</v>
      </c>
      <c r="C91" t="s">
        <v>1242</v>
      </c>
      <c r="D91">
        <v>0.93</v>
      </c>
      <c r="E91">
        <v>3.5</v>
      </c>
    </row>
    <row r="92" spans="1:5" x14ac:dyDescent="0.3">
      <c r="A92" t="s">
        <v>1535</v>
      </c>
      <c r="B92" t="s">
        <v>1536</v>
      </c>
      <c r="C92" t="s">
        <v>1230</v>
      </c>
      <c r="D92">
        <v>0.87</v>
      </c>
      <c r="E92">
        <v>0.01</v>
      </c>
    </row>
    <row r="93" spans="1:5" x14ac:dyDescent="0.3">
      <c r="A93" t="s">
        <v>1537</v>
      </c>
      <c r="B93" t="s">
        <v>1538</v>
      </c>
      <c r="C93" t="s">
        <v>1243</v>
      </c>
      <c r="D93">
        <v>0</v>
      </c>
      <c r="E93">
        <v>0</v>
      </c>
    </row>
    <row r="94" spans="1:5" x14ac:dyDescent="0.3">
      <c r="A94" t="s">
        <v>1539</v>
      </c>
      <c r="B94" t="s">
        <v>58</v>
      </c>
      <c r="C94" t="s">
        <v>1244</v>
      </c>
      <c r="D94">
        <v>0</v>
      </c>
      <c r="E94">
        <v>0</v>
      </c>
    </row>
    <row r="95" spans="1:5" x14ac:dyDescent="0.3">
      <c r="A95" t="s">
        <v>1540</v>
      </c>
      <c r="B95" t="s">
        <v>1541</v>
      </c>
      <c r="C95" t="s">
        <v>1245</v>
      </c>
      <c r="D95">
        <v>0</v>
      </c>
      <c r="E95">
        <v>0</v>
      </c>
    </row>
    <row r="96" spans="1:5" x14ac:dyDescent="0.3">
      <c r="A96" t="s">
        <v>1542</v>
      </c>
      <c r="B96" t="s">
        <v>1543</v>
      </c>
      <c r="C96" t="s">
        <v>1246</v>
      </c>
      <c r="D96">
        <v>0</v>
      </c>
      <c r="E96">
        <v>0</v>
      </c>
    </row>
    <row r="97" spans="1:5" x14ac:dyDescent="0.3">
      <c r="A97" t="s">
        <v>1544</v>
      </c>
      <c r="B97" t="s">
        <v>1545</v>
      </c>
      <c r="C97" t="s">
        <v>1247</v>
      </c>
      <c r="D97">
        <v>-0.65</v>
      </c>
      <c r="E97">
        <v>-0.25</v>
      </c>
    </row>
    <row r="98" spans="1:5" x14ac:dyDescent="0.3">
      <c r="A98" t="s">
        <v>1546</v>
      </c>
      <c r="B98" t="s">
        <v>1547</v>
      </c>
      <c r="C98" t="s">
        <v>1248</v>
      </c>
      <c r="D98">
        <v>0.35</v>
      </c>
      <c r="E98">
        <v>1.75</v>
      </c>
    </row>
    <row r="99" spans="1:5" x14ac:dyDescent="0.3">
      <c r="A99" t="s">
        <v>1548</v>
      </c>
      <c r="B99" t="s">
        <v>1549</v>
      </c>
      <c r="C99" t="s">
        <v>1249</v>
      </c>
      <c r="D99">
        <v>0.68</v>
      </c>
      <c r="E99">
        <v>4</v>
      </c>
    </row>
    <row r="100" spans="1:5" x14ac:dyDescent="0.3">
      <c r="A100" t="s">
        <v>1550</v>
      </c>
      <c r="B100" t="s">
        <v>1551</v>
      </c>
      <c r="C100" t="s">
        <v>1250</v>
      </c>
      <c r="D100">
        <v>-1.1100000000000001</v>
      </c>
      <c r="E100">
        <v>-6.5</v>
      </c>
    </row>
    <row r="101" spans="1:5" x14ac:dyDescent="0.3">
      <c r="A101" t="s">
        <v>1552</v>
      </c>
      <c r="B101" t="s">
        <v>1553</v>
      </c>
      <c r="C101" t="s">
        <v>1179</v>
      </c>
      <c r="D101">
        <v>0</v>
      </c>
      <c r="E101">
        <v>0</v>
      </c>
    </row>
    <row r="102" spans="1:5" x14ac:dyDescent="0.3">
      <c r="A102" t="s">
        <v>1554</v>
      </c>
      <c r="B102" t="s">
        <v>1555</v>
      </c>
      <c r="C102" t="s">
        <v>1251</v>
      </c>
      <c r="D102">
        <v>0.27</v>
      </c>
      <c r="E102">
        <v>0.01</v>
      </c>
    </row>
    <row r="103" spans="1:5" x14ac:dyDescent="0.3">
      <c r="A103" t="s">
        <v>1556</v>
      </c>
      <c r="B103" t="s">
        <v>1557</v>
      </c>
      <c r="C103" t="s">
        <v>1252</v>
      </c>
      <c r="D103">
        <v>0</v>
      </c>
      <c r="E103">
        <v>0</v>
      </c>
    </row>
    <row r="104" spans="1:5" x14ac:dyDescent="0.3">
      <c r="A104" t="s">
        <v>1558</v>
      </c>
      <c r="B104" t="s">
        <v>1559</v>
      </c>
      <c r="C104" t="s">
        <v>1253</v>
      </c>
      <c r="D104">
        <v>0</v>
      </c>
      <c r="E104">
        <v>0</v>
      </c>
    </row>
    <row r="105" spans="1:5" x14ac:dyDescent="0.3">
      <c r="A105" t="s">
        <v>1560</v>
      </c>
      <c r="B105" t="s">
        <v>1561</v>
      </c>
      <c r="C105" t="s">
        <v>1254</v>
      </c>
      <c r="D105">
        <v>0.01</v>
      </c>
      <c r="E105">
        <v>0.01</v>
      </c>
    </row>
    <row r="106" spans="1:5" x14ac:dyDescent="0.3">
      <c r="A106" t="s">
        <v>1562</v>
      </c>
      <c r="B106" t="s">
        <v>1563</v>
      </c>
      <c r="C106" t="s">
        <v>1255</v>
      </c>
      <c r="D106">
        <v>0</v>
      </c>
      <c r="E106">
        <v>0</v>
      </c>
    </row>
    <row r="107" spans="1:5" x14ac:dyDescent="0.3">
      <c r="A107" t="s">
        <v>1564</v>
      </c>
      <c r="B107" t="s">
        <v>1565</v>
      </c>
      <c r="C107" t="s">
        <v>1256</v>
      </c>
      <c r="D107">
        <v>-0.05</v>
      </c>
      <c r="E107">
        <v>-0.25</v>
      </c>
    </row>
    <row r="108" spans="1:5" x14ac:dyDescent="0.3">
      <c r="A108" t="s">
        <v>1566</v>
      </c>
      <c r="B108" t="s">
        <v>1567</v>
      </c>
      <c r="C108" t="s">
        <v>1257</v>
      </c>
      <c r="D108">
        <v>0</v>
      </c>
      <c r="E108">
        <v>0</v>
      </c>
    </row>
    <row r="109" spans="1:5" x14ac:dyDescent="0.3">
      <c r="A109" t="s">
        <v>1568</v>
      </c>
      <c r="B109" t="s">
        <v>1569</v>
      </c>
      <c r="C109" t="s">
        <v>1228</v>
      </c>
      <c r="D109">
        <v>4</v>
      </c>
      <c r="E109">
        <v>0.03</v>
      </c>
    </row>
    <row r="110" spans="1:5" x14ac:dyDescent="0.3">
      <c r="A110" t="s">
        <v>1570</v>
      </c>
      <c r="B110" t="s">
        <v>1571</v>
      </c>
      <c r="C110" t="s">
        <v>1258</v>
      </c>
      <c r="D110">
        <v>0</v>
      </c>
      <c r="E110">
        <v>0</v>
      </c>
    </row>
    <row r="111" spans="1:5" x14ac:dyDescent="0.3">
      <c r="A111" t="s">
        <v>1572</v>
      </c>
      <c r="B111" t="s">
        <v>1573</v>
      </c>
      <c r="C111" t="s">
        <v>1259</v>
      </c>
      <c r="D111">
        <v>0</v>
      </c>
      <c r="E111">
        <v>0</v>
      </c>
    </row>
    <row r="112" spans="1:5" x14ac:dyDescent="0.3">
      <c r="A112" t="s">
        <v>1574</v>
      </c>
      <c r="B112" t="s">
        <v>1575</v>
      </c>
      <c r="C112" t="s">
        <v>1179</v>
      </c>
      <c r="D112">
        <v>0</v>
      </c>
      <c r="E112">
        <v>0</v>
      </c>
    </row>
    <row r="113" spans="1:5" x14ac:dyDescent="0.3">
      <c r="A113" t="s">
        <v>1576</v>
      </c>
      <c r="B113" t="s">
        <v>1577</v>
      </c>
      <c r="C113" t="s">
        <v>1260</v>
      </c>
      <c r="D113">
        <v>-2.86</v>
      </c>
      <c r="E113">
        <v>-0.5</v>
      </c>
    </row>
    <row r="114" spans="1:5" x14ac:dyDescent="0.3">
      <c r="A114" t="s">
        <v>1578</v>
      </c>
      <c r="B114" t="s">
        <v>1579</v>
      </c>
      <c r="C114" t="s">
        <v>1261</v>
      </c>
      <c r="D114">
        <v>0</v>
      </c>
      <c r="E114">
        <v>0</v>
      </c>
    </row>
    <row r="115" spans="1:5" x14ac:dyDescent="0.3">
      <c r="A115" t="s">
        <v>1580</v>
      </c>
      <c r="B115" t="s">
        <v>1581</v>
      </c>
      <c r="C115" t="s">
        <v>1262</v>
      </c>
      <c r="D115">
        <v>0</v>
      </c>
      <c r="E115">
        <v>0</v>
      </c>
    </row>
    <row r="116" spans="1:5" x14ac:dyDescent="0.3">
      <c r="A116" t="s">
        <v>1582</v>
      </c>
      <c r="B116" t="s">
        <v>1583</v>
      </c>
      <c r="C116" t="s">
        <v>1263</v>
      </c>
      <c r="D116">
        <v>3.62</v>
      </c>
      <c r="E116">
        <v>0.38</v>
      </c>
    </row>
    <row r="117" spans="1:5" x14ac:dyDescent="0.3">
      <c r="A117" t="s">
        <v>1584</v>
      </c>
      <c r="B117" t="s">
        <v>1585</v>
      </c>
      <c r="C117" t="s">
        <v>1264</v>
      </c>
      <c r="D117">
        <v>0.74</v>
      </c>
      <c r="E117">
        <v>6.75</v>
      </c>
    </row>
    <row r="118" spans="1:5" x14ac:dyDescent="0.3">
      <c r="A118" t="s">
        <v>1586</v>
      </c>
      <c r="B118" t="s">
        <v>1587</v>
      </c>
      <c r="C118" t="s">
        <v>1265</v>
      </c>
      <c r="D118">
        <v>-5</v>
      </c>
      <c r="E118">
        <v>-0.02</v>
      </c>
    </row>
    <row r="119" spans="1:5" x14ac:dyDescent="0.3">
      <c r="A119" t="s">
        <v>1588</v>
      </c>
      <c r="B119" t="s">
        <v>1589</v>
      </c>
      <c r="C119" t="s">
        <v>1266</v>
      </c>
      <c r="D119">
        <v>3.91</v>
      </c>
      <c r="E119">
        <v>1.25</v>
      </c>
    </row>
    <row r="120" spans="1:5" x14ac:dyDescent="0.3">
      <c r="A120" t="s">
        <v>1590</v>
      </c>
      <c r="B120" t="s">
        <v>1591</v>
      </c>
      <c r="C120" t="s">
        <v>1267</v>
      </c>
      <c r="D120">
        <v>0</v>
      </c>
      <c r="E120">
        <v>0</v>
      </c>
    </row>
    <row r="121" spans="1:5" x14ac:dyDescent="0.3">
      <c r="A121" t="s">
        <v>1592</v>
      </c>
      <c r="B121" t="s">
        <v>1593</v>
      </c>
      <c r="C121" t="s">
        <v>1268</v>
      </c>
      <c r="D121">
        <v>-2.17</v>
      </c>
      <c r="E121">
        <v>-0.05</v>
      </c>
    </row>
    <row r="122" spans="1:5" x14ac:dyDescent="0.3">
      <c r="A122" t="s">
        <v>1594</v>
      </c>
      <c r="B122" t="s">
        <v>1595</v>
      </c>
      <c r="C122" t="s">
        <v>1269</v>
      </c>
      <c r="D122">
        <v>0.73</v>
      </c>
      <c r="E122">
        <v>1</v>
      </c>
    </row>
    <row r="123" spans="1:5" x14ac:dyDescent="0.3">
      <c r="A123" t="s">
        <v>1596</v>
      </c>
      <c r="B123" t="s">
        <v>1597</v>
      </c>
      <c r="C123" t="s">
        <v>1270</v>
      </c>
      <c r="D123">
        <v>-0.05</v>
      </c>
      <c r="E123">
        <v>-0.25</v>
      </c>
    </row>
    <row r="124" spans="1:5" x14ac:dyDescent="0.3">
      <c r="A124" t="s">
        <v>1598</v>
      </c>
      <c r="B124" t="s">
        <v>1599</v>
      </c>
      <c r="C124" t="s">
        <v>1164</v>
      </c>
      <c r="D124">
        <v>0.16</v>
      </c>
      <c r="E124">
        <v>0.01</v>
      </c>
    </row>
    <row r="125" spans="1:5" x14ac:dyDescent="0.3">
      <c r="A125" t="s">
        <v>1600</v>
      </c>
      <c r="B125" t="s">
        <v>1601</v>
      </c>
      <c r="C125" t="s">
        <v>1271</v>
      </c>
      <c r="D125">
        <v>12.59</v>
      </c>
      <c r="E125">
        <v>0.92</v>
      </c>
    </row>
    <row r="126" spans="1:5" x14ac:dyDescent="0.3">
      <c r="A126" t="s">
        <v>1602</v>
      </c>
      <c r="B126" t="s">
        <v>1603</v>
      </c>
      <c r="C126" t="s">
        <v>1272</v>
      </c>
      <c r="D126">
        <v>0.02</v>
      </c>
      <c r="E126">
        <v>0.01</v>
      </c>
    </row>
    <row r="127" spans="1:5" x14ac:dyDescent="0.3">
      <c r="A127" t="s">
        <v>1604</v>
      </c>
      <c r="B127" t="s">
        <v>1605</v>
      </c>
      <c r="C127" t="s">
        <v>1273</v>
      </c>
      <c r="D127">
        <v>2.46</v>
      </c>
      <c r="E127">
        <v>7.5</v>
      </c>
    </row>
    <row r="128" spans="1:5" x14ac:dyDescent="0.3">
      <c r="A128" t="s">
        <v>1606</v>
      </c>
      <c r="B128" t="s">
        <v>1607</v>
      </c>
      <c r="C128" t="s">
        <v>1274</v>
      </c>
      <c r="D128">
        <v>0.24</v>
      </c>
      <c r="E128">
        <v>0.01</v>
      </c>
    </row>
    <row r="129" spans="1:5" x14ac:dyDescent="0.3">
      <c r="A129" t="s">
        <v>1608</v>
      </c>
      <c r="B129" t="s">
        <v>1609</v>
      </c>
      <c r="C129" t="s">
        <v>1275</v>
      </c>
      <c r="D129">
        <v>-0.92</v>
      </c>
      <c r="E129">
        <v>-10.75</v>
      </c>
    </row>
    <row r="130" spans="1:5" x14ac:dyDescent="0.3">
      <c r="A130" t="s">
        <v>1610</v>
      </c>
      <c r="B130" t="s">
        <v>1611</v>
      </c>
      <c r="C130" t="s">
        <v>1276</v>
      </c>
      <c r="D130">
        <v>0</v>
      </c>
      <c r="E130">
        <v>0</v>
      </c>
    </row>
    <row r="131" spans="1:5" x14ac:dyDescent="0.3">
      <c r="A131" t="s">
        <v>1612</v>
      </c>
      <c r="B131" t="s">
        <v>1613</v>
      </c>
      <c r="C131" t="s">
        <v>1277</v>
      </c>
      <c r="D131">
        <v>-0.27</v>
      </c>
      <c r="E131">
        <v>-0.25</v>
      </c>
    </row>
    <row r="132" spans="1:5" x14ac:dyDescent="0.3">
      <c r="A132" t="s">
        <v>1614</v>
      </c>
      <c r="B132" t="s">
        <v>1615</v>
      </c>
      <c r="C132" t="s">
        <v>1278</v>
      </c>
      <c r="D132">
        <v>0.89</v>
      </c>
      <c r="E132">
        <v>5.25</v>
      </c>
    </row>
    <row r="133" spans="1:5" x14ac:dyDescent="0.3">
      <c r="A133" t="s">
        <v>1616</v>
      </c>
      <c r="B133" t="s">
        <v>1617</v>
      </c>
      <c r="C133" t="s">
        <v>1279</v>
      </c>
      <c r="D133">
        <v>0</v>
      </c>
      <c r="E133">
        <v>0</v>
      </c>
    </row>
    <row r="134" spans="1:5" x14ac:dyDescent="0.3">
      <c r="A134" t="s">
        <v>1618</v>
      </c>
      <c r="B134" t="s">
        <v>1619</v>
      </c>
      <c r="C134" t="s">
        <v>1190</v>
      </c>
      <c r="D134">
        <v>0.14000000000000001</v>
      </c>
      <c r="E134">
        <v>0.13</v>
      </c>
    </row>
    <row r="135" spans="1:5" x14ac:dyDescent="0.3">
      <c r="A135" t="s">
        <v>1620</v>
      </c>
      <c r="B135" t="s">
        <v>1621</v>
      </c>
      <c r="C135" t="s">
        <v>1280</v>
      </c>
      <c r="D135">
        <v>0</v>
      </c>
      <c r="E135">
        <v>0</v>
      </c>
    </row>
    <row r="136" spans="1:5" x14ac:dyDescent="0.3">
      <c r="A136" t="s">
        <v>1622</v>
      </c>
      <c r="B136" t="s">
        <v>1623</v>
      </c>
      <c r="C136" t="s">
        <v>1205</v>
      </c>
      <c r="D136">
        <v>0</v>
      </c>
      <c r="E136">
        <v>0</v>
      </c>
    </row>
    <row r="137" spans="1:5" x14ac:dyDescent="0.3">
      <c r="A137" t="s">
        <v>1622</v>
      </c>
      <c r="B137" t="s">
        <v>1624</v>
      </c>
      <c r="C137" t="s">
        <v>1281</v>
      </c>
      <c r="D137">
        <v>0</v>
      </c>
      <c r="E137">
        <v>0</v>
      </c>
    </row>
    <row r="138" spans="1:5" x14ac:dyDescent="0.3">
      <c r="A138" t="s">
        <v>1625</v>
      </c>
      <c r="B138" t="s">
        <v>1626</v>
      </c>
      <c r="C138" t="s">
        <v>1282</v>
      </c>
      <c r="D138">
        <v>0</v>
      </c>
      <c r="E138">
        <v>0</v>
      </c>
    </row>
    <row r="139" spans="1:5" x14ac:dyDescent="0.3">
      <c r="A139" t="s">
        <v>1627</v>
      </c>
      <c r="B139" t="s">
        <v>1628</v>
      </c>
      <c r="C139" t="s">
        <v>1283</v>
      </c>
      <c r="D139">
        <v>0</v>
      </c>
      <c r="E139">
        <v>0</v>
      </c>
    </row>
    <row r="140" spans="1:5" x14ac:dyDescent="0.3">
      <c r="A140" t="s">
        <v>1629</v>
      </c>
      <c r="B140" t="s">
        <v>1630</v>
      </c>
      <c r="C140" t="s">
        <v>1205</v>
      </c>
      <c r="D140">
        <v>0</v>
      </c>
      <c r="E140">
        <v>0</v>
      </c>
    </row>
    <row r="141" spans="1:5" x14ac:dyDescent="0.3">
      <c r="A141" t="s">
        <v>1631</v>
      </c>
      <c r="B141" t="s">
        <v>1632</v>
      </c>
      <c r="C141" t="s">
        <v>1284</v>
      </c>
      <c r="D141">
        <v>1.48</v>
      </c>
      <c r="E141">
        <v>2.5</v>
      </c>
    </row>
    <row r="142" spans="1:5" x14ac:dyDescent="0.3">
      <c r="A142" t="s">
        <v>1633</v>
      </c>
      <c r="B142" t="s">
        <v>1634</v>
      </c>
      <c r="C142" t="s">
        <v>1285</v>
      </c>
      <c r="D142">
        <v>0</v>
      </c>
      <c r="E142">
        <v>0</v>
      </c>
    </row>
    <row r="143" spans="1:5" x14ac:dyDescent="0.3">
      <c r="A143" t="s">
        <v>1635</v>
      </c>
      <c r="B143" t="s">
        <v>1636</v>
      </c>
      <c r="C143" t="s">
        <v>1286</v>
      </c>
      <c r="D143">
        <v>0</v>
      </c>
      <c r="E143">
        <v>0</v>
      </c>
    </row>
    <row r="144" spans="1:5" x14ac:dyDescent="0.3">
      <c r="A144" t="s">
        <v>1637</v>
      </c>
      <c r="B144" t="s">
        <v>1638</v>
      </c>
      <c r="C144" t="s">
        <v>1287</v>
      </c>
      <c r="D144">
        <v>0</v>
      </c>
      <c r="E144">
        <v>0</v>
      </c>
    </row>
    <row r="145" spans="1:5" x14ac:dyDescent="0.3">
      <c r="A145" t="s">
        <v>1639</v>
      </c>
      <c r="B145" t="s">
        <v>1640</v>
      </c>
      <c r="C145" t="s">
        <v>1288</v>
      </c>
      <c r="D145">
        <v>-4.96</v>
      </c>
      <c r="E145">
        <v>-3</v>
      </c>
    </row>
    <row r="146" spans="1:5" x14ac:dyDescent="0.3">
      <c r="A146" t="s">
        <v>1641</v>
      </c>
      <c r="B146" t="s">
        <v>1642</v>
      </c>
      <c r="C146" t="s">
        <v>1179</v>
      </c>
      <c r="D146">
        <v>0</v>
      </c>
      <c r="E146">
        <v>0</v>
      </c>
    </row>
    <row r="147" spans="1:5" x14ac:dyDescent="0.3">
      <c r="A147" t="s">
        <v>1643</v>
      </c>
      <c r="B147" t="s">
        <v>1644</v>
      </c>
      <c r="C147" t="s">
        <v>1289</v>
      </c>
      <c r="D147">
        <v>-0.95</v>
      </c>
      <c r="E147">
        <v>-14.5</v>
      </c>
    </row>
    <row r="148" spans="1:5" x14ac:dyDescent="0.3">
      <c r="A148" t="s">
        <v>1645</v>
      </c>
      <c r="B148" t="s">
        <v>1646</v>
      </c>
      <c r="C148" t="s">
        <v>1290</v>
      </c>
      <c r="D148">
        <v>2.86</v>
      </c>
      <c r="E148">
        <v>0.01</v>
      </c>
    </row>
    <row r="149" spans="1:5" x14ac:dyDescent="0.3">
      <c r="A149" t="s">
        <v>1647</v>
      </c>
      <c r="B149" t="s">
        <v>1648</v>
      </c>
      <c r="C149" t="s">
        <v>1291</v>
      </c>
      <c r="D149">
        <v>2.7</v>
      </c>
      <c r="E149">
        <v>0.01</v>
      </c>
    </row>
    <row r="150" spans="1:5" x14ac:dyDescent="0.3">
      <c r="A150" t="s">
        <v>1649</v>
      </c>
      <c r="B150" t="s">
        <v>1650</v>
      </c>
      <c r="C150" t="s">
        <v>1292</v>
      </c>
      <c r="D150">
        <v>0</v>
      </c>
      <c r="E150">
        <v>0</v>
      </c>
    </row>
    <row r="151" spans="1:5" x14ac:dyDescent="0.3">
      <c r="A151" t="s">
        <v>1651</v>
      </c>
      <c r="B151" t="s">
        <v>1652</v>
      </c>
      <c r="C151" t="s">
        <v>1293</v>
      </c>
      <c r="D151">
        <v>0.06</v>
      </c>
      <c r="E151">
        <v>0.01</v>
      </c>
    </row>
    <row r="152" spans="1:5" x14ac:dyDescent="0.3">
      <c r="A152" t="s">
        <v>1653</v>
      </c>
      <c r="B152" t="s">
        <v>1654</v>
      </c>
      <c r="C152" t="s">
        <v>1294</v>
      </c>
      <c r="D152">
        <v>0.09</v>
      </c>
      <c r="E152">
        <v>0.01</v>
      </c>
    </row>
    <row r="153" spans="1:5" x14ac:dyDescent="0.3">
      <c r="A153" t="s">
        <v>1655</v>
      </c>
      <c r="B153" t="s">
        <v>1656</v>
      </c>
      <c r="C153" t="s">
        <v>1295</v>
      </c>
      <c r="D153">
        <v>0</v>
      </c>
      <c r="E153">
        <v>0</v>
      </c>
    </row>
    <row r="154" spans="1:5" x14ac:dyDescent="0.3">
      <c r="A154" t="s">
        <v>1657</v>
      </c>
      <c r="B154" t="s">
        <v>1658</v>
      </c>
      <c r="C154" t="s">
        <v>1296</v>
      </c>
      <c r="D154">
        <v>0.61</v>
      </c>
      <c r="E154">
        <v>0.01</v>
      </c>
    </row>
    <row r="155" spans="1:5" x14ac:dyDescent="0.3">
      <c r="A155" t="s">
        <v>1659</v>
      </c>
      <c r="B155" t="s">
        <v>1660</v>
      </c>
      <c r="C155" t="s">
        <v>1297</v>
      </c>
      <c r="D155">
        <v>1.1499999999999999</v>
      </c>
      <c r="E155">
        <v>0.5</v>
      </c>
    </row>
    <row r="156" spans="1:5" x14ac:dyDescent="0.3">
      <c r="A156" t="s">
        <v>1661</v>
      </c>
      <c r="B156" t="s">
        <v>1662</v>
      </c>
      <c r="C156" t="s">
        <v>1298</v>
      </c>
      <c r="D156">
        <v>-5.88</v>
      </c>
      <c r="E156">
        <v>0</v>
      </c>
    </row>
    <row r="157" spans="1:5" x14ac:dyDescent="0.3">
      <c r="A157" t="s">
        <v>1663</v>
      </c>
      <c r="B157" t="s">
        <v>1664</v>
      </c>
      <c r="C157" t="s">
        <v>1299</v>
      </c>
      <c r="D157">
        <v>20</v>
      </c>
      <c r="E157">
        <v>1</v>
      </c>
    </row>
    <row r="158" spans="1:5" x14ac:dyDescent="0.3">
      <c r="A158" t="s">
        <v>1665</v>
      </c>
      <c r="B158" t="s">
        <v>1666</v>
      </c>
      <c r="C158" t="s">
        <v>1300</v>
      </c>
      <c r="D158">
        <v>-2.44</v>
      </c>
      <c r="E158">
        <v>0</v>
      </c>
    </row>
    <row r="159" spans="1:5" x14ac:dyDescent="0.3">
      <c r="A159" t="s">
        <v>1667</v>
      </c>
      <c r="B159" t="s">
        <v>1668</v>
      </c>
      <c r="C159" t="s">
        <v>1301</v>
      </c>
      <c r="D159">
        <v>6.06</v>
      </c>
      <c r="E159">
        <v>2</v>
      </c>
    </row>
    <row r="160" spans="1:5" x14ac:dyDescent="0.3">
      <c r="A160" t="s">
        <v>1669</v>
      </c>
      <c r="B160" t="s">
        <v>1670</v>
      </c>
      <c r="C160" t="s">
        <v>1302</v>
      </c>
      <c r="D160">
        <v>0</v>
      </c>
      <c r="E160">
        <v>0</v>
      </c>
    </row>
    <row r="161" spans="1:5" x14ac:dyDescent="0.3">
      <c r="A161" t="s">
        <v>1671</v>
      </c>
      <c r="B161" t="s">
        <v>1672</v>
      </c>
      <c r="C161" t="s">
        <v>1303</v>
      </c>
      <c r="D161">
        <v>-0.86</v>
      </c>
      <c r="E161">
        <v>-2.12</v>
      </c>
    </row>
    <row r="162" spans="1:5" x14ac:dyDescent="0.3">
      <c r="A162" t="s">
        <v>1673</v>
      </c>
      <c r="B162" t="s">
        <v>1674</v>
      </c>
      <c r="C162" t="s">
        <v>1304</v>
      </c>
      <c r="D162">
        <v>0</v>
      </c>
      <c r="E162">
        <v>0</v>
      </c>
    </row>
    <row r="163" spans="1:5" x14ac:dyDescent="0.3">
      <c r="A163" t="s">
        <v>1675</v>
      </c>
      <c r="B163" t="s">
        <v>1676</v>
      </c>
      <c r="C163" t="s">
        <v>1305</v>
      </c>
      <c r="D163">
        <v>-1.82</v>
      </c>
      <c r="E163">
        <v>-0.5</v>
      </c>
    </row>
    <row r="164" spans="1:5" x14ac:dyDescent="0.3">
      <c r="A164" t="s">
        <v>1675</v>
      </c>
      <c r="B164" t="s">
        <v>1677</v>
      </c>
      <c r="C164" t="s">
        <v>1306</v>
      </c>
      <c r="D164">
        <v>-0.04</v>
      </c>
      <c r="E164">
        <v>-0.12</v>
      </c>
    </row>
    <row r="165" spans="1:5" x14ac:dyDescent="0.3">
      <c r="A165" t="s">
        <v>1678</v>
      </c>
      <c r="B165" t="s">
        <v>1679</v>
      </c>
      <c r="C165" t="s">
        <v>1307</v>
      </c>
      <c r="D165">
        <v>0.08</v>
      </c>
      <c r="E165">
        <v>0.01</v>
      </c>
    </row>
    <row r="166" spans="1:5" x14ac:dyDescent="0.3">
      <c r="A166" t="s">
        <v>1680</v>
      </c>
      <c r="B166" t="s">
        <v>1681</v>
      </c>
      <c r="C166" t="s">
        <v>1308</v>
      </c>
      <c r="D166">
        <v>2.86</v>
      </c>
      <c r="E166">
        <v>0.01</v>
      </c>
    </row>
    <row r="167" spans="1:5" x14ac:dyDescent="0.3">
      <c r="A167" t="s">
        <v>1682</v>
      </c>
      <c r="B167" t="s">
        <v>1683</v>
      </c>
      <c r="C167" t="s">
        <v>1309</v>
      </c>
      <c r="D167">
        <v>1.1200000000000001</v>
      </c>
      <c r="E167">
        <v>0.01</v>
      </c>
    </row>
    <row r="168" spans="1:5" x14ac:dyDescent="0.3">
      <c r="A168" t="s">
        <v>1684</v>
      </c>
      <c r="B168" t="s">
        <v>1685</v>
      </c>
      <c r="C168" t="s">
        <v>1310</v>
      </c>
      <c r="D168">
        <v>0</v>
      </c>
      <c r="E168">
        <v>0</v>
      </c>
    </row>
    <row r="169" spans="1:5" x14ac:dyDescent="0.3">
      <c r="A169" t="s">
        <v>1686</v>
      </c>
      <c r="B169" t="s">
        <v>1687</v>
      </c>
      <c r="C169" t="s">
        <v>1311</v>
      </c>
      <c r="D169">
        <v>2.65</v>
      </c>
      <c r="E169">
        <v>0.75</v>
      </c>
    </row>
    <row r="170" spans="1:5" x14ac:dyDescent="0.3">
      <c r="A170" t="s">
        <v>1688</v>
      </c>
      <c r="B170" t="s">
        <v>1689</v>
      </c>
      <c r="C170" t="s">
        <v>1312</v>
      </c>
      <c r="D170">
        <v>0.11</v>
      </c>
      <c r="E170">
        <v>0.01</v>
      </c>
    </row>
    <row r="171" spans="1:5" x14ac:dyDescent="0.3">
      <c r="A171" t="s">
        <v>1690</v>
      </c>
      <c r="B171" t="s">
        <v>1691</v>
      </c>
      <c r="C171" t="s">
        <v>1313</v>
      </c>
      <c r="D171">
        <v>0</v>
      </c>
      <c r="E171">
        <v>0</v>
      </c>
    </row>
    <row r="172" spans="1:5" x14ac:dyDescent="0.3">
      <c r="A172" t="s">
        <v>1692</v>
      </c>
      <c r="B172" t="s">
        <v>1693</v>
      </c>
      <c r="C172" t="s">
        <v>1314</v>
      </c>
      <c r="D172">
        <v>0</v>
      </c>
      <c r="E172">
        <v>0</v>
      </c>
    </row>
    <row r="173" spans="1:5" x14ac:dyDescent="0.3">
      <c r="A173" t="s">
        <v>1694</v>
      </c>
      <c r="B173" t="s">
        <v>1695</v>
      </c>
      <c r="C173" t="s">
        <v>1315</v>
      </c>
      <c r="D173">
        <v>-0.14000000000000001</v>
      </c>
      <c r="E173">
        <v>-0.4</v>
      </c>
    </row>
    <row r="174" spans="1:5" x14ac:dyDescent="0.3">
      <c r="A174" t="s">
        <v>1696</v>
      </c>
      <c r="B174" t="s">
        <v>1697</v>
      </c>
      <c r="C174" t="s">
        <v>1179</v>
      </c>
      <c r="D174">
        <v>0</v>
      </c>
      <c r="E174">
        <v>0</v>
      </c>
    </row>
    <row r="175" spans="1:5" x14ac:dyDescent="0.3">
      <c r="A175" t="s">
        <v>1698</v>
      </c>
      <c r="B175" t="s">
        <v>1699</v>
      </c>
      <c r="C175" t="s">
        <v>1205</v>
      </c>
      <c r="D175">
        <v>0</v>
      </c>
      <c r="E175">
        <v>0</v>
      </c>
    </row>
    <row r="176" spans="1:5" x14ac:dyDescent="0.3">
      <c r="A176" t="s">
        <v>1700</v>
      </c>
      <c r="B176" t="s">
        <v>1701</v>
      </c>
      <c r="C176" t="s">
        <v>1316</v>
      </c>
      <c r="D176">
        <v>-1.2</v>
      </c>
      <c r="E176">
        <v>-13.5</v>
      </c>
    </row>
    <row r="177" spans="1:5" x14ac:dyDescent="0.3">
      <c r="A177" t="s">
        <v>1702</v>
      </c>
      <c r="B177" t="s">
        <v>1703</v>
      </c>
      <c r="C177" t="s">
        <v>1297</v>
      </c>
      <c r="D177">
        <v>0</v>
      </c>
      <c r="E177">
        <v>0</v>
      </c>
    </row>
    <row r="178" spans="1:5" x14ac:dyDescent="0.3">
      <c r="A178" t="s">
        <v>1704</v>
      </c>
      <c r="B178" t="s">
        <v>1705</v>
      </c>
      <c r="C178" t="s">
        <v>1244</v>
      </c>
      <c r="D178">
        <v>-1.37</v>
      </c>
      <c r="E178">
        <v>-0.25</v>
      </c>
    </row>
    <row r="179" spans="1:5" x14ac:dyDescent="0.3">
      <c r="A179" t="s">
        <v>1706</v>
      </c>
      <c r="B179" t="s">
        <v>1707</v>
      </c>
      <c r="C179" t="s">
        <v>1317</v>
      </c>
      <c r="D179">
        <v>0.08</v>
      </c>
      <c r="E179">
        <v>0.01</v>
      </c>
    </row>
    <row r="180" spans="1:5" x14ac:dyDescent="0.3">
      <c r="A180" t="s">
        <v>1708</v>
      </c>
      <c r="B180" t="s">
        <v>1709</v>
      </c>
      <c r="C180" t="s">
        <v>1318</v>
      </c>
      <c r="D180">
        <v>0</v>
      </c>
      <c r="E180">
        <v>0</v>
      </c>
    </row>
    <row r="181" spans="1:5" x14ac:dyDescent="0.3">
      <c r="A181" t="s">
        <v>1710</v>
      </c>
      <c r="B181" t="s">
        <v>1711</v>
      </c>
      <c r="C181" t="s">
        <v>1319</v>
      </c>
      <c r="D181">
        <v>0.3</v>
      </c>
      <c r="E181">
        <v>0.63</v>
      </c>
    </row>
    <row r="182" spans="1:5" x14ac:dyDescent="0.3">
      <c r="A182" t="s">
        <v>1712</v>
      </c>
      <c r="B182" t="s">
        <v>1713</v>
      </c>
      <c r="C182" t="s">
        <v>1205</v>
      </c>
      <c r="D182">
        <v>0</v>
      </c>
      <c r="E182">
        <v>0</v>
      </c>
    </row>
    <row r="183" spans="1:5" x14ac:dyDescent="0.3">
      <c r="A183" t="s">
        <v>1714</v>
      </c>
      <c r="B183" t="s">
        <v>1715</v>
      </c>
      <c r="C183" t="s">
        <v>1320</v>
      </c>
      <c r="D183">
        <v>0</v>
      </c>
      <c r="E183">
        <v>0</v>
      </c>
    </row>
    <row r="184" spans="1:5" x14ac:dyDescent="0.3">
      <c r="A184" t="s">
        <v>1716</v>
      </c>
      <c r="B184" t="s">
        <v>1717</v>
      </c>
      <c r="C184" t="s">
        <v>1321</v>
      </c>
      <c r="D184">
        <v>0</v>
      </c>
      <c r="E184">
        <v>0</v>
      </c>
    </row>
    <row r="185" spans="1:5" x14ac:dyDescent="0.3">
      <c r="A185" t="s">
        <v>1718</v>
      </c>
      <c r="B185" t="s">
        <v>1719</v>
      </c>
      <c r="C185" t="s">
        <v>1322</v>
      </c>
      <c r="D185">
        <v>-0.11</v>
      </c>
      <c r="E185">
        <v>-3.5</v>
      </c>
    </row>
    <row r="186" spans="1:5" x14ac:dyDescent="0.3">
      <c r="A186" t="s">
        <v>1720</v>
      </c>
      <c r="B186" t="s">
        <v>1721</v>
      </c>
      <c r="C186" t="s">
        <v>1323</v>
      </c>
      <c r="D186">
        <v>3.5</v>
      </c>
      <c r="E186">
        <v>1.88</v>
      </c>
    </row>
    <row r="187" spans="1:5" x14ac:dyDescent="0.3">
      <c r="A187" t="s">
        <v>1722</v>
      </c>
      <c r="B187" t="s">
        <v>1723</v>
      </c>
      <c r="C187" t="s">
        <v>1324</v>
      </c>
      <c r="D187">
        <v>-1.05</v>
      </c>
      <c r="E187">
        <v>-47</v>
      </c>
    </row>
    <row r="188" spans="1:5" x14ac:dyDescent="0.3">
      <c r="A188" t="s">
        <v>1724</v>
      </c>
      <c r="B188" t="s">
        <v>1725</v>
      </c>
      <c r="C188" t="s">
        <v>1325</v>
      </c>
      <c r="D188">
        <v>0</v>
      </c>
      <c r="E188">
        <v>0</v>
      </c>
    </row>
    <row r="189" spans="1:5" x14ac:dyDescent="0.3">
      <c r="A189" t="s">
        <v>1726</v>
      </c>
      <c r="B189" t="s">
        <v>1727</v>
      </c>
      <c r="C189" t="s">
        <v>1205</v>
      </c>
      <c r="D189">
        <v>0</v>
      </c>
      <c r="E189">
        <v>0</v>
      </c>
    </row>
    <row r="190" spans="1:5" x14ac:dyDescent="0.3">
      <c r="A190" t="s">
        <v>1728</v>
      </c>
      <c r="B190" t="s">
        <v>1729</v>
      </c>
      <c r="C190" t="s">
        <v>1326</v>
      </c>
      <c r="D190">
        <v>-0.11</v>
      </c>
      <c r="E190">
        <v>-1.5</v>
      </c>
    </row>
    <row r="191" spans="1:5" x14ac:dyDescent="0.3">
      <c r="A191" t="s">
        <v>1730</v>
      </c>
      <c r="B191" t="s">
        <v>1731</v>
      </c>
      <c r="C191" t="s">
        <v>1327</v>
      </c>
      <c r="D191">
        <v>0</v>
      </c>
      <c r="E191">
        <v>0</v>
      </c>
    </row>
    <row r="192" spans="1:5" x14ac:dyDescent="0.3">
      <c r="A192" t="s">
        <v>1732</v>
      </c>
      <c r="B192" t="s">
        <v>1733</v>
      </c>
      <c r="C192" t="s">
        <v>1328</v>
      </c>
      <c r="D192">
        <v>0</v>
      </c>
      <c r="E192">
        <v>0</v>
      </c>
    </row>
    <row r="193" spans="1:5" x14ac:dyDescent="0.3">
      <c r="A193" t="s">
        <v>1734</v>
      </c>
      <c r="B193" t="s">
        <v>1735</v>
      </c>
      <c r="C193" t="s">
        <v>1329</v>
      </c>
      <c r="D193">
        <v>0</v>
      </c>
      <c r="E193">
        <v>0</v>
      </c>
    </row>
    <row r="194" spans="1:5" x14ac:dyDescent="0.3">
      <c r="A194" t="s">
        <v>1736</v>
      </c>
      <c r="B194" t="s">
        <v>1737</v>
      </c>
      <c r="C194" t="s">
        <v>1330</v>
      </c>
      <c r="D194">
        <v>0.09</v>
      </c>
      <c r="E194">
        <v>0.01</v>
      </c>
    </row>
    <row r="195" spans="1:5" x14ac:dyDescent="0.3">
      <c r="A195" t="s">
        <v>1738</v>
      </c>
      <c r="B195" t="s">
        <v>1739</v>
      </c>
      <c r="C195" t="s">
        <v>1331</v>
      </c>
      <c r="D195">
        <v>0</v>
      </c>
      <c r="E195">
        <v>0</v>
      </c>
    </row>
    <row r="196" spans="1:5" x14ac:dyDescent="0.3">
      <c r="A196" t="s">
        <v>1740</v>
      </c>
      <c r="B196" t="s">
        <v>1741</v>
      </c>
      <c r="C196" t="s">
        <v>1304</v>
      </c>
      <c r="D196">
        <v>0</v>
      </c>
      <c r="E196">
        <v>0</v>
      </c>
    </row>
    <row r="197" spans="1:5" x14ac:dyDescent="0.3">
      <c r="A197" t="s">
        <v>1742</v>
      </c>
      <c r="B197" t="s">
        <v>1743</v>
      </c>
      <c r="C197" t="s">
        <v>1332</v>
      </c>
      <c r="D197">
        <v>-1.72</v>
      </c>
      <c r="E197">
        <v>-1</v>
      </c>
    </row>
    <row r="198" spans="1:5" x14ac:dyDescent="0.3">
      <c r="A198" t="s">
        <v>1744</v>
      </c>
      <c r="B198" t="s">
        <v>1745</v>
      </c>
      <c r="C198" t="s">
        <v>1333</v>
      </c>
      <c r="D198">
        <v>0</v>
      </c>
      <c r="E198">
        <v>0</v>
      </c>
    </row>
    <row r="199" spans="1:5" x14ac:dyDescent="0.3">
      <c r="A199" t="s">
        <v>1746</v>
      </c>
      <c r="B199" t="s">
        <v>1747</v>
      </c>
      <c r="C199" t="s">
        <v>1334</v>
      </c>
      <c r="D199">
        <v>-2.78</v>
      </c>
      <c r="E199">
        <v>-0.25</v>
      </c>
    </row>
    <row r="200" spans="1:5" x14ac:dyDescent="0.3">
      <c r="A200" t="s">
        <v>1748</v>
      </c>
      <c r="B200" t="s">
        <v>1749</v>
      </c>
      <c r="C200" t="s">
        <v>1335</v>
      </c>
      <c r="D200">
        <v>-0.59</v>
      </c>
      <c r="E200">
        <v>-0.25</v>
      </c>
    </row>
    <row r="201" spans="1:5" x14ac:dyDescent="0.3">
      <c r="A201" t="s">
        <v>1750</v>
      </c>
      <c r="B201" t="s">
        <v>1751</v>
      </c>
      <c r="C201" t="s">
        <v>1336</v>
      </c>
      <c r="D201">
        <v>0</v>
      </c>
      <c r="E201">
        <v>0</v>
      </c>
    </row>
    <row r="202" spans="1:5" x14ac:dyDescent="0.3">
      <c r="A202" t="s">
        <v>1752</v>
      </c>
      <c r="B202" t="s">
        <v>1753</v>
      </c>
      <c r="C202" t="s">
        <v>1337</v>
      </c>
      <c r="D202">
        <v>0</v>
      </c>
      <c r="E202">
        <v>0</v>
      </c>
    </row>
    <row r="203" spans="1:5" x14ac:dyDescent="0.3">
      <c r="A203" t="s">
        <v>1754</v>
      </c>
      <c r="B203" t="s">
        <v>1755</v>
      </c>
      <c r="C203" t="s">
        <v>1338</v>
      </c>
      <c r="D203">
        <v>3.45</v>
      </c>
      <c r="E203">
        <v>0.01</v>
      </c>
    </row>
    <row r="204" spans="1:5" x14ac:dyDescent="0.3">
      <c r="A204" t="s">
        <v>1756</v>
      </c>
      <c r="B204" t="s">
        <v>1757</v>
      </c>
      <c r="C204" t="s">
        <v>1336</v>
      </c>
      <c r="D204">
        <v>3.53</v>
      </c>
      <c r="E204">
        <v>0.75</v>
      </c>
    </row>
    <row r="205" spans="1:5" x14ac:dyDescent="0.3">
      <c r="A205" t="s">
        <v>1758</v>
      </c>
      <c r="B205" t="s">
        <v>1759</v>
      </c>
      <c r="C205" t="s">
        <v>1339</v>
      </c>
      <c r="D205">
        <v>0</v>
      </c>
      <c r="E205">
        <v>0</v>
      </c>
    </row>
    <row r="206" spans="1:5" x14ac:dyDescent="0.3">
      <c r="A206" t="s">
        <v>1760</v>
      </c>
      <c r="B206" t="s">
        <v>1761</v>
      </c>
      <c r="C206" t="s">
        <v>1340</v>
      </c>
      <c r="D206">
        <v>0</v>
      </c>
      <c r="E206">
        <v>0</v>
      </c>
    </row>
    <row r="207" spans="1:5" x14ac:dyDescent="0.3">
      <c r="A207" t="s">
        <v>1762</v>
      </c>
      <c r="B207" t="s">
        <v>1763</v>
      </c>
      <c r="C207" t="s">
        <v>1341</v>
      </c>
      <c r="D207">
        <v>0</v>
      </c>
      <c r="E207">
        <v>0</v>
      </c>
    </row>
    <row r="208" spans="1:5" x14ac:dyDescent="0.3">
      <c r="A208" t="s">
        <v>1764</v>
      </c>
      <c r="B208" t="s">
        <v>1765</v>
      </c>
      <c r="C208" t="s">
        <v>1342</v>
      </c>
      <c r="D208">
        <v>0.59</v>
      </c>
      <c r="E208">
        <v>0.01</v>
      </c>
    </row>
    <row r="209" spans="1:5" x14ac:dyDescent="0.3">
      <c r="A209" t="s">
        <v>1766</v>
      </c>
      <c r="B209" t="s">
        <v>1767</v>
      </c>
      <c r="C209" t="s">
        <v>1343</v>
      </c>
      <c r="D209">
        <v>-0.02</v>
      </c>
      <c r="E209">
        <v>-4.7</v>
      </c>
    </row>
    <row r="210" spans="1:5" x14ac:dyDescent="0.3">
      <c r="A210" t="s">
        <v>1768</v>
      </c>
      <c r="B210" t="s">
        <v>1769</v>
      </c>
      <c r="C210" t="s">
        <v>1344</v>
      </c>
      <c r="D210">
        <v>0</v>
      </c>
      <c r="E210">
        <v>0</v>
      </c>
    </row>
    <row r="211" spans="1:5" x14ac:dyDescent="0.3">
      <c r="A211" t="s">
        <v>1770</v>
      </c>
      <c r="B211" t="s">
        <v>1771</v>
      </c>
      <c r="C211" t="s">
        <v>1345</v>
      </c>
      <c r="D211">
        <v>-0.36</v>
      </c>
      <c r="E211">
        <v>-0.87</v>
      </c>
    </row>
    <row r="212" spans="1:5" x14ac:dyDescent="0.3">
      <c r="A212" t="s">
        <v>1772</v>
      </c>
      <c r="B212" t="s">
        <v>1773</v>
      </c>
      <c r="C212" t="s">
        <v>1346</v>
      </c>
      <c r="D212">
        <v>0</v>
      </c>
      <c r="E212">
        <v>0</v>
      </c>
    </row>
    <row r="213" spans="1:5" x14ac:dyDescent="0.3">
      <c r="A213" t="s">
        <v>1774</v>
      </c>
      <c r="B213" t="s">
        <v>1775</v>
      </c>
      <c r="C213" t="s">
        <v>1347</v>
      </c>
      <c r="D213">
        <v>4.12</v>
      </c>
      <c r="E213">
        <v>6</v>
      </c>
    </row>
    <row r="214" spans="1:5" x14ac:dyDescent="0.3">
      <c r="A214" t="s">
        <v>1776</v>
      </c>
      <c r="B214" t="s">
        <v>1777</v>
      </c>
      <c r="C214" t="s">
        <v>1348</v>
      </c>
      <c r="D214">
        <v>0</v>
      </c>
      <c r="E214">
        <v>0</v>
      </c>
    </row>
    <row r="215" spans="1:5" x14ac:dyDescent="0.3">
      <c r="A215" t="s">
        <v>1778</v>
      </c>
      <c r="B215" t="s">
        <v>1779</v>
      </c>
      <c r="C215" t="s">
        <v>1349</v>
      </c>
      <c r="D215">
        <v>0</v>
      </c>
      <c r="E215">
        <v>0</v>
      </c>
    </row>
    <row r="216" spans="1:5" x14ac:dyDescent="0.3">
      <c r="A216" t="s">
        <v>1780</v>
      </c>
      <c r="B216" t="s">
        <v>1781</v>
      </c>
      <c r="C216" t="s">
        <v>1350</v>
      </c>
      <c r="D216">
        <v>0.17</v>
      </c>
      <c r="E216">
        <v>0.25</v>
      </c>
    </row>
    <row r="217" spans="1:5" x14ac:dyDescent="0.3">
      <c r="A217" t="s">
        <v>1780</v>
      </c>
      <c r="B217" t="s">
        <v>1782</v>
      </c>
      <c r="C217" t="s">
        <v>1351</v>
      </c>
      <c r="D217">
        <v>0.48</v>
      </c>
      <c r="E217">
        <v>2.75</v>
      </c>
    </row>
    <row r="218" spans="1:5" x14ac:dyDescent="0.3">
      <c r="A218" t="s">
        <v>1783</v>
      </c>
      <c r="B218" t="s">
        <v>1784</v>
      </c>
      <c r="C218" t="s">
        <v>1352</v>
      </c>
      <c r="D218">
        <v>-2.33</v>
      </c>
      <c r="E218">
        <v>-0.13</v>
      </c>
    </row>
    <row r="219" spans="1:5" x14ac:dyDescent="0.3">
      <c r="A219" t="s">
        <v>1785</v>
      </c>
      <c r="B219" t="s">
        <v>1786</v>
      </c>
      <c r="C219" t="s">
        <v>1353</v>
      </c>
      <c r="D219">
        <v>2.87</v>
      </c>
      <c r="E219">
        <v>20.5</v>
      </c>
    </row>
    <row r="220" spans="1:5" x14ac:dyDescent="0.3">
      <c r="A220" t="s">
        <v>1787</v>
      </c>
      <c r="B220" t="s">
        <v>1788</v>
      </c>
      <c r="C220" t="s">
        <v>1354</v>
      </c>
      <c r="D220">
        <v>2.11</v>
      </c>
      <c r="E220">
        <v>0.88</v>
      </c>
    </row>
    <row r="221" spans="1:5" x14ac:dyDescent="0.3">
      <c r="A221" t="s">
        <v>1789</v>
      </c>
      <c r="B221" t="s">
        <v>1790</v>
      </c>
      <c r="C221" t="s">
        <v>1179</v>
      </c>
      <c r="D221">
        <v>0</v>
      </c>
      <c r="E221">
        <v>0</v>
      </c>
    </row>
    <row r="222" spans="1:5" x14ac:dyDescent="0.3">
      <c r="A222" t="s">
        <v>1791</v>
      </c>
      <c r="B222" t="s">
        <v>1792</v>
      </c>
      <c r="C222" t="s">
        <v>1308</v>
      </c>
      <c r="D222">
        <v>2.86</v>
      </c>
      <c r="E222">
        <v>0.01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A4C3-9F99-471E-B8FE-2F40DDC3648B}">
  <dimension ref="A1:F248"/>
  <sheetViews>
    <sheetView workbookViewId="0"/>
  </sheetViews>
  <sheetFormatPr defaultRowHeight="14.4" x14ac:dyDescent="0.3"/>
  <cols>
    <col min="1" max="1" width="7.44140625" bestFit="1" customWidth="1"/>
    <col min="2" max="2" width="42.33203125" bestFit="1" customWidth="1"/>
    <col min="3" max="3" width="11.21875" bestFit="1" customWidth="1"/>
    <col min="4" max="4" width="12.44140625" bestFit="1" customWidth="1"/>
    <col min="5" max="5" width="17.33203125" bestFit="1" customWidth="1"/>
    <col min="6" max="6" width="23" bestFit="1" customWidth="1"/>
  </cols>
  <sheetData>
    <row r="1" spans="1:6" x14ac:dyDescent="0.3">
      <c r="A1" t="s">
        <v>529</v>
      </c>
      <c r="B1" t="s">
        <v>195</v>
      </c>
      <c r="C1" t="s">
        <v>1793</v>
      </c>
      <c r="D1" t="s">
        <v>530</v>
      </c>
      <c r="E1" t="s">
        <v>197</v>
      </c>
      <c r="F1" t="s">
        <v>531</v>
      </c>
    </row>
    <row r="2" spans="1:6" x14ac:dyDescent="0.3">
      <c r="A2">
        <v>1</v>
      </c>
      <c r="B2" t="s">
        <v>533</v>
      </c>
      <c r="C2" t="s">
        <v>1794</v>
      </c>
      <c r="D2">
        <v>1368570000</v>
      </c>
      <c r="E2" t="s">
        <v>534</v>
      </c>
      <c r="F2">
        <v>0.189</v>
      </c>
    </row>
    <row r="3" spans="1:6" x14ac:dyDescent="0.3">
      <c r="A3">
        <v>2</v>
      </c>
      <c r="B3" t="s">
        <v>536</v>
      </c>
      <c r="C3" t="s">
        <v>1795</v>
      </c>
      <c r="D3">
        <v>1267830000</v>
      </c>
      <c r="E3" t="s">
        <v>534</v>
      </c>
      <c r="F3">
        <v>0.17499999999999999</v>
      </c>
    </row>
    <row r="4" spans="1:6" x14ac:dyDescent="0.3">
      <c r="A4">
        <v>3</v>
      </c>
      <c r="B4" t="s">
        <v>538</v>
      </c>
      <c r="C4" t="s">
        <v>1796</v>
      </c>
      <c r="D4">
        <v>320529000</v>
      </c>
      <c r="E4" t="s">
        <v>534</v>
      </c>
      <c r="F4">
        <v>4.4299999999999999E-2</v>
      </c>
    </row>
    <row r="5" spans="1:6" x14ac:dyDescent="0.3">
      <c r="A5">
        <v>4</v>
      </c>
      <c r="B5" t="s">
        <v>540</v>
      </c>
      <c r="C5" t="s">
        <v>1795</v>
      </c>
      <c r="D5">
        <v>255461700</v>
      </c>
      <c r="E5" t="s">
        <v>541</v>
      </c>
      <c r="F5">
        <v>3.5299999999999998E-2</v>
      </c>
    </row>
    <row r="6" spans="1:6" x14ac:dyDescent="0.3">
      <c r="A6">
        <v>5</v>
      </c>
      <c r="B6" t="s">
        <v>543</v>
      </c>
      <c r="C6" t="s">
        <v>1797</v>
      </c>
      <c r="D6">
        <v>203975000</v>
      </c>
      <c r="E6" t="s">
        <v>534</v>
      </c>
      <c r="F6">
        <v>2.8199999999999999E-2</v>
      </c>
    </row>
    <row r="7" spans="1:6" x14ac:dyDescent="0.3">
      <c r="A7">
        <v>6</v>
      </c>
      <c r="B7" t="s">
        <v>545</v>
      </c>
      <c r="C7" t="s">
        <v>1798</v>
      </c>
      <c r="D7">
        <v>189150000</v>
      </c>
      <c r="E7" t="s">
        <v>534</v>
      </c>
      <c r="F7">
        <v>2.6200000000000001E-2</v>
      </c>
    </row>
    <row r="8" spans="1:6" x14ac:dyDescent="0.3">
      <c r="A8">
        <v>7</v>
      </c>
      <c r="B8" t="s">
        <v>547</v>
      </c>
      <c r="C8" t="s">
        <v>1799</v>
      </c>
      <c r="D8">
        <v>183523000</v>
      </c>
      <c r="E8" t="s">
        <v>541</v>
      </c>
      <c r="F8">
        <v>2.5399999999999999E-2</v>
      </c>
    </row>
    <row r="9" spans="1:6" x14ac:dyDescent="0.3">
      <c r="A9">
        <v>8</v>
      </c>
      <c r="B9" t="s">
        <v>549</v>
      </c>
      <c r="C9" t="s">
        <v>1800</v>
      </c>
      <c r="D9">
        <v>157941000</v>
      </c>
      <c r="E9" t="s">
        <v>534</v>
      </c>
      <c r="F9">
        <v>2.18E-2</v>
      </c>
    </row>
    <row r="10" spans="1:6" x14ac:dyDescent="0.3">
      <c r="A10">
        <v>9</v>
      </c>
      <c r="B10" t="s">
        <v>198</v>
      </c>
      <c r="C10" t="s">
        <v>1801</v>
      </c>
      <c r="D10">
        <v>146270033</v>
      </c>
      <c r="E10" t="s">
        <v>551</v>
      </c>
      <c r="F10">
        <v>2.0199999999999999E-2</v>
      </c>
    </row>
    <row r="11" spans="1:6" x14ac:dyDescent="0.3">
      <c r="A11">
        <v>10</v>
      </c>
      <c r="B11" t="s">
        <v>553</v>
      </c>
      <c r="C11" t="s">
        <v>1802</v>
      </c>
      <c r="D11">
        <v>126970000</v>
      </c>
      <c r="E11" t="s">
        <v>554</v>
      </c>
      <c r="F11">
        <v>1.7600000000000001E-2</v>
      </c>
    </row>
    <row r="12" spans="1:6" x14ac:dyDescent="0.3">
      <c r="A12">
        <v>11</v>
      </c>
      <c r="B12" t="s">
        <v>556</v>
      </c>
      <c r="C12" t="s">
        <v>1803</v>
      </c>
      <c r="D12">
        <v>121005815</v>
      </c>
      <c r="E12" t="s">
        <v>541</v>
      </c>
      <c r="F12">
        <v>1.67E-2</v>
      </c>
    </row>
    <row r="13" spans="1:6" x14ac:dyDescent="0.3">
      <c r="A13">
        <v>12</v>
      </c>
      <c r="B13" t="s">
        <v>558</v>
      </c>
      <c r="C13" t="s">
        <v>1804</v>
      </c>
      <c r="D13">
        <v>101098400</v>
      </c>
      <c r="E13" t="s">
        <v>534</v>
      </c>
      <c r="F13">
        <v>1.4E-2</v>
      </c>
    </row>
    <row r="14" spans="1:6" x14ac:dyDescent="0.3">
      <c r="A14">
        <v>13</v>
      </c>
      <c r="B14" t="s">
        <v>560</v>
      </c>
      <c r="C14" t="s">
        <v>1805</v>
      </c>
      <c r="D14">
        <v>90730000</v>
      </c>
      <c r="E14" t="s">
        <v>561</v>
      </c>
      <c r="F14">
        <v>1.26E-2</v>
      </c>
    </row>
    <row r="15" spans="1:6" x14ac:dyDescent="0.3">
      <c r="A15">
        <v>14</v>
      </c>
      <c r="B15" t="s">
        <v>563</v>
      </c>
      <c r="C15" t="s">
        <v>1806</v>
      </c>
      <c r="D15">
        <v>90076012</v>
      </c>
      <c r="E15" t="s">
        <v>541</v>
      </c>
      <c r="F15">
        <v>1.2500000000000001E-2</v>
      </c>
    </row>
    <row r="16" spans="1:6" x14ac:dyDescent="0.3">
      <c r="A16">
        <v>15</v>
      </c>
      <c r="B16" t="s">
        <v>565</v>
      </c>
      <c r="C16" t="s">
        <v>1807</v>
      </c>
      <c r="D16">
        <v>88123300</v>
      </c>
      <c r="E16" t="s">
        <v>534</v>
      </c>
      <c r="F16">
        <v>1.2200000000000001E-2</v>
      </c>
    </row>
    <row r="17" spans="1:6" x14ac:dyDescent="0.3">
      <c r="A17">
        <v>16</v>
      </c>
      <c r="B17" t="s">
        <v>205</v>
      </c>
      <c r="C17" t="s">
        <v>1808</v>
      </c>
      <c r="D17">
        <v>80925000</v>
      </c>
      <c r="E17" t="s">
        <v>567</v>
      </c>
      <c r="F17">
        <v>1.12E-2</v>
      </c>
    </row>
    <row r="18" spans="1:6" x14ac:dyDescent="0.3">
      <c r="A18">
        <v>17</v>
      </c>
      <c r="B18" t="s">
        <v>569</v>
      </c>
      <c r="C18" t="s">
        <v>1809</v>
      </c>
      <c r="D18">
        <v>78165200</v>
      </c>
      <c r="E18" t="s">
        <v>534</v>
      </c>
      <c r="F18">
        <v>1.0800000000000001E-2</v>
      </c>
    </row>
    <row r="19" spans="1:6" x14ac:dyDescent="0.3">
      <c r="A19">
        <v>18</v>
      </c>
      <c r="B19" t="s">
        <v>571</v>
      </c>
      <c r="C19" t="s">
        <v>1810</v>
      </c>
      <c r="D19">
        <v>77695904</v>
      </c>
      <c r="E19" t="s">
        <v>572</v>
      </c>
      <c r="F19">
        <v>1.0699999999999999E-2</v>
      </c>
    </row>
    <row r="20" spans="1:6" x14ac:dyDescent="0.3">
      <c r="A20">
        <v>19</v>
      </c>
      <c r="B20" t="s">
        <v>574</v>
      </c>
      <c r="C20" t="s">
        <v>1811</v>
      </c>
      <c r="D20">
        <v>71246000</v>
      </c>
      <c r="E20" t="s">
        <v>541</v>
      </c>
      <c r="F20">
        <v>9.9000000000000008E-3</v>
      </c>
    </row>
    <row r="21" spans="1:6" x14ac:dyDescent="0.3">
      <c r="A21">
        <v>20</v>
      </c>
      <c r="B21" t="s">
        <v>576</v>
      </c>
      <c r="C21" t="s">
        <v>1812</v>
      </c>
      <c r="D21">
        <v>66104000</v>
      </c>
      <c r="E21" t="s">
        <v>554</v>
      </c>
      <c r="F21">
        <v>9.1000000000000004E-3</v>
      </c>
    </row>
    <row r="22" spans="1:6" x14ac:dyDescent="0.3">
      <c r="A22">
        <v>21</v>
      </c>
      <c r="B22" t="s">
        <v>578</v>
      </c>
      <c r="C22" t="s">
        <v>1813</v>
      </c>
      <c r="D22">
        <v>64871000</v>
      </c>
      <c r="E22" t="s">
        <v>561</v>
      </c>
      <c r="F22">
        <v>8.9999999999999993E-3</v>
      </c>
    </row>
    <row r="23" spans="1:6" x14ac:dyDescent="0.3">
      <c r="A23">
        <v>22</v>
      </c>
      <c r="B23" t="s">
        <v>580</v>
      </c>
      <c r="C23" t="s">
        <v>1796</v>
      </c>
      <c r="D23">
        <v>64105654</v>
      </c>
      <c r="E23" t="s">
        <v>581</v>
      </c>
      <c r="F23">
        <v>8.8999999999999999E-3</v>
      </c>
    </row>
    <row r="24" spans="1:6" x14ac:dyDescent="0.3">
      <c r="A24">
        <v>23</v>
      </c>
      <c r="B24" t="s">
        <v>583</v>
      </c>
      <c r="C24" t="s">
        <v>1814</v>
      </c>
      <c r="D24">
        <v>60782309</v>
      </c>
      <c r="E24" t="s">
        <v>584</v>
      </c>
      <c r="F24">
        <v>8.3999999999999995E-3</v>
      </c>
    </row>
    <row r="25" spans="1:6" x14ac:dyDescent="0.3">
      <c r="A25">
        <v>24</v>
      </c>
      <c r="B25" t="s">
        <v>586</v>
      </c>
      <c r="C25" t="s">
        <v>1815</v>
      </c>
      <c r="D25">
        <v>54002000</v>
      </c>
      <c r="E25" t="s">
        <v>561</v>
      </c>
      <c r="F25">
        <v>7.4999999999999997E-3</v>
      </c>
    </row>
    <row r="26" spans="1:6" x14ac:dyDescent="0.3">
      <c r="A26">
        <v>25</v>
      </c>
      <c r="B26" t="s">
        <v>588</v>
      </c>
      <c r="C26" t="s">
        <v>1816</v>
      </c>
      <c r="D26">
        <v>51419420</v>
      </c>
      <c r="E26" t="s">
        <v>589</v>
      </c>
      <c r="F26">
        <v>7.1000000000000004E-3</v>
      </c>
    </row>
    <row r="27" spans="1:6" x14ac:dyDescent="0.3">
      <c r="A27">
        <v>26</v>
      </c>
      <c r="B27" t="s">
        <v>591</v>
      </c>
      <c r="C27" t="s">
        <v>1815</v>
      </c>
      <c r="D27">
        <v>51342881</v>
      </c>
      <c r="E27" t="s">
        <v>551</v>
      </c>
      <c r="F27">
        <v>7.1000000000000004E-3</v>
      </c>
    </row>
    <row r="28" spans="1:6" x14ac:dyDescent="0.3">
      <c r="A28">
        <v>27</v>
      </c>
      <c r="B28" t="s">
        <v>593</v>
      </c>
      <c r="C28" t="s">
        <v>1817</v>
      </c>
      <c r="D28">
        <v>48025400</v>
      </c>
      <c r="E28" t="s">
        <v>534</v>
      </c>
      <c r="F28">
        <v>6.6400000000000001E-3</v>
      </c>
    </row>
    <row r="29" spans="1:6" x14ac:dyDescent="0.3">
      <c r="A29">
        <v>28</v>
      </c>
      <c r="B29" t="s">
        <v>595</v>
      </c>
      <c r="C29" t="s">
        <v>1818</v>
      </c>
      <c r="D29">
        <v>47421786</v>
      </c>
      <c r="E29" t="s">
        <v>561</v>
      </c>
      <c r="F29">
        <v>6.6E-3</v>
      </c>
    </row>
    <row r="30" spans="1:6" x14ac:dyDescent="0.3">
      <c r="A30">
        <v>29</v>
      </c>
      <c r="B30" t="s">
        <v>597</v>
      </c>
      <c r="C30" t="s">
        <v>1819</v>
      </c>
      <c r="D30">
        <v>46749000</v>
      </c>
      <c r="E30" t="s">
        <v>541</v>
      </c>
      <c r="F30">
        <v>6.4999999999999997E-3</v>
      </c>
    </row>
    <row r="31" spans="1:6" x14ac:dyDescent="0.3">
      <c r="A31">
        <v>30</v>
      </c>
      <c r="B31" t="s">
        <v>599</v>
      </c>
      <c r="C31" t="s">
        <v>1820</v>
      </c>
      <c r="D31">
        <v>46464053</v>
      </c>
      <c r="E31" t="s">
        <v>561</v>
      </c>
      <c r="F31">
        <v>6.4000000000000003E-3</v>
      </c>
    </row>
    <row r="32" spans="1:6" x14ac:dyDescent="0.3">
      <c r="A32">
        <v>31</v>
      </c>
      <c r="B32" t="s">
        <v>601</v>
      </c>
      <c r="C32" t="s">
        <v>1821</v>
      </c>
      <c r="D32">
        <v>43131966</v>
      </c>
      <c r="E32" t="s">
        <v>541</v>
      </c>
      <c r="F32">
        <v>6.0000000000000001E-3</v>
      </c>
    </row>
    <row r="33" spans="1:6" x14ac:dyDescent="0.3">
      <c r="A33">
        <v>32</v>
      </c>
      <c r="B33" t="s">
        <v>603</v>
      </c>
      <c r="C33" t="s">
        <v>1822</v>
      </c>
      <c r="D33">
        <v>42928900</v>
      </c>
      <c r="E33" t="s">
        <v>551</v>
      </c>
      <c r="F33">
        <v>5.8999999999999999E-3</v>
      </c>
    </row>
    <row r="34" spans="1:6" x14ac:dyDescent="0.3">
      <c r="A34">
        <v>33</v>
      </c>
      <c r="B34" t="s">
        <v>605</v>
      </c>
      <c r="C34" t="s">
        <v>1823</v>
      </c>
      <c r="D34">
        <v>39500000</v>
      </c>
      <c r="E34" t="s">
        <v>551</v>
      </c>
      <c r="F34">
        <v>5.4999999999999997E-3</v>
      </c>
    </row>
    <row r="35" spans="1:6" x14ac:dyDescent="0.3">
      <c r="A35">
        <v>34</v>
      </c>
      <c r="B35" t="s">
        <v>607</v>
      </c>
      <c r="C35" t="s">
        <v>1824</v>
      </c>
      <c r="D35">
        <v>38484000</v>
      </c>
      <c r="E35" t="s">
        <v>572</v>
      </c>
      <c r="F35">
        <v>5.3E-3</v>
      </c>
    </row>
    <row r="36" spans="1:6" x14ac:dyDescent="0.3">
      <c r="A36">
        <v>35</v>
      </c>
      <c r="B36" t="s">
        <v>609</v>
      </c>
      <c r="C36" t="s">
        <v>1825</v>
      </c>
      <c r="D36">
        <v>38435252</v>
      </c>
      <c r="E36" t="s">
        <v>541</v>
      </c>
      <c r="F36">
        <v>5.3E-3</v>
      </c>
    </row>
    <row r="37" spans="1:6" x14ac:dyDescent="0.3">
      <c r="A37">
        <v>36</v>
      </c>
      <c r="B37" t="s">
        <v>611</v>
      </c>
      <c r="C37" t="s">
        <v>1809</v>
      </c>
      <c r="D37">
        <v>36004552</v>
      </c>
      <c r="E37" t="s">
        <v>561</v>
      </c>
      <c r="F37">
        <v>5.0000000000000001E-3</v>
      </c>
    </row>
    <row r="38" spans="1:6" x14ac:dyDescent="0.3">
      <c r="A38">
        <v>37</v>
      </c>
      <c r="B38" t="s">
        <v>613</v>
      </c>
      <c r="C38" t="s">
        <v>1826</v>
      </c>
      <c r="D38">
        <v>35675834</v>
      </c>
      <c r="E38" t="s">
        <v>614</v>
      </c>
      <c r="F38">
        <v>4.8999999999999998E-3</v>
      </c>
    </row>
    <row r="39" spans="1:6" x14ac:dyDescent="0.3">
      <c r="A39">
        <v>38</v>
      </c>
      <c r="B39" t="s">
        <v>616</v>
      </c>
      <c r="C39" t="s">
        <v>1827</v>
      </c>
      <c r="D39">
        <v>34856813</v>
      </c>
      <c r="E39" t="s">
        <v>617</v>
      </c>
      <c r="F39">
        <v>4.7999999999999996E-3</v>
      </c>
    </row>
    <row r="40" spans="1:6" x14ac:dyDescent="0.3">
      <c r="A40">
        <v>39</v>
      </c>
      <c r="B40" t="s">
        <v>619</v>
      </c>
      <c r="C40" t="s">
        <v>1828</v>
      </c>
      <c r="D40">
        <v>33543100</v>
      </c>
      <c r="E40" t="s">
        <v>534</v>
      </c>
      <c r="F40">
        <v>4.64E-3</v>
      </c>
    </row>
    <row r="41" spans="1:6" x14ac:dyDescent="0.3">
      <c r="A41">
        <v>40</v>
      </c>
      <c r="B41" t="s">
        <v>621</v>
      </c>
      <c r="C41" t="s">
        <v>1829</v>
      </c>
      <c r="D41">
        <v>31521418</v>
      </c>
      <c r="E41" t="s">
        <v>541</v>
      </c>
      <c r="F41">
        <v>4.4000000000000003E-3</v>
      </c>
    </row>
    <row r="42" spans="1:6" x14ac:dyDescent="0.3">
      <c r="A42">
        <v>41</v>
      </c>
      <c r="B42" t="s">
        <v>623</v>
      </c>
      <c r="C42" t="s">
        <v>1830</v>
      </c>
      <c r="D42">
        <v>31151643</v>
      </c>
      <c r="E42" t="s">
        <v>541</v>
      </c>
      <c r="F42">
        <v>4.3E-3</v>
      </c>
    </row>
    <row r="43" spans="1:6" x14ac:dyDescent="0.3">
      <c r="A43">
        <v>42</v>
      </c>
      <c r="B43" t="s">
        <v>625</v>
      </c>
      <c r="C43" t="s">
        <v>1831</v>
      </c>
      <c r="D43">
        <v>30620404</v>
      </c>
      <c r="E43" t="s">
        <v>541</v>
      </c>
      <c r="F43">
        <v>4.1999999999999997E-3</v>
      </c>
    </row>
    <row r="44" spans="1:6" x14ac:dyDescent="0.3">
      <c r="A44">
        <v>43</v>
      </c>
      <c r="B44" t="s">
        <v>627</v>
      </c>
      <c r="C44" t="s">
        <v>1832</v>
      </c>
      <c r="D44">
        <v>30511900</v>
      </c>
      <c r="E44" t="s">
        <v>534</v>
      </c>
      <c r="F44">
        <v>4.2199999999999998E-3</v>
      </c>
    </row>
    <row r="45" spans="1:6" x14ac:dyDescent="0.3">
      <c r="A45">
        <v>44</v>
      </c>
      <c r="B45" t="s">
        <v>629</v>
      </c>
      <c r="C45" t="s">
        <v>1833</v>
      </c>
      <c r="D45">
        <v>30492800</v>
      </c>
      <c r="E45" t="s">
        <v>630</v>
      </c>
      <c r="F45">
        <v>4.1999999999999997E-3</v>
      </c>
    </row>
    <row r="46" spans="1:6" x14ac:dyDescent="0.3">
      <c r="A46">
        <v>45</v>
      </c>
      <c r="B46" t="s">
        <v>632</v>
      </c>
      <c r="C46" t="s">
        <v>1834</v>
      </c>
      <c r="D46">
        <v>28037904</v>
      </c>
      <c r="E46" t="s">
        <v>541</v>
      </c>
      <c r="F46">
        <v>3.8999999999999998E-3</v>
      </c>
    </row>
    <row r="47" spans="1:6" x14ac:dyDescent="0.3">
      <c r="A47">
        <v>46</v>
      </c>
      <c r="B47" t="s">
        <v>634</v>
      </c>
      <c r="C47" t="s">
        <v>1835</v>
      </c>
      <c r="D47">
        <v>27043093</v>
      </c>
      <c r="E47" t="s">
        <v>561</v>
      </c>
      <c r="F47">
        <v>3.7000000000000002E-3</v>
      </c>
    </row>
    <row r="48" spans="1:6" x14ac:dyDescent="0.3">
      <c r="A48">
        <v>47</v>
      </c>
      <c r="B48" t="s">
        <v>636</v>
      </c>
      <c r="C48" t="s">
        <v>1836</v>
      </c>
      <c r="D48">
        <v>26556800</v>
      </c>
      <c r="E48" t="s">
        <v>561</v>
      </c>
      <c r="F48">
        <v>3.7000000000000002E-3</v>
      </c>
    </row>
    <row r="49" spans="1:6" x14ac:dyDescent="0.3">
      <c r="A49">
        <v>48</v>
      </c>
      <c r="B49" t="s">
        <v>638</v>
      </c>
      <c r="C49" t="s">
        <v>1837</v>
      </c>
      <c r="D49">
        <v>25956000</v>
      </c>
      <c r="E49" t="s">
        <v>561</v>
      </c>
      <c r="F49">
        <v>3.5999999999999999E-3</v>
      </c>
    </row>
    <row r="50" spans="1:6" x14ac:dyDescent="0.3">
      <c r="A50">
        <v>49</v>
      </c>
      <c r="B50" t="s">
        <v>640</v>
      </c>
      <c r="C50" t="s">
        <v>1828</v>
      </c>
      <c r="D50">
        <v>25727911</v>
      </c>
      <c r="E50" t="s">
        <v>541</v>
      </c>
      <c r="F50">
        <v>3.5999999999999999E-3</v>
      </c>
    </row>
    <row r="51" spans="1:6" x14ac:dyDescent="0.3">
      <c r="A51">
        <v>50</v>
      </c>
      <c r="B51" t="s">
        <v>642</v>
      </c>
      <c r="C51" t="s">
        <v>406</v>
      </c>
      <c r="D51">
        <v>25155000</v>
      </c>
      <c r="E51" t="s">
        <v>541</v>
      </c>
      <c r="F51">
        <v>3.5000000000000001E-3</v>
      </c>
    </row>
    <row r="52" spans="1:6" x14ac:dyDescent="0.3">
      <c r="A52">
        <v>51</v>
      </c>
      <c r="B52" t="s">
        <v>644</v>
      </c>
      <c r="C52" t="s">
        <v>1838</v>
      </c>
      <c r="D52">
        <v>24383301</v>
      </c>
      <c r="E52" t="s">
        <v>645</v>
      </c>
      <c r="F52">
        <v>3.3999999999999998E-3</v>
      </c>
    </row>
    <row r="53" spans="1:6" x14ac:dyDescent="0.3">
      <c r="A53">
        <v>52</v>
      </c>
      <c r="B53" t="s">
        <v>647</v>
      </c>
      <c r="C53" t="s">
        <v>1839</v>
      </c>
      <c r="D53">
        <v>23766500</v>
      </c>
      <c r="E53" t="s">
        <v>534</v>
      </c>
      <c r="F53">
        <v>3.29E-3</v>
      </c>
    </row>
    <row r="54" spans="1:6" x14ac:dyDescent="0.3">
      <c r="A54">
        <v>53</v>
      </c>
      <c r="B54" t="s">
        <v>649</v>
      </c>
      <c r="C54" t="s">
        <v>1818</v>
      </c>
      <c r="D54">
        <v>23440278</v>
      </c>
      <c r="E54" t="s">
        <v>650</v>
      </c>
      <c r="F54">
        <v>3.2000000000000002E-3</v>
      </c>
    </row>
    <row r="55" spans="1:6" x14ac:dyDescent="0.3">
      <c r="A55">
        <v>54</v>
      </c>
      <c r="B55" t="s">
        <v>652</v>
      </c>
      <c r="C55" t="s">
        <v>1840</v>
      </c>
      <c r="D55">
        <v>23087363</v>
      </c>
      <c r="E55" t="s">
        <v>534</v>
      </c>
      <c r="F55">
        <v>3.2000000000000002E-3</v>
      </c>
    </row>
    <row r="56" spans="1:6" x14ac:dyDescent="0.3">
      <c r="A56">
        <v>55</v>
      </c>
      <c r="B56" t="s">
        <v>654</v>
      </c>
      <c r="C56" t="s">
        <v>1841</v>
      </c>
      <c r="D56">
        <v>22671331</v>
      </c>
      <c r="E56" t="s">
        <v>655</v>
      </c>
      <c r="F56">
        <v>3.0999999999999999E-3</v>
      </c>
    </row>
    <row r="57" spans="1:6" x14ac:dyDescent="0.3">
      <c r="A57">
        <v>56</v>
      </c>
      <c r="B57" t="s">
        <v>657</v>
      </c>
      <c r="C57" t="s">
        <v>1832</v>
      </c>
      <c r="D57">
        <v>21842167</v>
      </c>
      <c r="E57" t="s">
        <v>581</v>
      </c>
      <c r="F57">
        <v>3.0000000000000001E-3</v>
      </c>
    </row>
    <row r="58" spans="1:6" x14ac:dyDescent="0.3">
      <c r="A58">
        <v>57</v>
      </c>
      <c r="B58" t="s">
        <v>659</v>
      </c>
      <c r="C58" t="s">
        <v>1826</v>
      </c>
      <c r="D58">
        <v>21143237</v>
      </c>
      <c r="E58" t="s">
        <v>581</v>
      </c>
      <c r="F58">
        <v>2.8E-3</v>
      </c>
    </row>
    <row r="59" spans="1:6" x14ac:dyDescent="0.3">
      <c r="A59">
        <v>58</v>
      </c>
      <c r="B59" t="s">
        <v>661</v>
      </c>
      <c r="C59" t="s">
        <v>1842</v>
      </c>
      <c r="D59">
        <v>20359439</v>
      </c>
      <c r="E59" t="s">
        <v>662</v>
      </c>
      <c r="F59">
        <v>2.8E-3</v>
      </c>
    </row>
    <row r="60" spans="1:6" x14ac:dyDescent="0.3">
      <c r="A60">
        <v>59</v>
      </c>
      <c r="B60" t="s">
        <v>209</v>
      </c>
      <c r="C60" t="s">
        <v>1843</v>
      </c>
      <c r="D60">
        <v>19942642</v>
      </c>
      <c r="E60" t="s">
        <v>630</v>
      </c>
      <c r="F60">
        <v>2.8E-3</v>
      </c>
    </row>
    <row r="61" spans="1:6" x14ac:dyDescent="0.3">
      <c r="A61">
        <v>60</v>
      </c>
      <c r="B61" t="s">
        <v>665</v>
      </c>
      <c r="C61" t="s">
        <v>1799</v>
      </c>
      <c r="D61">
        <v>19268000</v>
      </c>
      <c r="E61" t="s">
        <v>541</v>
      </c>
      <c r="F61">
        <v>2.7000000000000001E-3</v>
      </c>
    </row>
    <row r="62" spans="1:6" x14ac:dyDescent="0.3">
      <c r="A62">
        <v>61</v>
      </c>
      <c r="B62" t="s">
        <v>667</v>
      </c>
      <c r="C62" t="s">
        <v>1816</v>
      </c>
      <c r="D62">
        <v>18450494</v>
      </c>
      <c r="E62" t="s">
        <v>541</v>
      </c>
      <c r="F62">
        <v>2.5999999999999999E-3</v>
      </c>
    </row>
    <row r="63" spans="1:6" x14ac:dyDescent="0.3">
      <c r="A63">
        <v>62</v>
      </c>
      <c r="B63" t="s">
        <v>669</v>
      </c>
      <c r="C63" t="s">
        <v>1794</v>
      </c>
      <c r="D63">
        <v>18006407</v>
      </c>
      <c r="E63" t="s">
        <v>541</v>
      </c>
      <c r="F63">
        <v>2.5000000000000001E-3</v>
      </c>
    </row>
    <row r="64" spans="1:6" x14ac:dyDescent="0.3">
      <c r="A64">
        <v>63</v>
      </c>
      <c r="B64" t="s">
        <v>671</v>
      </c>
      <c r="C64" t="s">
        <v>1844</v>
      </c>
      <c r="D64">
        <v>17417500</v>
      </c>
      <c r="E64" t="s">
        <v>551</v>
      </c>
      <c r="F64">
        <v>2.3999999999999998E-3</v>
      </c>
    </row>
    <row r="65" spans="1:6" x14ac:dyDescent="0.3">
      <c r="A65">
        <v>64</v>
      </c>
      <c r="B65" t="s">
        <v>673</v>
      </c>
      <c r="C65" t="s">
        <v>1834</v>
      </c>
      <c r="D65">
        <v>16892500</v>
      </c>
      <c r="E65" t="s">
        <v>534</v>
      </c>
      <c r="F65">
        <v>2.3400000000000001E-3</v>
      </c>
    </row>
    <row r="66" spans="1:6" x14ac:dyDescent="0.3">
      <c r="A66">
        <v>65</v>
      </c>
      <c r="B66" t="s">
        <v>675</v>
      </c>
      <c r="C66" t="s">
        <v>1832</v>
      </c>
      <c r="D66">
        <v>16310431</v>
      </c>
      <c r="E66" t="s">
        <v>541</v>
      </c>
      <c r="F66">
        <v>2.3E-3</v>
      </c>
    </row>
    <row r="67" spans="1:6" x14ac:dyDescent="0.3">
      <c r="A67">
        <v>66</v>
      </c>
      <c r="B67" t="s">
        <v>677</v>
      </c>
      <c r="C67" t="s">
        <v>1832</v>
      </c>
      <c r="D67">
        <v>16259000</v>
      </c>
      <c r="E67" t="s">
        <v>541</v>
      </c>
      <c r="F67">
        <v>2.2000000000000001E-3</v>
      </c>
    </row>
    <row r="68" spans="1:6" x14ac:dyDescent="0.3">
      <c r="A68">
        <v>67</v>
      </c>
      <c r="B68" t="s">
        <v>679</v>
      </c>
      <c r="C68" t="s">
        <v>1845</v>
      </c>
      <c r="D68">
        <v>15945200</v>
      </c>
      <c r="E68" t="s">
        <v>534</v>
      </c>
      <c r="F68">
        <v>2.2000000000000001E-3</v>
      </c>
    </row>
    <row r="69" spans="1:6" x14ac:dyDescent="0.3">
      <c r="A69">
        <v>68</v>
      </c>
      <c r="B69" t="s">
        <v>681</v>
      </c>
      <c r="C69" t="s">
        <v>1846</v>
      </c>
      <c r="D69">
        <v>15806675</v>
      </c>
      <c r="E69" t="s">
        <v>561</v>
      </c>
      <c r="F69">
        <v>2.2000000000000001E-3</v>
      </c>
    </row>
    <row r="70" spans="1:6" x14ac:dyDescent="0.3">
      <c r="A70">
        <v>69</v>
      </c>
      <c r="B70" t="s">
        <v>683</v>
      </c>
      <c r="C70" t="s">
        <v>1847</v>
      </c>
      <c r="D70">
        <v>15473905</v>
      </c>
      <c r="E70" t="s">
        <v>541</v>
      </c>
      <c r="F70">
        <v>2.0999999999999999E-3</v>
      </c>
    </row>
    <row r="71" spans="1:6" x14ac:dyDescent="0.3">
      <c r="A71">
        <v>70</v>
      </c>
      <c r="B71" t="s">
        <v>685</v>
      </c>
      <c r="C71" t="s">
        <v>1826</v>
      </c>
      <c r="D71">
        <v>15405157</v>
      </c>
      <c r="E71" t="s">
        <v>541</v>
      </c>
      <c r="F71">
        <v>2.0999999999999999E-3</v>
      </c>
    </row>
    <row r="72" spans="1:6" x14ac:dyDescent="0.3">
      <c r="A72">
        <v>71</v>
      </c>
      <c r="B72" t="s">
        <v>687</v>
      </c>
      <c r="C72" t="s">
        <v>1794</v>
      </c>
      <c r="D72">
        <v>13606000</v>
      </c>
      <c r="E72" t="s">
        <v>541</v>
      </c>
      <c r="F72">
        <v>1.9E-3</v>
      </c>
    </row>
    <row r="73" spans="1:6" x14ac:dyDescent="0.3">
      <c r="A73">
        <v>72</v>
      </c>
      <c r="B73" t="s">
        <v>689</v>
      </c>
      <c r="C73" t="s">
        <v>1848</v>
      </c>
      <c r="D73">
        <v>13508715</v>
      </c>
      <c r="E73" t="s">
        <v>690</v>
      </c>
      <c r="F73">
        <v>1.9E-3</v>
      </c>
    </row>
    <row r="74" spans="1:6" x14ac:dyDescent="0.3">
      <c r="A74">
        <v>73</v>
      </c>
      <c r="B74" t="s">
        <v>692</v>
      </c>
      <c r="C74" t="s">
        <v>1849</v>
      </c>
      <c r="D74">
        <v>13061239</v>
      </c>
      <c r="E74" t="s">
        <v>693</v>
      </c>
      <c r="F74">
        <v>1.8E-3</v>
      </c>
    </row>
    <row r="75" spans="1:6" x14ac:dyDescent="0.3">
      <c r="A75">
        <v>74</v>
      </c>
      <c r="B75" t="s">
        <v>695</v>
      </c>
      <c r="C75" t="s">
        <v>1815</v>
      </c>
      <c r="D75">
        <v>11892934</v>
      </c>
      <c r="E75" t="s">
        <v>541</v>
      </c>
      <c r="F75">
        <v>1.6000000000000001E-3</v>
      </c>
    </row>
    <row r="76" spans="1:6" x14ac:dyDescent="0.3">
      <c r="A76">
        <v>75</v>
      </c>
      <c r="B76" t="s">
        <v>697</v>
      </c>
      <c r="C76" t="s">
        <v>1850</v>
      </c>
      <c r="D76">
        <v>11410651</v>
      </c>
      <c r="E76" t="s">
        <v>541</v>
      </c>
      <c r="F76">
        <v>1.6000000000000001E-3</v>
      </c>
    </row>
    <row r="77" spans="1:6" x14ac:dyDescent="0.3">
      <c r="A77">
        <v>76</v>
      </c>
      <c r="B77" t="s">
        <v>699</v>
      </c>
      <c r="C77" t="s">
        <v>1851</v>
      </c>
      <c r="D77">
        <v>11237160</v>
      </c>
      <c r="E77" t="s">
        <v>551</v>
      </c>
      <c r="F77">
        <v>1.6000000000000001E-3</v>
      </c>
    </row>
    <row r="78" spans="1:6" x14ac:dyDescent="0.3">
      <c r="A78">
        <v>77</v>
      </c>
      <c r="B78" t="s">
        <v>701</v>
      </c>
      <c r="C78" t="s">
        <v>1852</v>
      </c>
      <c r="D78">
        <v>11210064</v>
      </c>
      <c r="E78" t="s">
        <v>702</v>
      </c>
      <c r="F78">
        <v>1.6000000000000001E-3</v>
      </c>
    </row>
    <row r="79" spans="1:6" x14ac:dyDescent="0.3">
      <c r="A79">
        <v>78</v>
      </c>
      <c r="B79" t="s">
        <v>704</v>
      </c>
      <c r="C79" t="s">
        <v>1815</v>
      </c>
      <c r="D79">
        <v>11123000</v>
      </c>
      <c r="E79" t="s">
        <v>541</v>
      </c>
      <c r="F79">
        <v>1.5E-3</v>
      </c>
    </row>
    <row r="80" spans="1:6" x14ac:dyDescent="0.3">
      <c r="A80">
        <v>79</v>
      </c>
      <c r="B80" t="s">
        <v>706</v>
      </c>
      <c r="C80" t="s">
        <v>1853</v>
      </c>
      <c r="D80">
        <v>10996891</v>
      </c>
      <c r="E80" t="s">
        <v>561</v>
      </c>
      <c r="F80">
        <v>1.5E-3</v>
      </c>
    </row>
    <row r="81" spans="1:6" x14ac:dyDescent="0.3">
      <c r="A81">
        <v>80</v>
      </c>
      <c r="B81" t="s">
        <v>708</v>
      </c>
      <c r="C81" t="s">
        <v>1854</v>
      </c>
      <c r="D81">
        <v>10992589</v>
      </c>
      <c r="E81" t="s">
        <v>630</v>
      </c>
      <c r="F81">
        <v>1.5E-3</v>
      </c>
    </row>
    <row r="82" spans="1:6" x14ac:dyDescent="0.3">
      <c r="A82">
        <v>81</v>
      </c>
      <c r="B82" t="s">
        <v>710</v>
      </c>
      <c r="C82" t="s">
        <v>1810</v>
      </c>
      <c r="D82">
        <v>10982754</v>
      </c>
      <c r="E82" t="s">
        <v>711</v>
      </c>
      <c r="F82">
        <v>1.5E-3</v>
      </c>
    </row>
    <row r="83" spans="1:6" x14ac:dyDescent="0.3">
      <c r="A83">
        <v>82</v>
      </c>
      <c r="B83" t="s">
        <v>713</v>
      </c>
      <c r="C83" t="s">
        <v>1855</v>
      </c>
      <c r="D83">
        <v>10911819</v>
      </c>
      <c r="E83" t="s">
        <v>541</v>
      </c>
      <c r="F83">
        <v>1.5E-3</v>
      </c>
    </row>
    <row r="84" spans="1:6" x14ac:dyDescent="0.3">
      <c r="A84">
        <v>83</v>
      </c>
      <c r="B84" t="s">
        <v>715</v>
      </c>
      <c r="C84" t="s">
        <v>1846</v>
      </c>
      <c r="D84">
        <v>10628972</v>
      </c>
      <c r="E84" t="s">
        <v>716</v>
      </c>
      <c r="F84">
        <v>1.5E-3</v>
      </c>
    </row>
    <row r="85" spans="1:6" x14ac:dyDescent="0.3">
      <c r="A85">
        <v>84</v>
      </c>
      <c r="B85" t="s">
        <v>718</v>
      </c>
      <c r="C85" t="s">
        <v>1856</v>
      </c>
      <c r="D85">
        <v>10528477</v>
      </c>
      <c r="E85" t="s">
        <v>584</v>
      </c>
      <c r="F85">
        <v>1.5E-3</v>
      </c>
    </row>
    <row r="86" spans="1:6" x14ac:dyDescent="0.3">
      <c r="A86">
        <v>85</v>
      </c>
      <c r="B86" t="s">
        <v>720</v>
      </c>
      <c r="C86" t="s">
        <v>1824</v>
      </c>
      <c r="D86">
        <v>10477800</v>
      </c>
      <c r="E86" t="s">
        <v>702</v>
      </c>
      <c r="F86">
        <v>1.5E-3</v>
      </c>
    </row>
    <row r="87" spans="1:6" x14ac:dyDescent="0.3">
      <c r="A87">
        <v>86</v>
      </c>
      <c r="B87" t="s">
        <v>722</v>
      </c>
      <c r="C87" t="s">
        <v>1857</v>
      </c>
      <c r="D87">
        <v>10378267</v>
      </c>
      <c r="E87" t="s">
        <v>561</v>
      </c>
      <c r="F87">
        <v>1.4E-3</v>
      </c>
    </row>
    <row r="88" spans="1:6" x14ac:dyDescent="0.3">
      <c r="A88">
        <v>87</v>
      </c>
      <c r="B88" t="s">
        <v>724</v>
      </c>
      <c r="C88" t="s">
        <v>1851</v>
      </c>
      <c r="D88">
        <v>10315244</v>
      </c>
      <c r="E88" t="s">
        <v>541</v>
      </c>
      <c r="F88">
        <v>1.4E-3</v>
      </c>
    </row>
    <row r="89" spans="1:6" x14ac:dyDescent="0.3">
      <c r="A89">
        <v>88</v>
      </c>
      <c r="B89" t="s">
        <v>726</v>
      </c>
      <c r="C89" t="s">
        <v>1858</v>
      </c>
      <c r="D89">
        <v>9849000</v>
      </c>
      <c r="E89" t="s">
        <v>572</v>
      </c>
      <c r="F89">
        <v>1.4E-3</v>
      </c>
    </row>
    <row r="90" spans="1:6" x14ac:dyDescent="0.3">
      <c r="A90">
        <v>89</v>
      </c>
      <c r="B90" t="s">
        <v>728</v>
      </c>
      <c r="C90" t="s">
        <v>1816</v>
      </c>
      <c r="D90">
        <v>9823827</v>
      </c>
      <c r="E90" t="s">
        <v>541</v>
      </c>
      <c r="F90">
        <v>1.4E-3</v>
      </c>
    </row>
    <row r="91" spans="1:6" x14ac:dyDescent="0.3">
      <c r="A91">
        <v>90</v>
      </c>
      <c r="B91" t="s">
        <v>730</v>
      </c>
      <c r="C91" t="s">
        <v>1859</v>
      </c>
      <c r="D91">
        <v>9753627</v>
      </c>
      <c r="E91" t="s">
        <v>650</v>
      </c>
      <c r="F91">
        <v>1.2999999999999999E-3</v>
      </c>
    </row>
    <row r="92" spans="1:6" x14ac:dyDescent="0.3">
      <c r="A92">
        <v>91</v>
      </c>
      <c r="B92" t="s">
        <v>732</v>
      </c>
      <c r="C92" t="s">
        <v>1860</v>
      </c>
      <c r="D92">
        <v>9593000</v>
      </c>
      <c r="E92" t="s">
        <v>551</v>
      </c>
      <c r="F92">
        <v>1.2999999999999999E-3</v>
      </c>
    </row>
    <row r="93" spans="1:6" x14ac:dyDescent="0.3">
      <c r="A93">
        <v>92</v>
      </c>
      <c r="B93" t="s">
        <v>734</v>
      </c>
      <c r="C93" t="s">
        <v>1796</v>
      </c>
      <c r="D93">
        <v>9577000</v>
      </c>
      <c r="E93" t="s">
        <v>541</v>
      </c>
      <c r="F93">
        <v>1.2999999999999999E-3</v>
      </c>
    </row>
    <row r="94" spans="1:6" x14ac:dyDescent="0.3">
      <c r="A94">
        <v>93</v>
      </c>
      <c r="B94" t="s">
        <v>736</v>
      </c>
      <c r="C94" t="s">
        <v>1851</v>
      </c>
      <c r="D94">
        <v>9481000</v>
      </c>
      <c r="E94" t="s">
        <v>551</v>
      </c>
      <c r="F94">
        <v>1.2999999999999999E-3</v>
      </c>
    </row>
    <row r="95" spans="1:6" x14ac:dyDescent="0.3">
      <c r="A95">
        <v>94</v>
      </c>
      <c r="B95" t="s">
        <v>738</v>
      </c>
      <c r="C95" t="s">
        <v>1861</v>
      </c>
      <c r="D95">
        <v>8725111</v>
      </c>
      <c r="E95" t="s">
        <v>561</v>
      </c>
      <c r="F95">
        <v>1.1999999999999999E-3</v>
      </c>
    </row>
    <row r="96" spans="1:6" x14ac:dyDescent="0.3">
      <c r="A96">
        <v>95</v>
      </c>
      <c r="B96" t="s">
        <v>740</v>
      </c>
      <c r="C96" t="s">
        <v>1839</v>
      </c>
      <c r="D96">
        <v>8579747</v>
      </c>
      <c r="E96" t="s">
        <v>551</v>
      </c>
      <c r="F96">
        <v>1.1999999999999999E-3</v>
      </c>
    </row>
    <row r="97" spans="1:6" x14ac:dyDescent="0.3">
      <c r="A97">
        <v>96</v>
      </c>
      <c r="B97" t="s">
        <v>742</v>
      </c>
      <c r="C97" t="s">
        <v>1818</v>
      </c>
      <c r="D97">
        <v>8354000</v>
      </c>
      <c r="E97" t="s">
        <v>551</v>
      </c>
      <c r="F97">
        <v>1.1999999999999999E-3</v>
      </c>
    </row>
    <row r="98" spans="1:6" x14ac:dyDescent="0.3">
      <c r="A98">
        <v>97</v>
      </c>
      <c r="B98" t="s">
        <v>744</v>
      </c>
      <c r="C98" t="s">
        <v>1862</v>
      </c>
      <c r="D98">
        <v>8309400</v>
      </c>
      <c r="E98" t="s">
        <v>650</v>
      </c>
      <c r="F98">
        <v>1.1000000000000001E-3</v>
      </c>
    </row>
    <row r="99" spans="1:6" x14ac:dyDescent="0.3">
      <c r="A99">
        <v>98</v>
      </c>
      <c r="B99" t="s">
        <v>746</v>
      </c>
      <c r="C99" t="s">
        <v>1859</v>
      </c>
      <c r="D99">
        <v>8211700</v>
      </c>
      <c r="E99" t="s">
        <v>584</v>
      </c>
      <c r="F99">
        <v>1.1000000000000001E-3</v>
      </c>
    </row>
    <row r="100" spans="1:6" x14ac:dyDescent="0.3">
      <c r="A100">
        <v>99</v>
      </c>
      <c r="B100" t="s">
        <v>748</v>
      </c>
      <c r="C100" t="s">
        <v>1798</v>
      </c>
      <c r="D100">
        <v>7398500</v>
      </c>
      <c r="E100" t="s">
        <v>581</v>
      </c>
      <c r="F100">
        <v>1.0200000000000001E-3</v>
      </c>
    </row>
    <row r="101" spans="1:6" x14ac:dyDescent="0.3">
      <c r="A101">
        <v>100</v>
      </c>
      <c r="B101" t="s">
        <v>750</v>
      </c>
      <c r="C101" t="s">
        <v>1861</v>
      </c>
      <c r="D101">
        <v>7264100</v>
      </c>
      <c r="E101" t="s">
        <v>572</v>
      </c>
      <c r="F101">
        <v>1E-3</v>
      </c>
    </row>
    <row r="102" spans="1:6" x14ac:dyDescent="0.3">
      <c r="A102">
        <v>101</v>
      </c>
      <c r="B102" t="s">
        <v>752</v>
      </c>
      <c r="C102" t="s">
        <v>1816</v>
      </c>
      <c r="D102">
        <v>7245677</v>
      </c>
      <c r="E102" t="s">
        <v>702</v>
      </c>
      <c r="F102">
        <v>1E-3</v>
      </c>
    </row>
    <row r="103" spans="1:6" x14ac:dyDescent="0.3">
      <c r="A103">
        <v>102</v>
      </c>
      <c r="B103" t="s">
        <v>754</v>
      </c>
      <c r="C103" t="s">
        <v>515</v>
      </c>
      <c r="D103">
        <v>7171000</v>
      </c>
      <c r="E103" t="s">
        <v>541</v>
      </c>
      <c r="F103">
        <v>9.8999999999999999E-4</v>
      </c>
    </row>
    <row r="104" spans="1:6" x14ac:dyDescent="0.3">
      <c r="A104">
        <v>103</v>
      </c>
      <c r="B104" t="s">
        <v>756</v>
      </c>
      <c r="C104" t="s">
        <v>1848</v>
      </c>
      <c r="D104">
        <v>7146759</v>
      </c>
      <c r="E104" t="s">
        <v>630</v>
      </c>
      <c r="F104">
        <v>9.8999999999999999E-4</v>
      </c>
    </row>
    <row r="105" spans="1:6" x14ac:dyDescent="0.3">
      <c r="A105">
        <v>104</v>
      </c>
      <c r="B105" t="s">
        <v>758</v>
      </c>
      <c r="C105" t="s">
        <v>1798</v>
      </c>
      <c r="D105">
        <v>7003406</v>
      </c>
      <c r="E105" t="s">
        <v>759</v>
      </c>
      <c r="F105">
        <v>9.7000000000000005E-4</v>
      </c>
    </row>
    <row r="106" spans="1:6" x14ac:dyDescent="0.3">
      <c r="A106">
        <v>105</v>
      </c>
      <c r="B106" t="s">
        <v>761</v>
      </c>
      <c r="C106" t="s">
        <v>1863</v>
      </c>
      <c r="D106">
        <v>6802000</v>
      </c>
      <c r="E106" t="s">
        <v>541</v>
      </c>
      <c r="F106">
        <v>9.3999999999999997E-4</v>
      </c>
    </row>
    <row r="107" spans="1:6" x14ac:dyDescent="0.3">
      <c r="A107">
        <v>106</v>
      </c>
      <c r="B107" t="s">
        <v>763</v>
      </c>
      <c r="C107" t="s">
        <v>1864</v>
      </c>
      <c r="D107">
        <v>6738000</v>
      </c>
      <c r="E107" t="s">
        <v>541</v>
      </c>
      <c r="F107">
        <v>9.3000000000000005E-4</v>
      </c>
    </row>
    <row r="108" spans="1:6" x14ac:dyDescent="0.3">
      <c r="A108">
        <v>107</v>
      </c>
      <c r="B108" t="s">
        <v>765</v>
      </c>
      <c r="C108" t="s">
        <v>1865</v>
      </c>
      <c r="D108">
        <v>6698310</v>
      </c>
      <c r="E108" t="s">
        <v>534</v>
      </c>
      <c r="F108">
        <v>9.2699999999999998E-4</v>
      </c>
    </row>
    <row r="109" spans="1:6" x14ac:dyDescent="0.3">
      <c r="A109">
        <v>108</v>
      </c>
      <c r="B109" t="s">
        <v>767</v>
      </c>
      <c r="C109" t="s">
        <v>1866</v>
      </c>
      <c r="D109">
        <v>6401240</v>
      </c>
      <c r="E109" t="s">
        <v>768</v>
      </c>
      <c r="F109">
        <v>8.8999999999999995E-4</v>
      </c>
    </row>
    <row r="110" spans="1:6" x14ac:dyDescent="0.3">
      <c r="A110">
        <v>109</v>
      </c>
      <c r="B110" t="s">
        <v>770</v>
      </c>
      <c r="C110" t="s">
        <v>1867</v>
      </c>
      <c r="D110">
        <v>6319000</v>
      </c>
      <c r="E110" t="s">
        <v>541</v>
      </c>
      <c r="F110">
        <v>8.7000000000000001E-4</v>
      </c>
    </row>
    <row r="111" spans="1:6" x14ac:dyDescent="0.3">
      <c r="A111">
        <v>110</v>
      </c>
      <c r="B111" t="s">
        <v>772</v>
      </c>
      <c r="C111" t="s">
        <v>1868</v>
      </c>
      <c r="D111">
        <v>6317000</v>
      </c>
      <c r="E111" t="s">
        <v>541</v>
      </c>
      <c r="F111">
        <v>8.7000000000000001E-4</v>
      </c>
    </row>
    <row r="112" spans="1:6" x14ac:dyDescent="0.3">
      <c r="A112">
        <v>111</v>
      </c>
      <c r="B112" t="s">
        <v>774</v>
      </c>
      <c r="C112" t="s">
        <v>1799</v>
      </c>
      <c r="D112">
        <v>6134270</v>
      </c>
      <c r="E112" t="s">
        <v>775</v>
      </c>
      <c r="F112">
        <v>8.4999999999999995E-4</v>
      </c>
    </row>
    <row r="113" spans="1:6" x14ac:dyDescent="0.3">
      <c r="A113">
        <v>112</v>
      </c>
      <c r="B113" t="s">
        <v>777</v>
      </c>
      <c r="C113" t="s">
        <v>1869</v>
      </c>
      <c r="D113">
        <v>5895100</v>
      </c>
      <c r="E113" t="s">
        <v>551</v>
      </c>
      <c r="F113">
        <v>8.1999999999999998E-4</v>
      </c>
    </row>
    <row r="114" spans="1:6" x14ac:dyDescent="0.3">
      <c r="A114">
        <v>113</v>
      </c>
      <c r="B114" t="s">
        <v>779</v>
      </c>
      <c r="C114" t="s">
        <v>1811</v>
      </c>
      <c r="D114">
        <v>5659715</v>
      </c>
      <c r="E114" t="s">
        <v>551</v>
      </c>
      <c r="F114">
        <v>7.7999999999999999E-4</v>
      </c>
    </row>
    <row r="115" spans="1:6" x14ac:dyDescent="0.3">
      <c r="A115">
        <v>114</v>
      </c>
      <c r="B115" t="s">
        <v>781</v>
      </c>
      <c r="C115" t="s">
        <v>1870</v>
      </c>
      <c r="D115">
        <v>5475526</v>
      </c>
      <c r="E115" t="s">
        <v>554</v>
      </c>
      <c r="F115">
        <v>7.6000000000000004E-4</v>
      </c>
    </row>
    <row r="116" spans="1:6" x14ac:dyDescent="0.3">
      <c r="A116">
        <v>115</v>
      </c>
      <c r="B116" t="s">
        <v>783</v>
      </c>
      <c r="C116" t="s">
        <v>1867</v>
      </c>
      <c r="D116">
        <v>5469700</v>
      </c>
      <c r="E116" t="s">
        <v>561</v>
      </c>
      <c r="F116">
        <v>7.6000000000000004E-4</v>
      </c>
    </row>
    <row r="117" spans="1:6" x14ac:dyDescent="0.3">
      <c r="A117">
        <v>116</v>
      </c>
      <c r="B117" t="s">
        <v>785</v>
      </c>
      <c r="C117" t="s">
        <v>1871</v>
      </c>
      <c r="D117">
        <v>5421034</v>
      </c>
      <c r="E117" t="s">
        <v>584</v>
      </c>
      <c r="F117">
        <v>7.5000000000000002E-4</v>
      </c>
    </row>
    <row r="118" spans="1:6" x14ac:dyDescent="0.3">
      <c r="A118">
        <v>117</v>
      </c>
      <c r="B118" t="s">
        <v>431</v>
      </c>
      <c r="C118" t="s">
        <v>406</v>
      </c>
      <c r="D118">
        <v>5165802</v>
      </c>
      <c r="E118" t="s">
        <v>551</v>
      </c>
      <c r="F118">
        <v>7.1000000000000002E-4</v>
      </c>
    </row>
    <row r="119" spans="1:6" x14ac:dyDescent="0.3">
      <c r="A119">
        <v>118</v>
      </c>
      <c r="B119" t="s">
        <v>788</v>
      </c>
      <c r="C119" t="s">
        <v>1872</v>
      </c>
      <c r="D119">
        <v>4803000</v>
      </c>
      <c r="E119" t="s">
        <v>541</v>
      </c>
      <c r="F119">
        <v>6.6E-4</v>
      </c>
    </row>
    <row r="120" spans="1:6" x14ac:dyDescent="0.3">
      <c r="A120">
        <v>119</v>
      </c>
      <c r="B120" t="s">
        <v>790</v>
      </c>
      <c r="C120" t="s">
        <v>1817</v>
      </c>
      <c r="D120">
        <v>4773130</v>
      </c>
      <c r="E120" t="s">
        <v>567</v>
      </c>
      <c r="F120">
        <v>6.6E-4</v>
      </c>
    </row>
    <row r="121" spans="1:6" x14ac:dyDescent="0.3">
      <c r="A121">
        <v>120</v>
      </c>
      <c r="B121" t="s">
        <v>792</v>
      </c>
      <c r="C121" t="s">
        <v>1810</v>
      </c>
      <c r="D121">
        <v>4751120</v>
      </c>
      <c r="E121" t="s">
        <v>793</v>
      </c>
      <c r="F121">
        <v>6.6E-4</v>
      </c>
    </row>
    <row r="122" spans="1:6" x14ac:dyDescent="0.3">
      <c r="A122">
        <v>121</v>
      </c>
      <c r="B122" t="s">
        <v>795</v>
      </c>
      <c r="C122" t="s">
        <v>1873</v>
      </c>
      <c r="D122">
        <v>4671000</v>
      </c>
      <c r="E122" t="s">
        <v>541</v>
      </c>
      <c r="F122">
        <v>6.4999999999999997E-4</v>
      </c>
    </row>
    <row r="123" spans="1:6" x14ac:dyDescent="0.3">
      <c r="A123">
        <v>122</v>
      </c>
      <c r="B123" t="s">
        <v>797</v>
      </c>
      <c r="C123" t="s">
        <v>1809</v>
      </c>
      <c r="D123">
        <v>4609600</v>
      </c>
      <c r="E123" t="s">
        <v>798</v>
      </c>
      <c r="F123">
        <v>6.4000000000000005E-4</v>
      </c>
    </row>
    <row r="124" spans="1:6" x14ac:dyDescent="0.3">
      <c r="A124">
        <v>123</v>
      </c>
      <c r="B124" t="s">
        <v>800</v>
      </c>
      <c r="C124" t="s">
        <v>1834</v>
      </c>
      <c r="D124">
        <v>4566220</v>
      </c>
      <c r="E124" t="s">
        <v>534</v>
      </c>
      <c r="F124">
        <v>6.3199999999999997E-4</v>
      </c>
    </row>
    <row r="125" spans="1:6" x14ac:dyDescent="0.3">
      <c r="A125">
        <v>124</v>
      </c>
      <c r="B125" t="s">
        <v>802</v>
      </c>
      <c r="C125" t="s">
        <v>1798</v>
      </c>
      <c r="D125">
        <v>4550368</v>
      </c>
      <c r="E125" t="s">
        <v>561</v>
      </c>
      <c r="F125">
        <v>6.3000000000000003E-4</v>
      </c>
    </row>
    <row r="126" spans="1:6" x14ac:dyDescent="0.3">
      <c r="A126">
        <v>125</v>
      </c>
      <c r="B126" t="s">
        <v>804</v>
      </c>
      <c r="C126" t="s">
        <v>1868</v>
      </c>
      <c r="D126">
        <v>4503000</v>
      </c>
      <c r="E126" t="s">
        <v>541</v>
      </c>
      <c r="F126">
        <v>6.2E-4</v>
      </c>
    </row>
    <row r="127" spans="1:6" x14ac:dyDescent="0.3">
      <c r="A127">
        <v>126</v>
      </c>
      <c r="B127" t="s">
        <v>806</v>
      </c>
      <c r="C127" t="s">
        <v>1808</v>
      </c>
      <c r="D127">
        <v>4490500</v>
      </c>
      <c r="E127" t="s">
        <v>630</v>
      </c>
      <c r="F127">
        <v>6.2E-4</v>
      </c>
    </row>
    <row r="128" spans="1:6" x14ac:dyDescent="0.3">
      <c r="A128">
        <v>127</v>
      </c>
      <c r="B128" t="s">
        <v>808</v>
      </c>
      <c r="C128" t="s">
        <v>1874</v>
      </c>
      <c r="D128">
        <v>4267558</v>
      </c>
      <c r="E128" t="s">
        <v>809</v>
      </c>
      <c r="F128">
        <v>5.9000000000000003E-4</v>
      </c>
    </row>
    <row r="129" spans="1:6" x14ac:dyDescent="0.3">
      <c r="A129">
        <v>128</v>
      </c>
      <c r="B129" t="s">
        <v>811</v>
      </c>
      <c r="C129" t="s">
        <v>1875</v>
      </c>
      <c r="D129">
        <v>4130593</v>
      </c>
      <c r="E129" t="s">
        <v>812</v>
      </c>
      <c r="F129">
        <v>5.6999999999999998E-4</v>
      </c>
    </row>
    <row r="130" spans="1:6" x14ac:dyDescent="0.3">
      <c r="A130">
        <v>129</v>
      </c>
      <c r="B130" t="s">
        <v>814</v>
      </c>
      <c r="C130" t="s">
        <v>1876</v>
      </c>
      <c r="D130">
        <v>4104000</v>
      </c>
      <c r="E130" t="s">
        <v>809</v>
      </c>
      <c r="F130">
        <v>5.6999999999999998E-4</v>
      </c>
    </row>
    <row r="131" spans="1:6" x14ac:dyDescent="0.3">
      <c r="A131">
        <v>130</v>
      </c>
      <c r="B131" t="s">
        <v>816</v>
      </c>
      <c r="C131" t="s">
        <v>1850</v>
      </c>
      <c r="D131">
        <v>3791622</v>
      </c>
      <c r="E131" t="s">
        <v>817</v>
      </c>
      <c r="F131">
        <v>5.1999999999999995E-4</v>
      </c>
    </row>
    <row r="132" spans="1:6" x14ac:dyDescent="0.3">
      <c r="A132">
        <v>131</v>
      </c>
      <c r="B132" t="s">
        <v>819</v>
      </c>
      <c r="C132" t="s">
        <v>1798</v>
      </c>
      <c r="D132">
        <v>3764166</v>
      </c>
      <c r="E132" t="s">
        <v>541</v>
      </c>
      <c r="F132">
        <v>5.0000000000000001E-4</v>
      </c>
    </row>
    <row r="133" spans="1:6" x14ac:dyDescent="0.3">
      <c r="A133">
        <v>132</v>
      </c>
      <c r="B133" t="s">
        <v>821</v>
      </c>
      <c r="C133" t="s">
        <v>1832</v>
      </c>
      <c r="D133">
        <v>3631775</v>
      </c>
      <c r="E133" t="s">
        <v>541</v>
      </c>
      <c r="F133">
        <v>5.0000000000000001E-4</v>
      </c>
    </row>
    <row r="134" spans="1:6" x14ac:dyDescent="0.3">
      <c r="A134">
        <v>133</v>
      </c>
      <c r="B134" t="s">
        <v>823</v>
      </c>
      <c r="C134" t="s">
        <v>1828</v>
      </c>
      <c r="D134">
        <v>3557600</v>
      </c>
      <c r="E134" t="s">
        <v>630</v>
      </c>
      <c r="F134">
        <v>4.8999999999999998E-4</v>
      </c>
    </row>
    <row r="135" spans="1:6" x14ac:dyDescent="0.3">
      <c r="A135">
        <v>134</v>
      </c>
      <c r="B135" t="s">
        <v>825</v>
      </c>
      <c r="C135" t="s">
        <v>1877</v>
      </c>
      <c r="D135">
        <v>3548397</v>
      </c>
      <c r="E135" t="s">
        <v>561</v>
      </c>
      <c r="F135">
        <v>4.8999999999999998E-4</v>
      </c>
    </row>
    <row r="136" spans="1:6" x14ac:dyDescent="0.3">
      <c r="A136">
        <v>135</v>
      </c>
      <c r="B136" t="s">
        <v>827</v>
      </c>
      <c r="C136" t="s">
        <v>1878</v>
      </c>
      <c r="D136">
        <v>3404189</v>
      </c>
      <c r="E136" t="s">
        <v>567</v>
      </c>
      <c r="F136">
        <v>4.6999999999999999E-4</v>
      </c>
    </row>
    <row r="137" spans="1:6" x14ac:dyDescent="0.3">
      <c r="A137">
        <v>136</v>
      </c>
      <c r="B137" t="s">
        <v>829</v>
      </c>
      <c r="C137" t="s">
        <v>1879</v>
      </c>
      <c r="D137">
        <v>3268431</v>
      </c>
      <c r="E137" t="s">
        <v>809</v>
      </c>
      <c r="F137">
        <v>4.4999999999999999E-4</v>
      </c>
    </row>
    <row r="138" spans="1:6" x14ac:dyDescent="0.3">
      <c r="A138">
        <v>137</v>
      </c>
      <c r="B138" t="s">
        <v>831</v>
      </c>
      <c r="C138" t="s">
        <v>1821</v>
      </c>
      <c r="D138">
        <v>3013900</v>
      </c>
      <c r="E138" t="s">
        <v>584</v>
      </c>
      <c r="F138">
        <v>4.2000000000000002E-4</v>
      </c>
    </row>
    <row r="139" spans="1:6" x14ac:dyDescent="0.3">
      <c r="A139">
        <v>138</v>
      </c>
      <c r="B139" t="s">
        <v>833</v>
      </c>
      <c r="C139" t="s">
        <v>1828</v>
      </c>
      <c r="D139">
        <v>3000000</v>
      </c>
      <c r="E139" t="s">
        <v>834</v>
      </c>
      <c r="F139">
        <v>4.0999999999999999E-4</v>
      </c>
    </row>
    <row r="140" spans="1:6" x14ac:dyDescent="0.3">
      <c r="A140">
        <v>139</v>
      </c>
      <c r="B140" t="s">
        <v>836</v>
      </c>
      <c r="C140" t="s">
        <v>1868</v>
      </c>
      <c r="D140">
        <v>2919306</v>
      </c>
      <c r="E140" t="s">
        <v>837</v>
      </c>
      <c r="F140">
        <v>4.0000000000000002E-4</v>
      </c>
    </row>
    <row r="141" spans="1:6" x14ac:dyDescent="0.3">
      <c r="A141">
        <v>140</v>
      </c>
      <c r="B141" t="s">
        <v>839</v>
      </c>
      <c r="C141" t="s">
        <v>1823</v>
      </c>
      <c r="D141">
        <v>2893005</v>
      </c>
      <c r="E141" t="s">
        <v>551</v>
      </c>
      <c r="F141">
        <v>4.0000000000000002E-4</v>
      </c>
    </row>
    <row r="142" spans="1:6" x14ac:dyDescent="0.3">
      <c r="A142">
        <v>141</v>
      </c>
      <c r="B142" t="s">
        <v>420</v>
      </c>
      <c r="C142" t="s">
        <v>1802</v>
      </c>
      <c r="D142">
        <v>2717991</v>
      </c>
      <c r="E142" t="s">
        <v>702</v>
      </c>
      <c r="F142">
        <v>3.8000000000000002E-4</v>
      </c>
    </row>
    <row r="143" spans="1:6" x14ac:dyDescent="0.3">
      <c r="A143">
        <v>142</v>
      </c>
      <c r="B143" t="s">
        <v>842</v>
      </c>
      <c r="C143" t="s">
        <v>1880</v>
      </c>
      <c r="D143">
        <v>2334029</v>
      </c>
      <c r="E143" t="s">
        <v>843</v>
      </c>
      <c r="F143">
        <v>3.2000000000000003E-4</v>
      </c>
    </row>
    <row r="144" spans="1:6" x14ac:dyDescent="0.3">
      <c r="A144">
        <v>143</v>
      </c>
      <c r="B144" t="s">
        <v>845</v>
      </c>
      <c r="C144" t="s">
        <v>1876</v>
      </c>
      <c r="D144">
        <v>2120000</v>
      </c>
      <c r="E144" t="s">
        <v>541</v>
      </c>
      <c r="F144">
        <v>2.9E-4</v>
      </c>
    </row>
    <row r="145" spans="1:6" x14ac:dyDescent="0.3">
      <c r="A145">
        <v>144</v>
      </c>
      <c r="B145" t="s">
        <v>847</v>
      </c>
      <c r="C145" t="s">
        <v>1881</v>
      </c>
      <c r="D145">
        <v>2113077</v>
      </c>
      <c r="E145" t="s">
        <v>848</v>
      </c>
      <c r="F145">
        <v>2.9E-4</v>
      </c>
    </row>
    <row r="146" spans="1:6" x14ac:dyDescent="0.3">
      <c r="A146">
        <v>145</v>
      </c>
      <c r="B146" t="s">
        <v>850</v>
      </c>
      <c r="C146" t="s">
        <v>1832</v>
      </c>
      <c r="D146">
        <v>2065769</v>
      </c>
      <c r="E146" t="s">
        <v>702</v>
      </c>
      <c r="F146">
        <v>2.9E-4</v>
      </c>
    </row>
    <row r="147" spans="1:6" x14ac:dyDescent="0.3">
      <c r="A147">
        <v>146</v>
      </c>
      <c r="B147" t="s">
        <v>852</v>
      </c>
      <c r="C147" t="s">
        <v>1871</v>
      </c>
      <c r="D147">
        <v>2065857</v>
      </c>
      <c r="E147" t="s">
        <v>534</v>
      </c>
      <c r="F147">
        <v>2.9E-4</v>
      </c>
    </row>
    <row r="148" spans="1:6" x14ac:dyDescent="0.3">
      <c r="A148">
        <v>147</v>
      </c>
      <c r="B148" t="s">
        <v>854</v>
      </c>
      <c r="C148" t="s">
        <v>1850</v>
      </c>
      <c r="D148">
        <v>2024904</v>
      </c>
      <c r="E148" t="s">
        <v>855</v>
      </c>
      <c r="F148">
        <v>2.7999999999999998E-4</v>
      </c>
    </row>
    <row r="149" spans="1:6" x14ac:dyDescent="0.3">
      <c r="A149">
        <v>148</v>
      </c>
      <c r="B149" t="s">
        <v>857</v>
      </c>
      <c r="C149" t="s">
        <v>1863</v>
      </c>
      <c r="D149">
        <v>1986700</v>
      </c>
      <c r="E149" t="s">
        <v>554</v>
      </c>
      <c r="F149">
        <v>2.7E-4</v>
      </c>
    </row>
    <row r="150" spans="1:6" x14ac:dyDescent="0.3">
      <c r="A150">
        <v>149</v>
      </c>
      <c r="B150" t="s">
        <v>859</v>
      </c>
      <c r="C150" t="s">
        <v>1813</v>
      </c>
      <c r="D150">
        <v>1882450</v>
      </c>
      <c r="E150" t="s">
        <v>860</v>
      </c>
      <c r="F150">
        <v>2.5999999999999998E-4</v>
      </c>
    </row>
    <row r="151" spans="1:6" x14ac:dyDescent="0.3">
      <c r="A151">
        <v>150</v>
      </c>
      <c r="B151" t="s">
        <v>862</v>
      </c>
      <c r="C151" t="s">
        <v>1882</v>
      </c>
      <c r="D151">
        <v>1827231</v>
      </c>
      <c r="E151" t="s">
        <v>759</v>
      </c>
      <c r="F151">
        <v>2.5000000000000001E-4</v>
      </c>
    </row>
    <row r="152" spans="1:6" x14ac:dyDescent="0.3">
      <c r="A152">
        <v>151</v>
      </c>
      <c r="B152" t="s">
        <v>864</v>
      </c>
      <c r="C152" t="s">
        <v>1846</v>
      </c>
      <c r="D152">
        <v>1788000</v>
      </c>
      <c r="E152" t="s">
        <v>541</v>
      </c>
      <c r="F152">
        <v>2.5000000000000001E-4</v>
      </c>
    </row>
    <row r="153" spans="1:6" x14ac:dyDescent="0.3">
      <c r="A153">
        <v>152</v>
      </c>
      <c r="B153" t="s">
        <v>866</v>
      </c>
      <c r="C153" t="s">
        <v>1883</v>
      </c>
      <c r="D153">
        <v>1751000</v>
      </c>
      <c r="E153" t="s">
        <v>541</v>
      </c>
      <c r="F153">
        <v>2.4000000000000001E-4</v>
      </c>
    </row>
    <row r="154" spans="1:6" x14ac:dyDescent="0.3">
      <c r="A154">
        <v>153</v>
      </c>
      <c r="B154" t="s">
        <v>868</v>
      </c>
      <c r="C154" t="s">
        <v>1884</v>
      </c>
      <c r="D154">
        <v>1430000</v>
      </c>
      <c r="E154" t="s">
        <v>581</v>
      </c>
      <c r="F154">
        <v>2.0000000000000001E-4</v>
      </c>
    </row>
    <row r="155" spans="1:6" x14ac:dyDescent="0.3">
      <c r="A155">
        <v>154</v>
      </c>
      <c r="B155" t="s">
        <v>870</v>
      </c>
      <c r="C155" t="s">
        <v>1885</v>
      </c>
      <c r="D155">
        <v>1328019</v>
      </c>
      <c r="E155" t="s">
        <v>871</v>
      </c>
      <c r="F155">
        <v>1.8000000000000001E-4</v>
      </c>
    </row>
    <row r="156" spans="1:6" x14ac:dyDescent="0.3">
      <c r="A156">
        <v>155</v>
      </c>
      <c r="B156" t="s">
        <v>873</v>
      </c>
      <c r="C156" t="s">
        <v>1800</v>
      </c>
      <c r="D156">
        <v>1316500</v>
      </c>
      <c r="E156" t="s">
        <v>561</v>
      </c>
      <c r="F156">
        <v>1.8000000000000001E-4</v>
      </c>
    </row>
    <row r="157" spans="1:6" x14ac:dyDescent="0.3">
      <c r="A157">
        <v>156</v>
      </c>
      <c r="B157" t="s">
        <v>875</v>
      </c>
      <c r="C157" t="s">
        <v>1886</v>
      </c>
      <c r="D157">
        <v>1312252</v>
      </c>
      <c r="E157" t="s">
        <v>551</v>
      </c>
      <c r="F157">
        <v>1.8000000000000001E-4</v>
      </c>
    </row>
    <row r="158" spans="1:6" x14ac:dyDescent="0.3">
      <c r="A158">
        <v>157</v>
      </c>
      <c r="B158" t="s">
        <v>877</v>
      </c>
      <c r="C158" t="s">
        <v>1832</v>
      </c>
      <c r="D158">
        <v>1261208</v>
      </c>
      <c r="E158" t="s">
        <v>561</v>
      </c>
      <c r="F158">
        <v>1.7000000000000001E-4</v>
      </c>
    </row>
    <row r="159" spans="1:6" x14ac:dyDescent="0.3">
      <c r="A159">
        <v>158</v>
      </c>
      <c r="B159" t="s">
        <v>879</v>
      </c>
      <c r="C159" t="s">
        <v>1887</v>
      </c>
      <c r="D159">
        <v>1212107</v>
      </c>
      <c r="E159" t="s">
        <v>561</v>
      </c>
      <c r="F159">
        <v>1.7000000000000001E-4</v>
      </c>
    </row>
    <row r="160" spans="1:6" x14ac:dyDescent="0.3">
      <c r="A160">
        <v>159</v>
      </c>
      <c r="B160" t="s">
        <v>881</v>
      </c>
      <c r="C160" t="s">
        <v>1859</v>
      </c>
      <c r="D160">
        <v>1119375</v>
      </c>
      <c r="E160" t="s">
        <v>541</v>
      </c>
      <c r="F160">
        <v>1.4999999999999999E-4</v>
      </c>
    </row>
    <row r="161" spans="1:6" x14ac:dyDescent="0.3">
      <c r="A161">
        <v>160</v>
      </c>
      <c r="B161" t="s">
        <v>883</v>
      </c>
      <c r="C161" t="s">
        <v>1888</v>
      </c>
      <c r="D161">
        <v>900000</v>
      </c>
      <c r="E161" t="s">
        <v>541</v>
      </c>
      <c r="F161">
        <v>1.2E-4</v>
      </c>
    </row>
    <row r="162" spans="1:6" x14ac:dyDescent="0.3">
      <c r="A162">
        <v>161</v>
      </c>
      <c r="B162" t="s">
        <v>885</v>
      </c>
      <c r="C162" t="s">
        <v>1870</v>
      </c>
      <c r="D162">
        <v>859178</v>
      </c>
      <c r="E162" t="s">
        <v>581</v>
      </c>
      <c r="F162">
        <v>1.1900000000000001E-4</v>
      </c>
    </row>
    <row r="163" spans="1:6" x14ac:dyDescent="0.3">
      <c r="A163">
        <v>162</v>
      </c>
      <c r="B163" t="s">
        <v>887</v>
      </c>
      <c r="C163" t="s">
        <v>1889</v>
      </c>
      <c r="D163">
        <v>858000</v>
      </c>
      <c r="E163" t="s">
        <v>630</v>
      </c>
      <c r="F163">
        <v>1.2E-4</v>
      </c>
    </row>
    <row r="164" spans="1:6" x14ac:dyDescent="0.3">
      <c r="A164">
        <v>163</v>
      </c>
      <c r="B164" t="s">
        <v>889</v>
      </c>
      <c r="C164" t="s">
        <v>1890</v>
      </c>
      <c r="D164">
        <v>844994</v>
      </c>
      <c r="E164" t="s">
        <v>630</v>
      </c>
      <c r="F164">
        <v>1.2E-4</v>
      </c>
    </row>
    <row r="165" spans="1:6" x14ac:dyDescent="0.3">
      <c r="A165">
        <v>164</v>
      </c>
      <c r="B165" t="s">
        <v>891</v>
      </c>
      <c r="C165" t="s">
        <v>1817</v>
      </c>
      <c r="D165">
        <v>763952</v>
      </c>
      <c r="E165" t="s">
        <v>561</v>
      </c>
      <c r="F165">
        <v>1.1E-4</v>
      </c>
    </row>
    <row r="166" spans="1:6" x14ac:dyDescent="0.3">
      <c r="A166">
        <v>165</v>
      </c>
      <c r="B166" t="s">
        <v>893</v>
      </c>
      <c r="C166" t="s">
        <v>1891</v>
      </c>
      <c r="D166">
        <v>757940</v>
      </c>
      <c r="E166" t="s">
        <v>534</v>
      </c>
      <c r="F166">
        <v>1.05E-4</v>
      </c>
    </row>
    <row r="167" spans="1:6" x14ac:dyDescent="0.3">
      <c r="A167">
        <v>166</v>
      </c>
      <c r="B167" t="s">
        <v>895</v>
      </c>
      <c r="C167" t="s">
        <v>1846</v>
      </c>
      <c r="D167">
        <v>746900</v>
      </c>
      <c r="E167" t="s">
        <v>581</v>
      </c>
      <c r="F167">
        <v>1E-4</v>
      </c>
    </row>
    <row r="168" spans="1:6" x14ac:dyDescent="0.3">
      <c r="A168">
        <v>167</v>
      </c>
      <c r="B168" t="s">
        <v>897</v>
      </c>
      <c r="C168" t="s">
        <v>1832</v>
      </c>
      <c r="D168">
        <v>631000</v>
      </c>
      <c r="E168" t="s">
        <v>584</v>
      </c>
      <c r="F168">
        <v>8.7000000000000001E-5</v>
      </c>
    </row>
    <row r="169" spans="1:6" x14ac:dyDescent="0.3">
      <c r="A169">
        <v>168</v>
      </c>
      <c r="B169" t="s">
        <v>899</v>
      </c>
      <c r="C169" t="s">
        <v>1828</v>
      </c>
      <c r="D169">
        <v>620029</v>
      </c>
      <c r="E169" t="s">
        <v>900</v>
      </c>
      <c r="F169">
        <v>8.6000000000000003E-5</v>
      </c>
    </row>
    <row r="170" spans="1:6" x14ac:dyDescent="0.3">
      <c r="A170">
        <v>169</v>
      </c>
      <c r="B170" t="s">
        <v>902</v>
      </c>
      <c r="C170" t="s">
        <v>1892</v>
      </c>
      <c r="D170">
        <v>604000</v>
      </c>
      <c r="E170" t="s">
        <v>541</v>
      </c>
      <c r="F170">
        <v>8.3999999999999995E-5</v>
      </c>
    </row>
    <row r="171" spans="1:6" x14ac:dyDescent="0.3">
      <c r="A171">
        <v>170</v>
      </c>
      <c r="B171" t="s">
        <v>904</v>
      </c>
      <c r="C171" t="s">
        <v>1815</v>
      </c>
      <c r="D171">
        <v>581344</v>
      </c>
      <c r="E171" t="s">
        <v>581</v>
      </c>
      <c r="F171">
        <v>8.0000000000000007E-5</v>
      </c>
    </row>
    <row r="172" spans="1:6" x14ac:dyDescent="0.3">
      <c r="A172">
        <v>171</v>
      </c>
      <c r="B172" t="s">
        <v>906</v>
      </c>
      <c r="C172" t="s">
        <v>1893</v>
      </c>
      <c r="D172">
        <v>549700</v>
      </c>
      <c r="E172" t="s">
        <v>702</v>
      </c>
      <c r="F172">
        <v>7.3999999999999996E-5</v>
      </c>
    </row>
    <row r="173" spans="1:6" x14ac:dyDescent="0.3">
      <c r="A173">
        <v>172</v>
      </c>
      <c r="B173" t="s">
        <v>908</v>
      </c>
      <c r="C173" t="s">
        <v>1825</v>
      </c>
      <c r="D173">
        <v>534189</v>
      </c>
      <c r="E173" t="s">
        <v>909</v>
      </c>
      <c r="F173">
        <v>7.3999999999999996E-5</v>
      </c>
    </row>
    <row r="174" spans="1:6" x14ac:dyDescent="0.3">
      <c r="A174">
        <v>173</v>
      </c>
      <c r="B174" t="s">
        <v>911</v>
      </c>
      <c r="C174" t="s">
        <v>1826</v>
      </c>
      <c r="D174">
        <v>518467</v>
      </c>
      <c r="E174" t="s">
        <v>561</v>
      </c>
      <c r="F174">
        <v>7.2000000000000002E-5</v>
      </c>
    </row>
    <row r="175" spans="1:6" x14ac:dyDescent="0.3">
      <c r="A175">
        <v>174</v>
      </c>
      <c r="B175" t="s">
        <v>913</v>
      </c>
      <c r="C175" t="s">
        <v>1885</v>
      </c>
      <c r="D175">
        <v>505153</v>
      </c>
      <c r="E175" t="s">
        <v>630</v>
      </c>
      <c r="F175">
        <v>6.9999999999999994E-5</v>
      </c>
    </row>
    <row r="176" spans="1:6" x14ac:dyDescent="0.3">
      <c r="A176">
        <v>175</v>
      </c>
      <c r="B176" t="s">
        <v>915</v>
      </c>
      <c r="C176" t="s">
        <v>1832</v>
      </c>
      <c r="D176">
        <v>425384</v>
      </c>
      <c r="E176" t="s">
        <v>702</v>
      </c>
      <c r="F176">
        <v>5.8999999999999998E-5</v>
      </c>
    </row>
    <row r="177" spans="1:6" x14ac:dyDescent="0.3">
      <c r="A177">
        <v>176</v>
      </c>
      <c r="B177" t="s">
        <v>917</v>
      </c>
      <c r="C177" t="s">
        <v>1846</v>
      </c>
      <c r="D177">
        <v>405739</v>
      </c>
      <c r="E177" t="s">
        <v>918</v>
      </c>
      <c r="F177">
        <v>5.5999999999999999E-5</v>
      </c>
    </row>
    <row r="178" spans="1:6" x14ac:dyDescent="0.3">
      <c r="A178">
        <v>177</v>
      </c>
      <c r="B178" t="s">
        <v>920</v>
      </c>
      <c r="C178" t="s">
        <v>1797</v>
      </c>
      <c r="D178">
        <v>393372</v>
      </c>
      <c r="E178" t="s">
        <v>921</v>
      </c>
      <c r="F178">
        <v>5.3999999999999998E-5</v>
      </c>
    </row>
    <row r="179" spans="1:6" x14ac:dyDescent="0.3">
      <c r="A179">
        <v>178</v>
      </c>
      <c r="B179" t="s">
        <v>923</v>
      </c>
      <c r="C179" t="s">
        <v>1832</v>
      </c>
      <c r="D179">
        <v>386486</v>
      </c>
      <c r="E179" t="s">
        <v>918</v>
      </c>
      <c r="F179">
        <v>5.3000000000000001E-5</v>
      </c>
    </row>
    <row r="180" spans="1:6" x14ac:dyDescent="0.3">
      <c r="A180">
        <v>179</v>
      </c>
      <c r="B180" t="s">
        <v>925</v>
      </c>
      <c r="C180" t="s">
        <v>1813</v>
      </c>
      <c r="D180">
        <v>368390</v>
      </c>
      <c r="E180" t="s">
        <v>581</v>
      </c>
      <c r="F180">
        <v>5.1E-5</v>
      </c>
    </row>
    <row r="181" spans="1:6" x14ac:dyDescent="0.3">
      <c r="A181">
        <v>180</v>
      </c>
      <c r="B181" t="s">
        <v>927</v>
      </c>
      <c r="C181" t="s">
        <v>1851</v>
      </c>
      <c r="D181">
        <v>349728</v>
      </c>
      <c r="E181" t="s">
        <v>581</v>
      </c>
      <c r="F181">
        <v>4.8000000000000001E-5</v>
      </c>
    </row>
    <row r="182" spans="1:6" x14ac:dyDescent="0.3">
      <c r="A182">
        <v>181</v>
      </c>
      <c r="B182" t="s">
        <v>929</v>
      </c>
      <c r="C182" t="s">
        <v>1832</v>
      </c>
      <c r="D182">
        <v>341256</v>
      </c>
      <c r="E182" t="s">
        <v>930</v>
      </c>
      <c r="F182">
        <v>4.6999999999999997E-5</v>
      </c>
    </row>
    <row r="183" spans="1:6" x14ac:dyDescent="0.3">
      <c r="A183">
        <v>182</v>
      </c>
      <c r="B183" t="s">
        <v>932</v>
      </c>
      <c r="C183" t="s">
        <v>1894</v>
      </c>
      <c r="D183">
        <v>329040</v>
      </c>
      <c r="E183" t="s">
        <v>572</v>
      </c>
      <c r="F183">
        <v>4.6E-5</v>
      </c>
    </row>
    <row r="184" spans="1:6" x14ac:dyDescent="0.3">
      <c r="A184">
        <v>183</v>
      </c>
      <c r="B184" t="s">
        <v>934</v>
      </c>
      <c r="C184" t="s">
        <v>406</v>
      </c>
      <c r="D184">
        <v>294906</v>
      </c>
      <c r="E184" t="s">
        <v>935</v>
      </c>
      <c r="F184">
        <v>4.0000000000000003E-5</v>
      </c>
    </row>
    <row r="185" spans="1:6" x14ac:dyDescent="0.3">
      <c r="A185">
        <v>184</v>
      </c>
      <c r="B185" t="s">
        <v>937</v>
      </c>
      <c r="C185" t="s">
        <v>1800</v>
      </c>
      <c r="D185">
        <v>285000</v>
      </c>
      <c r="E185" t="s">
        <v>581</v>
      </c>
      <c r="F185">
        <v>3.8999999999999999E-5</v>
      </c>
    </row>
    <row r="186" spans="1:6" x14ac:dyDescent="0.3">
      <c r="A186">
        <v>185</v>
      </c>
      <c r="B186" t="s">
        <v>939</v>
      </c>
      <c r="C186" t="s">
        <v>1834</v>
      </c>
      <c r="D186">
        <v>268767</v>
      </c>
      <c r="E186" t="s">
        <v>940</v>
      </c>
      <c r="F186">
        <v>3.6999999999999998E-5</v>
      </c>
    </row>
    <row r="187" spans="1:6" x14ac:dyDescent="0.3">
      <c r="A187">
        <v>186</v>
      </c>
      <c r="B187" t="s">
        <v>942</v>
      </c>
      <c r="C187" t="s">
        <v>1812</v>
      </c>
      <c r="D187">
        <v>268270</v>
      </c>
      <c r="E187" t="s">
        <v>943</v>
      </c>
      <c r="F187">
        <v>3.6999999999999998E-5</v>
      </c>
    </row>
    <row r="188" spans="1:6" x14ac:dyDescent="0.3">
      <c r="A188">
        <v>187</v>
      </c>
      <c r="B188" t="s">
        <v>945</v>
      </c>
      <c r="C188" t="s">
        <v>1895</v>
      </c>
      <c r="D188">
        <v>264652</v>
      </c>
      <c r="E188" t="s">
        <v>581</v>
      </c>
      <c r="F188">
        <v>3.6999999999999998E-5</v>
      </c>
    </row>
    <row r="189" spans="1:6" x14ac:dyDescent="0.3">
      <c r="A189">
        <v>188</v>
      </c>
      <c r="B189" t="s">
        <v>947</v>
      </c>
      <c r="C189" t="s">
        <v>1896</v>
      </c>
      <c r="D189">
        <v>240705</v>
      </c>
      <c r="E189" t="s">
        <v>948</v>
      </c>
      <c r="F189">
        <v>3.3000000000000003E-5</v>
      </c>
    </row>
    <row r="190" spans="1:6" x14ac:dyDescent="0.3">
      <c r="A190">
        <v>189</v>
      </c>
      <c r="B190" t="s">
        <v>950</v>
      </c>
      <c r="C190" t="s">
        <v>1812</v>
      </c>
      <c r="D190">
        <v>239648</v>
      </c>
      <c r="E190" t="s">
        <v>951</v>
      </c>
      <c r="F190">
        <v>3.3000000000000003E-5</v>
      </c>
    </row>
    <row r="191" spans="1:6" x14ac:dyDescent="0.3">
      <c r="A191">
        <v>190</v>
      </c>
      <c r="B191" t="s">
        <v>953</v>
      </c>
      <c r="C191" t="s">
        <v>1832</v>
      </c>
      <c r="D191">
        <v>212645</v>
      </c>
      <c r="E191" t="s">
        <v>954</v>
      </c>
      <c r="F191">
        <v>2.9E-5</v>
      </c>
    </row>
    <row r="192" spans="1:6" x14ac:dyDescent="0.3">
      <c r="A192">
        <v>191</v>
      </c>
      <c r="B192" t="s">
        <v>956</v>
      </c>
      <c r="C192" t="s">
        <v>1829</v>
      </c>
      <c r="D192">
        <v>187820</v>
      </c>
      <c r="E192" t="s">
        <v>957</v>
      </c>
      <c r="F192">
        <v>2.5999999999999998E-5</v>
      </c>
    </row>
    <row r="193" spans="1:6" x14ac:dyDescent="0.3">
      <c r="A193">
        <v>192</v>
      </c>
      <c r="B193" t="s">
        <v>959</v>
      </c>
      <c r="C193" t="s">
        <v>1897</v>
      </c>
      <c r="D193">
        <v>187356</v>
      </c>
      <c r="E193" t="s">
        <v>960</v>
      </c>
      <c r="F193">
        <v>2.5999999999999998E-5</v>
      </c>
    </row>
    <row r="194" spans="1:6" x14ac:dyDescent="0.3">
      <c r="A194">
        <v>193</v>
      </c>
      <c r="B194" t="s">
        <v>962</v>
      </c>
      <c r="C194" t="s">
        <v>1829</v>
      </c>
      <c r="D194">
        <v>185000</v>
      </c>
      <c r="E194" t="s">
        <v>541</v>
      </c>
      <c r="F194">
        <v>2.5999999999999998E-5</v>
      </c>
    </row>
    <row r="195" spans="1:6" x14ac:dyDescent="0.3">
      <c r="A195">
        <v>194</v>
      </c>
      <c r="B195" t="s">
        <v>964</v>
      </c>
      <c r="C195" t="s">
        <v>1846</v>
      </c>
      <c r="D195">
        <v>159358</v>
      </c>
      <c r="E195" t="s">
        <v>965</v>
      </c>
      <c r="F195">
        <v>2.1999999999999999E-5</v>
      </c>
    </row>
    <row r="196" spans="1:6" x14ac:dyDescent="0.3">
      <c r="A196">
        <v>195</v>
      </c>
      <c r="B196" t="s">
        <v>967</v>
      </c>
      <c r="C196" t="s">
        <v>1852</v>
      </c>
      <c r="D196">
        <v>154843</v>
      </c>
      <c r="E196" t="s">
        <v>630</v>
      </c>
      <c r="F196">
        <v>2.0999999999999999E-5</v>
      </c>
    </row>
    <row r="197" spans="1:6" x14ac:dyDescent="0.3">
      <c r="A197">
        <v>196</v>
      </c>
      <c r="B197" t="s">
        <v>969</v>
      </c>
      <c r="C197" t="s">
        <v>1829</v>
      </c>
      <c r="D197">
        <v>109000</v>
      </c>
      <c r="E197" t="s">
        <v>541</v>
      </c>
      <c r="F197">
        <v>1.5E-5</v>
      </c>
    </row>
    <row r="198" spans="1:6" x14ac:dyDescent="0.3">
      <c r="A198">
        <v>197</v>
      </c>
      <c r="B198" t="s">
        <v>971</v>
      </c>
      <c r="C198" t="s">
        <v>1821</v>
      </c>
      <c r="D198">
        <v>107394</v>
      </c>
      <c r="E198" t="s">
        <v>972</v>
      </c>
      <c r="F198">
        <v>1.5E-5</v>
      </c>
    </row>
    <row r="199" spans="1:6" x14ac:dyDescent="0.3">
      <c r="A199">
        <v>198</v>
      </c>
      <c r="B199" t="s">
        <v>974</v>
      </c>
      <c r="C199" t="s">
        <v>1898</v>
      </c>
      <c r="D199">
        <v>106461</v>
      </c>
      <c r="E199" t="s">
        <v>581</v>
      </c>
      <c r="F199">
        <v>1.5E-5</v>
      </c>
    </row>
    <row r="200" spans="1:6" x14ac:dyDescent="0.3">
      <c r="A200">
        <v>199</v>
      </c>
      <c r="B200" t="s">
        <v>976</v>
      </c>
      <c r="C200" t="s">
        <v>1796</v>
      </c>
      <c r="D200">
        <v>106405</v>
      </c>
      <c r="E200" t="s">
        <v>965</v>
      </c>
      <c r="F200">
        <v>1.5E-5</v>
      </c>
    </row>
    <row r="201" spans="1:6" x14ac:dyDescent="0.3">
      <c r="A201">
        <v>200</v>
      </c>
      <c r="B201" t="s">
        <v>978</v>
      </c>
      <c r="C201" t="s">
        <v>1854</v>
      </c>
      <c r="D201">
        <v>103328</v>
      </c>
      <c r="E201" t="s">
        <v>979</v>
      </c>
      <c r="F201">
        <v>1.4E-5</v>
      </c>
    </row>
    <row r="202" spans="1:6" x14ac:dyDescent="0.3">
      <c r="A202">
        <v>201</v>
      </c>
      <c r="B202" t="s">
        <v>981</v>
      </c>
      <c r="C202" t="s">
        <v>515</v>
      </c>
      <c r="D202">
        <v>103252</v>
      </c>
      <c r="E202" t="s">
        <v>982</v>
      </c>
      <c r="F202">
        <v>1.4E-5</v>
      </c>
    </row>
    <row r="203" spans="1:6" x14ac:dyDescent="0.3">
      <c r="A203">
        <v>202</v>
      </c>
      <c r="B203" t="s">
        <v>984</v>
      </c>
      <c r="C203" t="s">
        <v>1899</v>
      </c>
      <c r="D203">
        <v>101351</v>
      </c>
      <c r="E203" t="s">
        <v>581</v>
      </c>
      <c r="F203">
        <v>1.4E-5</v>
      </c>
    </row>
    <row r="204" spans="1:6" x14ac:dyDescent="0.3">
      <c r="A204">
        <v>203</v>
      </c>
      <c r="B204" t="s">
        <v>986</v>
      </c>
      <c r="C204" t="s">
        <v>1900</v>
      </c>
      <c r="D204">
        <v>99000</v>
      </c>
      <c r="E204" t="s">
        <v>987</v>
      </c>
      <c r="F204">
        <v>1.4E-5</v>
      </c>
    </row>
    <row r="205" spans="1:6" x14ac:dyDescent="0.3">
      <c r="A205">
        <v>204</v>
      </c>
      <c r="B205" t="s">
        <v>989</v>
      </c>
      <c r="C205" t="s">
        <v>1848</v>
      </c>
      <c r="D205">
        <v>89949</v>
      </c>
      <c r="E205" t="s">
        <v>581</v>
      </c>
      <c r="F205">
        <v>1.2E-5</v>
      </c>
    </row>
    <row r="206" spans="1:6" x14ac:dyDescent="0.3">
      <c r="A206">
        <v>205</v>
      </c>
      <c r="B206" t="s">
        <v>991</v>
      </c>
      <c r="C206" t="s">
        <v>1838</v>
      </c>
      <c r="D206">
        <v>86295</v>
      </c>
      <c r="E206" t="s">
        <v>992</v>
      </c>
      <c r="F206">
        <v>1.2E-5</v>
      </c>
    </row>
    <row r="207" spans="1:6" x14ac:dyDescent="0.3">
      <c r="A207">
        <v>206</v>
      </c>
      <c r="B207" t="s">
        <v>994</v>
      </c>
      <c r="C207" t="s">
        <v>1862</v>
      </c>
      <c r="D207">
        <v>84497</v>
      </c>
      <c r="E207" t="s">
        <v>995</v>
      </c>
      <c r="F207">
        <v>1.2E-5</v>
      </c>
    </row>
    <row r="208" spans="1:6" x14ac:dyDescent="0.3">
      <c r="A208">
        <v>207</v>
      </c>
      <c r="B208" t="s">
        <v>997</v>
      </c>
      <c r="C208" t="s">
        <v>1838</v>
      </c>
      <c r="D208">
        <v>76949</v>
      </c>
      <c r="E208" t="s">
        <v>561</v>
      </c>
      <c r="F208">
        <v>1.1E-5</v>
      </c>
    </row>
    <row r="209" spans="1:6" x14ac:dyDescent="0.3">
      <c r="A209">
        <v>208</v>
      </c>
      <c r="B209" t="s">
        <v>999</v>
      </c>
      <c r="C209" t="s">
        <v>1857</v>
      </c>
      <c r="D209">
        <v>71293</v>
      </c>
      <c r="E209" t="s">
        <v>1000</v>
      </c>
      <c r="F209">
        <v>9.9000000000000001E-6</v>
      </c>
    </row>
    <row r="210" spans="1:6" x14ac:dyDescent="0.3">
      <c r="A210">
        <v>209</v>
      </c>
      <c r="B210" t="s">
        <v>1002</v>
      </c>
      <c r="C210" t="s">
        <v>1851</v>
      </c>
      <c r="D210">
        <v>64237</v>
      </c>
      <c r="E210" t="s">
        <v>1003</v>
      </c>
      <c r="F210">
        <v>8.8999999999999995E-6</v>
      </c>
    </row>
    <row r="211" spans="1:6" x14ac:dyDescent="0.3">
      <c r="A211">
        <v>210</v>
      </c>
      <c r="B211" t="s">
        <v>1005</v>
      </c>
      <c r="C211" t="s">
        <v>1846</v>
      </c>
      <c r="D211">
        <v>63085</v>
      </c>
      <c r="E211" t="s">
        <v>1006</v>
      </c>
      <c r="F211">
        <v>8.6999999999999997E-6</v>
      </c>
    </row>
    <row r="212" spans="1:6" x14ac:dyDescent="0.3">
      <c r="A212">
        <v>211</v>
      </c>
      <c r="B212" t="s">
        <v>1008</v>
      </c>
      <c r="C212" t="s">
        <v>1832</v>
      </c>
      <c r="D212">
        <v>56086</v>
      </c>
      <c r="E212" t="s">
        <v>581</v>
      </c>
      <c r="F212">
        <v>7.7999999999999999E-6</v>
      </c>
    </row>
    <row r="213" spans="1:6" x14ac:dyDescent="0.3">
      <c r="A213">
        <v>212</v>
      </c>
      <c r="B213" t="s">
        <v>1010</v>
      </c>
      <c r="C213" t="s">
        <v>1854</v>
      </c>
      <c r="D213">
        <v>55984</v>
      </c>
      <c r="E213" t="s">
        <v>551</v>
      </c>
      <c r="F213">
        <v>7.7000000000000008E-6</v>
      </c>
    </row>
    <row r="214" spans="1:6" x14ac:dyDescent="0.3">
      <c r="A214">
        <v>213</v>
      </c>
      <c r="B214" t="s">
        <v>1012</v>
      </c>
      <c r="C214" t="s">
        <v>1826</v>
      </c>
      <c r="D214">
        <v>55691</v>
      </c>
      <c r="E214" t="s">
        <v>775</v>
      </c>
      <c r="F214">
        <v>7.7000000000000008E-6</v>
      </c>
    </row>
    <row r="215" spans="1:6" x14ac:dyDescent="0.3">
      <c r="A215">
        <v>214</v>
      </c>
      <c r="B215" t="s">
        <v>1014</v>
      </c>
      <c r="C215" t="s">
        <v>1901</v>
      </c>
      <c r="D215">
        <v>55519</v>
      </c>
      <c r="E215" t="s">
        <v>965</v>
      </c>
      <c r="F215">
        <v>7.7000000000000008E-6</v>
      </c>
    </row>
    <row r="216" spans="1:6" x14ac:dyDescent="0.3">
      <c r="A216">
        <v>215</v>
      </c>
      <c r="B216" t="s">
        <v>1016</v>
      </c>
      <c r="C216" t="s">
        <v>1829</v>
      </c>
      <c r="D216">
        <v>55000</v>
      </c>
      <c r="E216" t="s">
        <v>541</v>
      </c>
      <c r="F216">
        <v>7.6000000000000001E-6</v>
      </c>
    </row>
    <row r="217" spans="1:6" x14ac:dyDescent="0.3">
      <c r="A217">
        <v>216</v>
      </c>
      <c r="B217" t="s">
        <v>1018</v>
      </c>
      <c r="C217" t="s">
        <v>406</v>
      </c>
      <c r="D217">
        <v>53883</v>
      </c>
      <c r="E217" t="s">
        <v>965</v>
      </c>
      <c r="F217">
        <v>7.5000000000000002E-6</v>
      </c>
    </row>
    <row r="218" spans="1:6" x14ac:dyDescent="0.3">
      <c r="A218">
        <v>217</v>
      </c>
      <c r="B218" t="s">
        <v>1020</v>
      </c>
      <c r="C218" t="s">
        <v>1815</v>
      </c>
      <c r="D218">
        <v>51547</v>
      </c>
      <c r="E218" t="s">
        <v>1021</v>
      </c>
      <c r="F218">
        <v>7.0999999999999998E-6</v>
      </c>
    </row>
    <row r="219" spans="1:6" x14ac:dyDescent="0.3">
      <c r="A219">
        <v>218</v>
      </c>
      <c r="B219" t="s">
        <v>1023</v>
      </c>
      <c r="C219" t="s">
        <v>1902</v>
      </c>
      <c r="D219">
        <v>48679</v>
      </c>
      <c r="E219" t="s">
        <v>1024</v>
      </c>
      <c r="F219">
        <v>6.7000000000000002E-6</v>
      </c>
    </row>
    <row r="220" spans="1:6" x14ac:dyDescent="0.3">
      <c r="A220">
        <v>219</v>
      </c>
      <c r="B220" t="s">
        <v>1026</v>
      </c>
      <c r="C220" t="s">
        <v>1867</v>
      </c>
      <c r="D220">
        <v>37429</v>
      </c>
      <c r="E220" t="s">
        <v>1027</v>
      </c>
      <c r="F220">
        <v>5.2000000000000002E-6</v>
      </c>
    </row>
    <row r="221" spans="1:6" x14ac:dyDescent="0.3">
      <c r="A221">
        <v>220</v>
      </c>
      <c r="B221" t="s">
        <v>1029</v>
      </c>
      <c r="C221" t="s">
        <v>1868</v>
      </c>
      <c r="D221">
        <v>37132</v>
      </c>
      <c r="E221" t="s">
        <v>702</v>
      </c>
      <c r="F221">
        <v>5.1000000000000003E-6</v>
      </c>
    </row>
    <row r="222" spans="1:6" x14ac:dyDescent="0.3">
      <c r="A222">
        <v>221</v>
      </c>
      <c r="B222" t="s">
        <v>1031</v>
      </c>
      <c r="C222" t="s">
        <v>1828</v>
      </c>
      <c r="D222">
        <v>36950</v>
      </c>
      <c r="E222" t="s">
        <v>702</v>
      </c>
      <c r="F222">
        <v>5.1000000000000003E-6</v>
      </c>
    </row>
    <row r="223" spans="1:6" x14ac:dyDescent="0.3">
      <c r="A223">
        <v>222</v>
      </c>
      <c r="B223" t="s">
        <v>1033</v>
      </c>
      <c r="C223" t="s">
        <v>1817</v>
      </c>
      <c r="D223">
        <v>35742</v>
      </c>
      <c r="E223" t="s">
        <v>951</v>
      </c>
      <c r="F223">
        <v>4.8999999999999997E-6</v>
      </c>
    </row>
    <row r="224" spans="1:6" x14ac:dyDescent="0.3">
      <c r="A224">
        <v>223</v>
      </c>
      <c r="B224" t="s">
        <v>1035</v>
      </c>
      <c r="C224" t="s">
        <v>1829</v>
      </c>
      <c r="D224">
        <v>32789</v>
      </c>
      <c r="E224" t="s">
        <v>572</v>
      </c>
      <c r="F224">
        <v>4.5000000000000001E-6</v>
      </c>
    </row>
    <row r="225" spans="1:6" x14ac:dyDescent="0.3">
      <c r="A225">
        <v>224</v>
      </c>
      <c r="B225" t="s">
        <v>1037</v>
      </c>
      <c r="C225" t="s">
        <v>1810</v>
      </c>
      <c r="D225">
        <v>31458</v>
      </c>
      <c r="E225" t="s">
        <v>1038</v>
      </c>
      <c r="F225">
        <v>4.4000000000000002E-6</v>
      </c>
    </row>
    <row r="226" spans="1:6" x14ac:dyDescent="0.3">
      <c r="A226">
        <v>225</v>
      </c>
      <c r="B226" t="s">
        <v>1040</v>
      </c>
      <c r="C226" t="s">
        <v>1903</v>
      </c>
      <c r="D226">
        <v>30001</v>
      </c>
      <c r="E226" t="s">
        <v>987</v>
      </c>
      <c r="F226">
        <v>4.0999999999999997E-6</v>
      </c>
    </row>
    <row r="227" spans="1:6" x14ac:dyDescent="0.3">
      <c r="A227">
        <v>226</v>
      </c>
      <c r="B227" t="s">
        <v>1042</v>
      </c>
      <c r="C227" t="s">
        <v>1904</v>
      </c>
      <c r="D227">
        <v>28875</v>
      </c>
      <c r="E227" t="s">
        <v>584</v>
      </c>
      <c r="F227">
        <v>3.9999999999999998E-6</v>
      </c>
    </row>
    <row r="228" spans="1:6" x14ac:dyDescent="0.3">
      <c r="A228">
        <v>227</v>
      </c>
      <c r="B228" t="s">
        <v>1044</v>
      </c>
      <c r="C228" t="s">
        <v>1797</v>
      </c>
      <c r="D228">
        <v>28054</v>
      </c>
      <c r="E228" t="s">
        <v>1045</v>
      </c>
      <c r="F228">
        <v>3.8999999999999999E-6</v>
      </c>
    </row>
    <row r="229" spans="1:6" x14ac:dyDescent="0.3">
      <c r="A229">
        <v>228</v>
      </c>
      <c r="B229" t="s">
        <v>1047</v>
      </c>
      <c r="C229" t="s">
        <v>1826</v>
      </c>
      <c r="D229">
        <v>23296</v>
      </c>
      <c r="E229" t="s">
        <v>918</v>
      </c>
      <c r="F229">
        <v>3.1999999999999999E-6</v>
      </c>
    </row>
    <row r="230" spans="1:6" x14ac:dyDescent="0.3">
      <c r="A230">
        <v>229</v>
      </c>
      <c r="B230" t="s">
        <v>1049</v>
      </c>
      <c r="C230" t="s">
        <v>1798</v>
      </c>
      <c r="D230">
        <v>20901</v>
      </c>
      <c r="E230" t="s">
        <v>581</v>
      </c>
      <c r="F230">
        <v>2.9000000000000002E-6</v>
      </c>
    </row>
    <row r="231" spans="1:6" x14ac:dyDescent="0.3">
      <c r="A231">
        <v>230</v>
      </c>
      <c r="B231" t="s">
        <v>1051</v>
      </c>
      <c r="C231" t="s">
        <v>1817</v>
      </c>
      <c r="D231">
        <v>14974</v>
      </c>
      <c r="E231" t="s">
        <v>1052</v>
      </c>
      <c r="F231">
        <v>2.0999999999999998E-6</v>
      </c>
    </row>
    <row r="232" spans="1:6" x14ac:dyDescent="0.3">
      <c r="A232">
        <v>231</v>
      </c>
      <c r="B232" t="s">
        <v>1054</v>
      </c>
      <c r="C232" t="s">
        <v>1838</v>
      </c>
      <c r="D232">
        <v>13452</v>
      </c>
      <c r="E232" t="s">
        <v>1055</v>
      </c>
      <c r="F232">
        <v>1.9E-6</v>
      </c>
    </row>
    <row r="233" spans="1:6" x14ac:dyDescent="0.3">
      <c r="A233">
        <v>232</v>
      </c>
      <c r="B233" t="s">
        <v>1057</v>
      </c>
      <c r="C233" t="s">
        <v>1905</v>
      </c>
      <c r="D233">
        <v>13135</v>
      </c>
      <c r="E233" t="s">
        <v>581</v>
      </c>
      <c r="F233">
        <v>1.7999999999999999E-6</v>
      </c>
    </row>
    <row r="234" spans="1:6" x14ac:dyDescent="0.3">
      <c r="A234">
        <v>233</v>
      </c>
      <c r="B234" t="s">
        <v>1059</v>
      </c>
      <c r="C234" t="s">
        <v>1810</v>
      </c>
      <c r="D234">
        <v>11323</v>
      </c>
      <c r="E234" t="s">
        <v>581</v>
      </c>
      <c r="F234">
        <v>1.5999999999999999E-6</v>
      </c>
    </row>
    <row r="235" spans="1:6" x14ac:dyDescent="0.3">
      <c r="A235">
        <v>234</v>
      </c>
      <c r="B235" t="s">
        <v>1061</v>
      </c>
      <c r="C235" t="s">
        <v>1881</v>
      </c>
      <c r="D235">
        <v>10084</v>
      </c>
      <c r="E235" t="s">
        <v>1062</v>
      </c>
      <c r="F235">
        <v>1.3999999999999999E-6</v>
      </c>
    </row>
    <row r="236" spans="1:6" x14ac:dyDescent="0.3">
      <c r="A236">
        <v>235</v>
      </c>
      <c r="B236" t="s">
        <v>1064</v>
      </c>
      <c r="C236" t="s">
        <v>1829</v>
      </c>
      <c r="D236">
        <v>9131</v>
      </c>
      <c r="E236" t="s">
        <v>951</v>
      </c>
      <c r="F236">
        <v>1.3E-6</v>
      </c>
    </row>
    <row r="237" spans="1:6" x14ac:dyDescent="0.3">
      <c r="A237">
        <v>236</v>
      </c>
      <c r="B237" t="s">
        <v>1066</v>
      </c>
      <c r="C237" t="s">
        <v>1829</v>
      </c>
      <c r="D237">
        <v>6069</v>
      </c>
      <c r="E237" t="s">
        <v>951</v>
      </c>
      <c r="F237">
        <v>8.4E-7</v>
      </c>
    </row>
    <row r="238" spans="1:6" x14ac:dyDescent="0.3">
      <c r="A238">
        <v>237</v>
      </c>
      <c r="B238" t="s">
        <v>1068</v>
      </c>
      <c r="C238" t="s">
        <v>1828</v>
      </c>
      <c r="D238">
        <v>4922</v>
      </c>
      <c r="E238" t="s">
        <v>979</v>
      </c>
      <c r="F238">
        <v>6.7999999999999995E-7</v>
      </c>
    </row>
    <row r="239" spans="1:6" x14ac:dyDescent="0.3">
      <c r="A239">
        <v>238</v>
      </c>
      <c r="B239" t="s">
        <v>1070</v>
      </c>
      <c r="C239" t="s">
        <v>1829</v>
      </c>
      <c r="D239">
        <v>4000</v>
      </c>
      <c r="E239" t="s">
        <v>541</v>
      </c>
      <c r="F239">
        <v>5.5000000000000003E-7</v>
      </c>
    </row>
    <row r="240" spans="1:6" x14ac:dyDescent="0.3">
      <c r="A240">
        <v>239</v>
      </c>
      <c r="B240" t="s">
        <v>1072</v>
      </c>
      <c r="C240" t="s">
        <v>1902</v>
      </c>
      <c r="D240">
        <v>3000</v>
      </c>
      <c r="E240" t="s">
        <v>541</v>
      </c>
      <c r="F240">
        <v>4.0999999999999999E-7</v>
      </c>
    </row>
    <row r="241" spans="1:6" x14ac:dyDescent="0.3">
      <c r="A241">
        <v>240</v>
      </c>
      <c r="B241" t="s">
        <v>1074</v>
      </c>
      <c r="C241" t="s">
        <v>1906</v>
      </c>
      <c r="D241">
        <v>2562</v>
      </c>
      <c r="E241" t="s">
        <v>561</v>
      </c>
      <c r="F241">
        <v>3.7E-7</v>
      </c>
    </row>
    <row r="242" spans="1:6" x14ac:dyDescent="0.3">
      <c r="A242">
        <v>241</v>
      </c>
      <c r="B242" t="s">
        <v>1076</v>
      </c>
      <c r="C242" t="s">
        <v>406</v>
      </c>
      <c r="D242">
        <v>2302</v>
      </c>
      <c r="E242" t="s">
        <v>1077</v>
      </c>
      <c r="F242">
        <v>3.2000000000000001E-7</v>
      </c>
    </row>
    <row r="243" spans="1:6" x14ac:dyDescent="0.3">
      <c r="A243">
        <v>242</v>
      </c>
      <c r="B243" t="s">
        <v>1079</v>
      </c>
      <c r="C243" t="s">
        <v>1794</v>
      </c>
      <c r="D243">
        <v>2072</v>
      </c>
      <c r="E243" t="s">
        <v>1077</v>
      </c>
      <c r="F243">
        <v>2.8999999999999998E-7</v>
      </c>
    </row>
    <row r="244" spans="1:6" x14ac:dyDescent="0.3">
      <c r="A244">
        <v>243</v>
      </c>
      <c r="B244" t="s">
        <v>1081</v>
      </c>
      <c r="C244" t="s">
        <v>1799</v>
      </c>
      <c r="D244">
        <v>1613</v>
      </c>
      <c r="E244" t="s">
        <v>1082</v>
      </c>
      <c r="F244">
        <v>2.2000000000000001E-7</v>
      </c>
    </row>
    <row r="245" spans="1:6" x14ac:dyDescent="0.3">
      <c r="A245">
        <v>244</v>
      </c>
      <c r="B245" t="s">
        <v>1084</v>
      </c>
      <c r="C245" t="s">
        <v>515</v>
      </c>
      <c r="D245">
        <v>1411</v>
      </c>
      <c r="E245" t="s">
        <v>1085</v>
      </c>
      <c r="F245">
        <v>1.9999999999999999E-7</v>
      </c>
    </row>
    <row r="246" spans="1:6" x14ac:dyDescent="0.3">
      <c r="A246">
        <v>245</v>
      </c>
      <c r="B246" t="s">
        <v>1087</v>
      </c>
      <c r="C246" t="s">
        <v>1895</v>
      </c>
      <c r="D246">
        <v>839</v>
      </c>
      <c r="E246" t="s">
        <v>809</v>
      </c>
      <c r="F246">
        <v>1.1999999999999999E-7</v>
      </c>
    </row>
    <row r="247" spans="1:6" x14ac:dyDescent="0.3">
      <c r="A247">
        <v>246</v>
      </c>
      <c r="B247" t="s">
        <v>1089</v>
      </c>
      <c r="C247" t="s">
        <v>1817</v>
      </c>
      <c r="D247">
        <v>550</v>
      </c>
      <c r="E247" t="s">
        <v>1077</v>
      </c>
      <c r="F247">
        <v>7.6000000000000006E-8</v>
      </c>
    </row>
    <row r="248" spans="1:6" x14ac:dyDescent="0.3">
      <c r="A248">
        <v>247</v>
      </c>
      <c r="B248" t="s">
        <v>1091</v>
      </c>
      <c r="C248" t="s">
        <v>1907</v>
      </c>
      <c r="D248">
        <v>56</v>
      </c>
      <c r="E248" t="s">
        <v>775</v>
      </c>
      <c r="F248">
        <v>7.6999999999999995E-9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1062C-EEB7-492A-8745-CC2A453B62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AVERAGE 1 - Question</vt:lpstr>
      <vt:lpstr>AVERAGE 3 </vt:lpstr>
      <vt:lpstr>COUNT-1</vt:lpstr>
      <vt:lpstr>COUNT-2</vt:lpstr>
      <vt:lpstr>COUNT-3</vt:lpstr>
      <vt:lpstr>Hlookup</vt:lpstr>
      <vt:lpstr>IF-1</vt:lpstr>
      <vt:lpstr>IF2</vt:lpstr>
      <vt:lpstr>IF-3</vt:lpstr>
      <vt:lpstr>MaxMin-1</vt:lpstr>
      <vt:lpstr>MaxMin-2</vt:lpstr>
      <vt:lpstr>MaxMin-3</vt:lpstr>
      <vt:lpstr>Math</vt:lpstr>
      <vt:lpstr>Nestedif</vt:lpstr>
      <vt:lpstr>sum1</vt:lpstr>
      <vt:lpstr>sum2</vt:lpstr>
      <vt:lpstr>sum3</vt:lpstr>
      <vt:lpstr>sumif1</vt:lpstr>
      <vt:lpstr>sumif2</vt:lpstr>
      <vt:lpstr>vlookup approximate match</vt:lpstr>
      <vt:lpstr>vlookup1</vt:lpstr>
      <vt:lpstr>vlookup2</vt:lpstr>
      <vt:lpstr>exchange rate</vt:lpstr>
      <vt:lpstr>Neck and neck</vt:lpstr>
      <vt:lpstr>Splitting columns</vt:lpstr>
      <vt:lpstr>populationn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Anusha Pandey</cp:lastModifiedBy>
  <cp:revision/>
  <dcterms:created xsi:type="dcterms:W3CDTF">2021-05-15T17:54:01Z</dcterms:created>
  <dcterms:modified xsi:type="dcterms:W3CDTF">2025-07-14T05:53:25Z</dcterms:modified>
  <cp:category/>
  <cp:contentStatus/>
</cp:coreProperties>
</file>